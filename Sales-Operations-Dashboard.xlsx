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0617322aabdd18c/Desktop/excel/"/>
    </mc:Choice>
  </mc:AlternateContent>
  <xr:revisionPtr revIDLastSave="5" documentId="13_ncr:1_{FBC5878B-B9DE-48B9-B46C-1FA87D858ADD}" xr6:coauthVersionLast="47" xr6:coauthVersionMax="47" xr10:uidLastSave="{9987E37C-575E-4320-987B-1CF8CC2159AF}"/>
  <bookViews>
    <workbookView xWindow="-108" yWindow="-108" windowWidth="23256" windowHeight="12456" activeTab="2" xr2:uid="{00000000-000D-0000-FFFF-FFFF00000000}"/>
  </bookViews>
  <sheets>
    <sheet name="Raw_Data" sheetId="1" r:id="rId1"/>
    <sheet name="Analysis" sheetId="3" r:id="rId2"/>
    <sheet name="Dashboard" sheetId="4" r:id="rId3"/>
  </sheets>
  <definedNames>
    <definedName name="_xlnm._FilterDatabase" localSheetId="0" hidden="1">Raw_Data!$A$1:$O$1001</definedName>
    <definedName name="Slicer_Category">#N/A</definedName>
    <definedName name="Slicer_Order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4" l="1"/>
  <c r="I3" i="4"/>
  <c r="G3" i="4"/>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J39" i="3"/>
  <c r="J40" i="3"/>
  <c r="J41" i="3"/>
  <c r="J42" i="3"/>
  <c r="J43" i="3"/>
  <c r="J44" i="3"/>
  <c r="J45" i="3"/>
  <c r="J46" i="3"/>
  <c r="J47" i="3"/>
  <c r="J48" i="3"/>
  <c r="J49" i="3"/>
  <c r="J50" i="3"/>
  <c r="J51" i="3"/>
  <c r="J52" i="3"/>
  <c r="J53" i="3"/>
  <c r="J54" i="3"/>
  <c r="J55" i="3"/>
  <c r="J56" i="3"/>
  <c r="J57" i="3"/>
  <c r="J58" i="3"/>
  <c r="J59" i="3"/>
  <c r="J60" i="3"/>
  <c r="J61" i="3"/>
  <c r="J62" i="3"/>
  <c r="J38" i="3"/>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773" i="1"/>
  <c r="R981" i="1"/>
  <c r="Q21" i="1"/>
  <c r="Q350" i="1"/>
  <c r="Q366" i="1"/>
  <c r="Q797" i="1"/>
  <c r="Q798" i="1"/>
  <c r="P2" i="1"/>
  <c r="P3" i="1"/>
  <c r="P4" i="1"/>
  <c r="P5" i="1"/>
  <c r="P6" i="1"/>
  <c r="P7" i="1"/>
  <c r="P8" i="1"/>
  <c r="P9" i="1"/>
  <c r="Q9" i="1" s="1"/>
  <c r="P10" i="1"/>
  <c r="P11" i="1"/>
  <c r="P12" i="1"/>
  <c r="P13" i="1"/>
  <c r="P14" i="1"/>
  <c r="Q14" i="1" s="1"/>
  <c r="P15" i="1"/>
  <c r="P16" i="1"/>
  <c r="P17" i="1"/>
  <c r="P18" i="1"/>
  <c r="P19" i="1"/>
  <c r="P20" i="1"/>
  <c r="P21" i="1"/>
  <c r="P22" i="1"/>
  <c r="Q22" i="1" s="1"/>
  <c r="P23" i="1"/>
  <c r="Q23" i="1" s="1"/>
  <c r="P24" i="1"/>
  <c r="Q24" i="1" s="1"/>
  <c r="R24" i="1" s="1"/>
  <c r="P25" i="1"/>
  <c r="Q25" i="1" s="1"/>
  <c r="P26" i="1"/>
  <c r="P27" i="1"/>
  <c r="P28" i="1"/>
  <c r="P29" i="1"/>
  <c r="P30" i="1"/>
  <c r="P31" i="1"/>
  <c r="P32" i="1"/>
  <c r="Q32" i="1" s="1"/>
  <c r="P33" i="1"/>
  <c r="P34" i="1"/>
  <c r="P35" i="1"/>
  <c r="P36" i="1"/>
  <c r="P37" i="1"/>
  <c r="P38" i="1"/>
  <c r="P39" i="1"/>
  <c r="P40" i="1"/>
  <c r="P41" i="1"/>
  <c r="Q41" i="1" s="1"/>
  <c r="P42" i="1"/>
  <c r="P43" i="1"/>
  <c r="P44" i="1"/>
  <c r="P45" i="1"/>
  <c r="Q45" i="1" s="1"/>
  <c r="P46" i="1"/>
  <c r="Q46" i="1" s="1"/>
  <c r="P47" i="1"/>
  <c r="P48" i="1"/>
  <c r="P49" i="1"/>
  <c r="P50" i="1"/>
  <c r="P51" i="1"/>
  <c r="P52" i="1"/>
  <c r="P53" i="1"/>
  <c r="P54" i="1"/>
  <c r="Q54" i="1" s="1"/>
  <c r="R54" i="1" s="1"/>
  <c r="P55" i="1"/>
  <c r="P56" i="1"/>
  <c r="Q56" i="1" s="1"/>
  <c r="P57" i="1"/>
  <c r="Q57" i="1" s="1"/>
  <c r="P58" i="1"/>
  <c r="P59" i="1"/>
  <c r="P60" i="1"/>
  <c r="P61" i="1"/>
  <c r="P62" i="1"/>
  <c r="P63" i="1"/>
  <c r="Q63" i="1" s="1"/>
  <c r="P64" i="1"/>
  <c r="Q64" i="1" s="1"/>
  <c r="R64" i="1" s="1"/>
  <c r="P65" i="1"/>
  <c r="Q65" i="1" s="1"/>
  <c r="R65" i="1" s="1"/>
  <c r="P66" i="1"/>
  <c r="P67" i="1"/>
  <c r="P68" i="1"/>
  <c r="P69" i="1"/>
  <c r="P70" i="1"/>
  <c r="P71" i="1"/>
  <c r="P72" i="1"/>
  <c r="P73" i="1"/>
  <c r="Q73" i="1" s="1"/>
  <c r="P74" i="1"/>
  <c r="P75" i="1"/>
  <c r="P76" i="1"/>
  <c r="P77" i="1"/>
  <c r="P78" i="1"/>
  <c r="Q78" i="1" s="1"/>
  <c r="P79" i="1"/>
  <c r="P80" i="1"/>
  <c r="P81" i="1"/>
  <c r="P82" i="1"/>
  <c r="P83" i="1"/>
  <c r="P84" i="1"/>
  <c r="P85" i="1"/>
  <c r="Q85" i="1" s="1"/>
  <c r="P86" i="1"/>
  <c r="Q86" i="1" s="1"/>
  <c r="P87" i="1"/>
  <c r="Q87" i="1" s="1"/>
  <c r="P88" i="1"/>
  <c r="Q88" i="1" s="1"/>
  <c r="P89" i="1"/>
  <c r="Q89" i="1" s="1"/>
  <c r="P90" i="1"/>
  <c r="P91" i="1"/>
  <c r="P92" i="1"/>
  <c r="P93" i="1"/>
  <c r="P94" i="1"/>
  <c r="P95" i="1"/>
  <c r="P96" i="1"/>
  <c r="P97" i="1"/>
  <c r="P98" i="1"/>
  <c r="P99" i="1"/>
  <c r="P100" i="1"/>
  <c r="P101" i="1"/>
  <c r="P102" i="1"/>
  <c r="P103" i="1"/>
  <c r="P104" i="1"/>
  <c r="P105" i="1"/>
  <c r="Q105" i="1" s="1"/>
  <c r="P106" i="1"/>
  <c r="P107" i="1"/>
  <c r="P108" i="1"/>
  <c r="P109" i="1"/>
  <c r="P110" i="1"/>
  <c r="P111" i="1"/>
  <c r="Q111" i="1" s="1"/>
  <c r="P112" i="1"/>
  <c r="P113" i="1"/>
  <c r="P114" i="1"/>
  <c r="P115" i="1"/>
  <c r="P116" i="1"/>
  <c r="P117" i="1"/>
  <c r="P118" i="1"/>
  <c r="Q118" i="1" s="1"/>
  <c r="P119" i="1"/>
  <c r="P120" i="1"/>
  <c r="Q120" i="1" s="1"/>
  <c r="P121" i="1"/>
  <c r="Q121" i="1" s="1"/>
  <c r="P122" i="1"/>
  <c r="P123" i="1"/>
  <c r="P124" i="1"/>
  <c r="P125" i="1"/>
  <c r="P126" i="1"/>
  <c r="P127" i="1"/>
  <c r="P128" i="1"/>
  <c r="Q128" i="1" s="1"/>
  <c r="P129" i="1"/>
  <c r="Q129" i="1" s="1"/>
  <c r="P130" i="1"/>
  <c r="P131" i="1"/>
  <c r="P132" i="1"/>
  <c r="Q132" i="1" s="1"/>
  <c r="P133" i="1"/>
  <c r="P134" i="1"/>
  <c r="P135" i="1"/>
  <c r="P136" i="1"/>
  <c r="P137" i="1"/>
  <c r="P138" i="1"/>
  <c r="P139" i="1"/>
  <c r="P140" i="1"/>
  <c r="P141" i="1"/>
  <c r="P142" i="1"/>
  <c r="Q142" i="1" s="1"/>
  <c r="P143" i="1"/>
  <c r="P144" i="1"/>
  <c r="P145" i="1"/>
  <c r="P146" i="1"/>
  <c r="P147" i="1"/>
  <c r="P148" i="1"/>
  <c r="P149" i="1"/>
  <c r="Q149" i="1" s="1"/>
  <c r="P150" i="1"/>
  <c r="Q150" i="1" s="1"/>
  <c r="P151" i="1"/>
  <c r="Q151" i="1" s="1"/>
  <c r="P152" i="1"/>
  <c r="Q152" i="1" s="1"/>
  <c r="P153" i="1"/>
  <c r="P154" i="1"/>
  <c r="P155" i="1"/>
  <c r="P156" i="1"/>
  <c r="P157" i="1"/>
  <c r="P158" i="1"/>
  <c r="P159" i="1"/>
  <c r="P160" i="1"/>
  <c r="P161" i="1"/>
  <c r="P162" i="1"/>
  <c r="P163" i="1"/>
  <c r="P164" i="1"/>
  <c r="P165" i="1"/>
  <c r="P166" i="1"/>
  <c r="P167" i="1"/>
  <c r="P168" i="1"/>
  <c r="Q168" i="1" s="1"/>
  <c r="P169" i="1"/>
  <c r="Q169" i="1" s="1"/>
  <c r="P170" i="1"/>
  <c r="Q170" i="1" s="1"/>
  <c r="P171" i="1"/>
  <c r="Q171" i="1" s="1"/>
  <c r="P172" i="1"/>
  <c r="Q172" i="1" s="1"/>
  <c r="P173" i="1"/>
  <c r="P174" i="1"/>
  <c r="Q174" i="1" s="1"/>
  <c r="P175" i="1"/>
  <c r="Q175" i="1" s="1"/>
  <c r="P176" i="1"/>
  <c r="P177" i="1"/>
  <c r="P178" i="1"/>
  <c r="P179" i="1"/>
  <c r="P180" i="1"/>
  <c r="P181" i="1"/>
  <c r="P182" i="1"/>
  <c r="P183" i="1"/>
  <c r="P184" i="1"/>
  <c r="P185" i="1"/>
  <c r="P186" i="1"/>
  <c r="Q186" i="1" s="1"/>
  <c r="P187" i="1"/>
  <c r="P188" i="1"/>
  <c r="Q188" i="1" s="1"/>
  <c r="P189" i="1"/>
  <c r="P190" i="1"/>
  <c r="Q190" i="1" s="1"/>
  <c r="P191" i="1"/>
  <c r="P192" i="1"/>
  <c r="P193" i="1"/>
  <c r="P194" i="1"/>
  <c r="P195" i="1"/>
  <c r="P196" i="1"/>
  <c r="P197" i="1"/>
  <c r="P198" i="1"/>
  <c r="Q198" i="1" s="1"/>
  <c r="P199" i="1"/>
  <c r="P200" i="1"/>
  <c r="P201" i="1"/>
  <c r="P202" i="1"/>
  <c r="P203" i="1"/>
  <c r="P204" i="1"/>
  <c r="P205" i="1"/>
  <c r="Q205" i="1" s="1"/>
  <c r="P206" i="1"/>
  <c r="Q206" i="1" s="1"/>
  <c r="P207" i="1"/>
  <c r="P208" i="1"/>
  <c r="P209" i="1"/>
  <c r="P210" i="1"/>
  <c r="P211" i="1"/>
  <c r="P212" i="1"/>
  <c r="P213" i="1"/>
  <c r="P214" i="1"/>
  <c r="Q214" i="1" s="1"/>
  <c r="P215" i="1"/>
  <c r="P216" i="1"/>
  <c r="P217" i="1"/>
  <c r="P218" i="1"/>
  <c r="P219" i="1"/>
  <c r="P220" i="1"/>
  <c r="P221" i="1"/>
  <c r="P222" i="1"/>
  <c r="Q222" i="1" s="1"/>
  <c r="P223" i="1"/>
  <c r="P224" i="1"/>
  <c r="Q224" i="1" s="1"/>
  <c r="P225" i="1"/>
  <c r="P226" i="1"/>
  <c r="P227" i="1"/>
  <c r="P228" i="1"/>
  <c r="Q228" i="1" s="1"/>
  <c r="P229" i="1"/>
  <c r="P230" i="1"/>
  <c r="Q230" i="1" s="1"/>
  <c r="P231" i="1"/>
  <c r="P232" i="1"/>
  <c r="P233" i="1"/>
  <c r="P234" i="1"/>
  <c r="P235" i="1"/>
  <c r="P236" i="1"/>
  <c r="Q236" i="1" s="1"/>
  <c r="P237" i="1"/>
  <c r="Q237" i="1" s="1"/>
  <c r="P238" i="1"/>
  <c r="Q238" i="1" s="1"/>
  <c r="P239" i="1"/>
  <c r="P240" i="1"/>
  <c r="P241" i="1"/>
  <c r="P242" i="1"/>
  <c r="P243" i="1"/>
  <c r="P244" i="1"/>
  <c r="P245" i="1"/>
  <c r="P246" i="1"/>
  <c r="Q246" i="1" s="1"/>
  <c r="P247" i="1"/>
  <c r="P248" i="1"/>
  <c r="P249" i="1"/>
  <c r="P250" i="1"/>
  <c r="P251" i="1"/>
  <c r="P252" i="1"/>
  <c r="P253" i="1"/>
  <c r="P254" i="1"/>
  <c r="Q254" i="1" s="1"/>
  <c r="P255" i="1"/>
  <c r="P256" i="1"/>
  <c r="Q256" i="1" s="1"/>
  <c r="P257" i="1"/>
  <c r="Q257" i="1" s="1"/>
  <c r="P258" i="1"/>
  <c r="P259" i="1"/>
  <c r="P260" i="1"/>
  <c r="P261" i="1"/>
  <c r="P262" i="1"/>
  <c r="Q262" i="1" s="1"/>
  <c r="P263" i="1"/>
  <c r="P264" i="1"/>
  <c r="P265" i="1"/>
  <c r="P266" i="1"/>
  <c r="P267" i="1"/>
  <c r="P268" i="1"/>
  <c r="Q268" i="1" s="1"/>
  <c r="P269" i="1"/>
  <c r="Q269" i="1" s="1"/>
  <c r="P270" i="1"/>
  <c r="Q270" i="1" s="1"/>
  <c r="P271" i="1"/>
  <c r="P272" i="1"/>
  <c r="P273" i="1"/>
  <c r="P274" i="1"/>
  <c r="P275" i="1"/>
  <c r="P276" i="1"/>
  <c r="P277" i="1"/>
  <c r="P278" i="1"/>
  <c r="Q278" i="1" s="1"/>
  <c r="P279" i="1"/>
  <c r="P280" i="1"/>
  <c r="Q280" i="1" s="1"/>
  <c r="P281" i="1"/>
  <c r="Q281" i="1" s="1"/>
  <c r="P282" i="1"/>
  <c r="P283" i="1"/>
  <c r="P284" i="1"/>
  <c r="Q284" i="1" s="1"/>
  <c r="P285" i="1"/>
  <c r="P286" i="1"/>
  <c r="Q286" i="1" s="1"/>
  <c r="P287" i="1"/>
  <c r="P288" i="1"/>
  <c r="Q288" i="1" s="1"/>
  <c r="P289" i="1"/>
  <c r="P290" i="1"/>
  <c r="P291" i="1"/>
  <c r="P292" i="1"/>
  <c r="Q292" i="1" s="1"/>
  <c r="P293" i="1"/>
  <c r="P294" i="1"/>
  <c r="Q294" i="1" s="1"/>
  <c r="P295" i="1"/>
  <c r="P296" i="1"/>
  <c r="P297" i="1"/>
  <c r="P298" i="1"/>
  <c r="P299" i="1"/>
  <c r="Q299" i="1" s="1"/>
  <c r="P300" i="1"/>
  <c r="Q300" i="1" s="1"/>
  <c r="P301" i="1"/>
  <c r="Q301" i="1" s="1"/>
  <c r="P302" i="1"/>
  <c r="Q302" i="1" s="1"/>
  <c r="P303" i="1"/>
  <c r="P304" i="1"/>
  <c r="P305" i="1"/>
  <c r="P306" i="1"/>
  <c r="P307" i="1"/>
  <c r="P308" i="1"/>
  <c r="P309" i="1"/>
  <c r="P310" i="1"/>
  <c r="P311" i="1"/>
  <c r="P312" i="1"/>
  <c r="P313" i="1"/>
  <c r="Q313" i="1" s="1"/>
  <c r="P314" i="1"/>
  <c r="P315" i="1"/>
  <c r="Q315" i="1" s="1"/>
  <c r="P316" i="1"/>
  <c r="Q316" i="1" s="1"/>
  <c r="P317" i="1"/>
  <c r="P318" i="1"/>
  <c r="Q318" i="1" s="1"/>
  <c r="P319" i="1"/>
  <c r="P320" i="1"/>
  <c r="Q320" i="1" s="1"/>
  <c r="P321" i="1"/>
  <c r="Q321" i="1" s="1"/>
  <c r="P322" i="1"/>
  <c r="P323" i="1"/>
  <c r="P324" i="1"/>
  <c r="P325" i="1"/>
  <c r="P326" i="1"/>
  <c r="Q326" i="1" s="1"/>
  <c r="P327" i="1"/>
  <c r="P328" i="1"/>
  <c r="P329" i="1"/>
  <c r="P330" i="1"/>
  <c r="P331" i="1"/>
  <c r="P332" i="1"/>
  <c r="P333" i="1"/>
  <c r="Q333" i="1" s="1"/>
  <c r="P334" i="1"/>
  <c r="Q334" i="1" s="1"/>
  <c r="P335" i="1"/>
  <c r="P336" i="1"/>
  <c r="P337" i="1"/>
  <c r="P338" i="1"/>
  <c r="P339" i="1"/>
  <c r="P340" i="1"/>
  <c r="P341" i="1"/>
  <c r="P342" i="1"/>
  <c r="Q342" i="1" s="1"/>
  <c r="P343" i="1"/>
  <c r="Q343" i="1" s="1"/>
  <c r="P344" i="1"/>
  <c r="Q344" i="1" s="1"/>
  <c r="P345" i="1"/>
  <c r="Q345" i="1" s="1"/>
  <c r="P346" i="1"/>
  <c r="P347" i="1"/>
  <c r="P348" i="1"/>
  <c r="P349" i="1"/>
  <c r="P350" i="1"/>
  <c r="P351" i="1"/>
  <c r="P352" i="1"/>
  <c r="P353" i="1"/>
  <c r="P354" i="1"/>
  <c r="P355" i="1"/>
  <c r="P356" i="1"/>
  <c r="P357" i="1"/>
  <c r="P358" i="1"/>
  <c r="Q358" i="1" s="1"/>
  <c r="P359" i="1"/>
  <c r="P360" i="1"/>
  <c r="P361" i="1"/>
  <c r="P362" i="1"/>
  <c r="P363" i="1"/>
  <c r="Q363" i="1" s="1"/>
  <c r="P364" i="1"/>
  <c r="Q364" i="1" s="1"/>
  <c r="P365" i="1"/>
  <c r="Q365" i="1" s="1"/>
  <c r="P366" i="1"/>
  <c r="P367" i="1"/>
  <c r="P368" i="1"/>
  <c r="P369" i="1"/>
  <c r="P370" i="1"/>
  <c r="P371" i="1"/>
  <c r="P372" i="1"/>
  <c r="P373" i="1"/>
  <c r="P374" i="1"/>
  <c r="P375" i="1"/>
  <c r="P376" i="1"/>
  <c r="P377" i="1"/>
  <c r="Q377" i="1" s="1"/>
  <c r="P378" i="1"/>
  <c r="P379" i="1"/>
  <c r="P380" i="1"/>
  <c r="Q380" i="1" s="1"/>
  <c r="P381" i="1"/>
  <c r="P382" i="1"/>
  <c r="Q382" i="1" s="1"/>
  <c r="P383" i="1"/>
  <c r="P384" i="1"/>
  <c r="P385" i="1"/>
  <c r="P386" i="1"/>
  <c r="P387" i="1"/>
  <c r="P388" i="1"/>
  <c r="P389" i="1"/>
  <c r="P390" i="1"/>
  <c r="Q390" i="1" s="1"/>
  <c r="P391" i="1"/>
  <c r="P392" i="1"/>
  <c r="P393" i="1"/>
  <c r="P394" i="1"/>
  <c r="P395" i="1"/>
  <c r="P396" i="1"/>
  <c r="P397" i="1"/>
  <c r="Q397" i="1" s="1"/>
  <c r="P398" i="1"/>
  <c r="Q398" i="1" s="1"/>
  <c r="P399" i="1"/>
  <c r="Q399" i="1" s="1"/>
  <c r="P400" i="1"/>
  <c r="P401" i="1"/>
  <c r="P402" i="1"/>
  <c r="P403" i="1"/>
  <c r="P404" i="1"/>
  <c r="P405" i="1"/>
  <c r="P406" i="1"/>
  <c r="Q406" i="1" s="1"/>
  <c r="R406" i="1" s="1"/>
  <c r="P407" i="1"/>
  <c r="Q407" i="1" s="1"/>
  <c r="P408" i="1"/>
  <c r="P409" i="1"/>
  <c r="P410" i="1"/>
  <c r="P411" i="1"/>
  <c r="Q411" i="1" s="1"/>
  <c r="P412" i="1"/>
  <c r="P413" i="1"/>
  <c r="P414" i="1"/>
  <c r="Q414" i="1" s="1"/>
  <c r="P415" i="1"/>
  <c r="P416" i="1"/>
  <c r="P417" i="1"/>
  <c r="P418" i="1"/>
  <c r="P419" i="1"/>
  <c r="P420" i="1"/>
  <c r="P421" i="1"/>
  <c r="P422" i="1"/>
  <c r="Q422" i="1" s="1"/>
  <c r="P423" i="1"/>
  <c r="P424" i="1"/>
  <c r="P425" i="1"/>
  <c r="P426" i="1"/>
  <c r="P427" i="1"/>
  <c r="P428" i="1"/>
  <c r="Q428" i="1" s="1"/>
  <c r="P429" i="1"/>
  <c r="Q429" i="1" s="1"/>
  <c r="P430" i="1"/>
  <c r="Q430" i="1" s="1"/>
  <c r="P431" i="1"/>
  <c r="P432" i="1"/>
  <c r="P433" i="1"/>
  <c r="P434" i="1"/>
  <c r="P435" i="1"/>
  <c r="P436" i="1"/>
  <c r="P437" i="1"/>
  <c r="P438" i="1"/>
  <c r="Q438" i="1" s="1"/>
  <c r="P439" i="1"/>
  <c r="P440" i="1"/>
  <c r="P441" i="1"/>
  <c r="P442" i="1"/>
  <c r="P443" i="1"/>
  <c r="Q443" i="1" s="1"/>
  <c r="P444" i="1"/>
  <c r="P445" i="1"/>
  <c r="P446" i="1"/>
  <c r="Q446" i="1" s="1"/>
  <c r="P447" i="1"/>
  <c r="P448" i="1"/>
  <c r="P449" i="1"/>
  <c r="P450" i="1"/>
  <c r="P451" i="1"/>
  <c r="Q451" i="1" s="1"/>
  <c r="P452" i="1"/>
  <c r="Q452" i="1" s="1"/>
  <c r="P453" i="1"/>
  <c r="P454" i="1"/>
  <c r="Q454" i="1" s="1"/>
  <c r="P455" i="1"/>
  <c r="P456" i="1"/>
  <c r="P457" i="1"/>
  <c r="P458" i="1"/>
  <c r="P459" i="1"/>
  <c r="Q459" i="1" s="1"/>
  <c r="P460" i="1"/>
  <c r="Q460" i="1" s="1"/>
  <c r="P461" i="1"/>
  <c r="Q461" i="1" s="1"/>
  <c r="P462" i="1"/>
  <c r="Q462" i="1" s="1"/>
  <c r="P463" i="1"/>
  <c r="Q463" i="1" s="1"/>
  <c r="P464" i="1"/>
  <c r="P465" i="1"/>
  <c r="P466" i="1"/>
  <c r="P467" i="1"/>
  <c r="P468" i="1"/>
  <c r="P469" i="1"/>
  <c r="P470" i="1"/>
  <c r="Q470" i="1" s="1"/>
  <c r="P471" i="1"/>
  <c r="P472" i="1"/>
  <c r="P473" i="1"/>
  <c r="P474" i="1"/>
  <c r="P475" i="1"/>
  <c r="P476" i="1"/>
  <c r="P477" i="1"/>
  <c r="P478" i="1"/>
  <c r="Q478" i="1" s="1"/>
  <c r="P479" i="1"/>
  <c r="P480" i="1"/>
  <c r="Q480" i="1" s="1"/>
  <c r="P481" i="1"/>
  <c r="P482" i="1"/>
  <c r="P483" i="1"/>
  <c r="P484" i="1"/>
  <c r="P485" i="1"/>
  <c r="P486" i="1"/>
  <c r="Q486" i="1" s="1"/>
  <c r="P487" i="1"/>
  <c r="P488" i="1"/>
  <c r="P489" i="1"/>
  <c r="P490" i="1"/>
  <c r="P491" i="1"/>
  <c r="Q491" i="1" s="1"/>
  <c r="P492" i="1"/>
  <c r="P493" i="1"/>
  <c r="Q493" i="1" s="1"/>
  <c r="P494" i="1"/>
  <c r="Q494" i="1" s="1"/>
  <c r="P495" i="1"/>
  <c r="P496" i="1"/>
  <c r="P497" i="1"/>
  <c r="P498" i="1"/>
  <c r="P499" i="1"/>
  <c r="P500" i="1"/>
  <c r="P501" i="1"/>
  <c r="P502" i="1"/>
  <c r="Q502" i="1" s="1"/>
  <c r="P503" i="1"/>
  <c r="P504" i="1"/>
  <c r="P505" i="1"/>
  <c r="P506" i="1"/>
  <c r="P507" i="1"/>
  <c r="P508" i="1"/>
  <c r="Q508" i="1" s="1"/>
  <c r="P509" i="1"/>
  <c r="P510" i="1"/>
  <c r="Q510" i="1" s="1"/>
  <c r="P511" i="1"/>
  <c r="P512" i="1"/>
  <c r="Q512" i="1" s="1"/>
  <c r="P513" i="1"/>
  <c r="Q513" i="1" s="1"/>
  <c r="P514" i="1"/>
  <c r="P515" i="1"/>
  <c r="Q515" i="1" s="1"/>
  <c r="P516" i="1"/>
  <c r="Q516" i="1" s="1"/>
  <c r="P517" i="1"/>
  <c r="P518" i="1"/>
  <c r="Q518" i="1" s="1"/>
  <c r="P519" i="1"/>
  <c r="P520" i="1"/>
  <c r="P521" i="1"/>
  <c r="P522" i="1"/>
  <c r="P523" i="1"/>
  <c r="Q523" i="1" s="1"/>
  <c r="P524" i="1"/>
  <c r="Q524" i="1" s="1"/>
  <c r="P525" i="1"/>
  <c r="Q525" i="1" s="1"/>
  <c r="P526" i="1"/>
  <c r="Q526" i="1" s="1"/>
  <c r="P527" i="1"/>
  <c r="P528" i="1"/>
  <c r="P529" i="1"/>
  <c r="P530" i="1"/>
  <c r="P531" i="1"/>
  <c r="P532" i="1"/>
  <c r="P533" i="1"/>
  <c r="P534" i="1"/>
  <c r="Q534" i="1" s="1"/>
  <c r="P535" i="1"/>
  <c r="P536" i="1"/>
  <c r="Q536" i="1" s="1"/>
  <c r="P537" i="1"/>
  <c r="Q537" i="1" s="1"/>
  <c r="P538" i="1"/>
  <c r="P539" i="1"/>
  <c r="P540" i="1"/>
  <c r="Q540" i="1" s="1"/>
  <c r="P541" i="1"/>
  <c r="P542" i="1"/>
  <c r="Q542" i="1" s="1"/>
  <c r="P543" i="1"/>
  <c r="P544" i="1"/>
  <c r="Q544" i="1" s="1"/>
  <c r="P545" i="1"/>
  <c r="P546" i="1"/>
  <c r="P547" i="1"/>
  <c r="P548" i="1"/>
  <c r="P549" i="1"/>
  <c r="P550" i="1"/>
  <c r="Q550" i="1" s="1"/>
  <c r="P551" i="1"/>
  <c r="P552" i="1"/>
  <c r="P553" i="1"/>
  <c r="P554" i="1"/>
  <c r="P555" i="1"/>
  <c r="Q555" i="1" s="1"/>
  <c r="P556" i="1"/>
  <c r="P557" i="1"/>
  <c r="Q557" i="1" s="1"/>
  <c r="P558" i="1"/>
  <c r="Q558" i="1" s="1"/>
  <c r="P559" i="1"/>
  <c r="P560" i="1"/>
  <c r="P561" i="1"/>
  <c r="P562" i="1"/>
  <c r="P563" i="1"/>
  <c r="P564" i="1"/>
  <c r="P565" i="1"/>
  <c r="P566" i="1"/>
  <c r="Q566" i="1" s="1"/>
  <c r="P567" i="1"/>
  <c r="P568" i="1"/>
  <c r="P569" i="1"/>
  <c r="Q569" i="1" s="1"/>
  <c r="P570" i="1"/>
  <c r="P571" i="1"/>
  <c r="P572" i="1"/>
  <c r="P573" i="1"/>
  <c r="P574" i="1"/>
  <c r="Q574" i="1" s="1"/>
  <c r="P575" i="1"/>
  <c r="P576" i="1"/>
  <c r="Q576" i="1" s="1"/>
  <c r="P577" i="1"/>
  <c r="Q577" i="1" s="1"/>
  <c r="P578" i="1"/>
  <c r="P579" i="1"/>
  <c r="P580" i="1"/>
  <c r="P581" i="1"/>
  <c r="P582" i="1"/>
  <c r="Q582" i="1" s="1"/>
  <c r="P583" i="1"/>
  <c r="P584" i="1"/>
  <c r="P585" i="1"/>
  <c r="P586" i="1"/>
  <c r="P587" i="1"/>
  <c r="P588" i="1"/>
  <c r="Q588" i="1" s="1"/>
  <c r="P589" i="1"/>
  <c r="Q589" i="1" s="1"/>
  <c r="P590" i="1"/>
  <c r="Q590" i="1" s="1"/>
  <c r="P591" i="1"/>
  <c r="P592" i="1"/>
  <c r="P593" i="1"/>
  <c r="P594" i="1"/>
  <c r="P595" i="1"/>
  <c r="P596" i="1"/>
  <c r="P597" i="1"/>
  <c r="P598" i="1"/>
  <c r="P599" i="1"/>
  <c r="P600" i="1"/>
  <c r="Q600" i="1" s="1"/>
  <c r="P601" i="1"/>
  <c r="Q601" i="1" s="1"/>
  <c r="P602" i="1"/>
  <c r="P603" i="1"/>
  <c r="P604" i="1"/>
  <c r="P605" i="1"/>
  <c r="P606" i="1"/>
  <c r="Q606" i="1" s="1"/>
  <c r="P607" i="1"/>
  <c r="P608" i="1"/>
  <c r="P609" i="1"/>
  <c r="P610" i="1"/>
  <c r="P611" i="1"/>
  <c r="P612" i="1"/>
  <c r="P613" i="1"/>
  <c r="P614" i="1"/>
  <c r="Q614" i="1" s="1"/>
  <c r="P615" i="1"/>
  <c r="P616" i="1"/>
  <c r="P617" i="1"/>
  <c r="P618" i="1"/>
  <c r="P619" i="1"/>
  <c r="Q619" i="1" s="1"/>
  <c r="P620" i="1"/>
  <c r="P621" i="1"/>
  <c r="Q621" i="1" s="1"/>
  <c r="P622" i="1"/>
  <c r="Q622" i="1" s="1"/>
  <c r="R622" i="1" s="1"/>
  <c r="P623" i="1"/>
  <c r="Q623" i="1" s="1"/>
  <c r="P624" i="1"/>
  <c r="P625" i="1"/>
  <c r="P626" i="1"/>
  <c r="P627" i="1"/>
  <c r="P628" i="1"/>
  <c r="P629" i="1"/>
  <c r="P630" i="1"/>
  <c r="Q630" i="1" s="1"/>
  <c r="R630" i="1" s="1"/>
  <c r="P631" i="1"/>
  <c r="P632" i="1"/>
  <c r="P633" i="1"/>
  <c r="Q633" i="1" s="1"/>
  <c r="P634" i="1"/>
  <c r="P635" i="1"/>
  <c r="Q635" i="1" s="1"/>
  <c r="P636" i="1"/>
  <c r="Q636" i="1" s="1"/>
  <c r="P637" i="1"/>
  <c r="P638" i="1"/>
  <c r="Q638" i="1" s="1"/>
  <c r="P639" i="1"/>
  <c r="P640" i="1"/>
  <c r="P641" i="1"/>
  <c r="P642" i="1"/>
  <c r="P643" i="1"/>
  <c r="P644" i="1"/>
  <c r="P645" i="1"/>
  <c r="P646" i="1"/>
  <c r="Q646" i="1" s="1"/>
  <c r="P647" i="1"/>
  <c r="P648" i="1"/>
  <c r="P649" i="1"/>
  <c r="P650" i="1"/>
  <c r="P651" i="1"/>
  <c r="P652" i="1"/>
  <c r="Q652" i="1" s="1"/>
  <c r="P653" i="1"/>
  <c r="Q653" i="1" s="1"/>
  <c r="P654" i="1"/>
  <c r="Q654" i="1" s="1"/>
  <c r="P655" i="1"/>
  <c r="P656" i="1"/>
  <c r="P657" i="1"/>
  <c r="P658" i="1"/>
  <c r="P659" i="1"/>
  <c r="P660" i="1"/>
  <c r="P661" i="1"/>
  <c r="P662" i="1"/>
  <c r="P663" i="1"/>
  <c r="P664" i="1"/>
  <c r="P665" i="1"/>
  <c r="P666" i="1"/>
  <c r="P667" i="1"/>
  <c r="P668" i="1"/>
  <c r="Q668" i="1" s="1"/>
  <c r="P669" i="1"/>
  <c r="P670" i="1"/>
  <c r="Q670" i="1" s="1"/>
  <c r="P671" i="1"/>
  <c r="P672" i="1"/>
  <c r="P673" i="1"/>
  <c r="P674" i="1"/>
  <c r="P675" i="1"/>
  <c r="P676" i="1"/>
  <c r="P677" i="1"/>
  <c r="P678" i="1"/>
  <c r="Q678" i="1" s="1"/>
  <c r="P679" i="1"/>
  <c r="P680" i="1"/>
  <c r="P681" i="1"/>
  <c r="P682" i="1"/>
  <c r="Q682" i="1" s="1"/>
  <c r="P683" i="1"/>
  <c r="P684" i="1"/>
  <c r="Q684" i="1" s="1"/>
  <c r="P685" i="1"/>
  <c r="Q685" i="1" s="1"/>
  <c r="R685" i="1" s="1"/>
  <c r="P686" i="1"/>
  <c r="Q686" i="1" s="1"/>
  <c r="P687" i="1"/>
  <c r="P688" i="1"/>
  <c r="P689" i="1"/>
  <c r="P690" i="1"/>
  <c r="P691" i="1"/>
  <c r="P692" i="1"/>
  <c r="P693" i="1"/>
  <c r="P694" i="1"/>
  <c r="Q694" i="1" s="1"/>
  <c r="P695" i="1"/>
  <c r="P696" i="1"/>
  <c r="P697" i="1"/>
  <c r="P698" i="1"/>
  <c r="P699" i="1"/>
  <c r="P700" i="1"/>
  <c r="P701" i="1"/>
  <c r="P702" i="1"/>
  <c r="Q702" i="1" s="1"/>
  <c r="P703" i="1"/>
  <c r="P704" i="1"/>
  <c r="P705" i="1"/>
  <c r="P706" i="1"/>
  <c r="P707" i="1"/>
  <c r="P708" i="1"/>
  <c r="P709" i="1"/>
  <c r="P710" i="1"/>
  <c r="Q710" i="1" s="1"/>
  <c r="P711" i="1"/>
  <c r="P712" i="1"/>
  <c r="P713" i="1"/>
  <c r="P714" i="1"/>
  <c r="P715" i="1"/>
  <c r="P716" i="1"/>
  <c r="P717" i="1"/>
  <c r="Q717" i="1" s="1"/>
  <c r="P718" i="1"/>
  <c r="Q718" i="1" s="1"/>
  <c r="P719" i="1"/>
  <c r="P720" i="1"/>
  <c r="P721" i="1"/>
  <c r="P722" i="1"/>
  <c r="Q722" i="1" s="1"/>
  <c r="P723" i="1"/>
  <c r="P724" i="1"/>
  <c r="Q724" i="1" s="1"/>
  <c r="P725" i="1"/>
  <c r="Q725" i="1" s="1"/>
  <c r="P726" i="1"/>
  <c r="Q726" i="1" s="1"/>
  <c r="P727" i="1"/>
  <c r="P728" i="1"/>
  <c r="P729" i="1"/>
  <c r="P730" i="1"/>
  <c r="Q730" i="1" s="1"/>
  <c r="P731" i="1"/>
  <c r="Q731" i="1" s="1"/>
  <c r="P732" i="1"/>
  <c r="P733" i="1"/>
  <c r="Q733" i="1" s="1"/>
  <c r="P734" i="1"/>
  <c r="Q734" i="1" s="1"/>
  <c r="P735" i="1"/>
  <c r="P736" i="1"/>
  <c r="P737" i="1"/>
  <c r="P738" i="1"/>
  <c r="P739" i="1"/>
  <c r="P740" i="1"/>
  <c r="Q740" i="1" s="1"/>
  <c r="P741" i="1"/>
  <c r="P742" i="1"/>
  <c r="Q742" i="1" s="1"/>
  <c r="P743" i="1"/>
  <c r="P744" i="1"/>
  <c r="P745" i="1"/>
  <c r="P746" i="1"/>
  <c r="P747" i="1"/>
  <c r="Q747" i="1" s="1"/>
  <c r="P748" i="1"/>
  <c r="P749" i="1"/>
  <c r="Q749" i="1" s="1"/>
  <c r="P750" i="1"/>
  <c r="Q750" i="1" s="1"/>
  <c r="P751" i="1"/>
  <c r="P752" i="1"/>
  <c r="P753" i="1"/>
  <c r="P754" i="1"/>
  <c r="P755" i="1"/>
  <c r="P756" i="1"/>
  <c r="P757" i="1"/>
  <c r="P758" i="1"/>
  <c r="Q758" i="1" s="1"/>
  <c r="P759" i="1"/>
  <c r="P760" i="1"/>
  <c r="P761" i="1"/>
  <c r="P762" i="1"/>
  <c r="P763" i="1"/>
  <c r="P764" i="1"/>
  <c r="Q764" i="1" s="1"/>
  <c r="P765" i="1"/>
  <c r="Q765" i="1" s="1"/>
  <c r="R765" i="1" s="1"/>
  <c r="P766" i="1"/>
  <c r="Q766" i="1" s="1"/>
  <c r="P767" i="1"/>
  <c r="P768" i="1"/>
  <c r="P769" i="1"/>
  <c r="P770" i="1"/>
  <c r="Q770" i="1" s="1"/>
  <c r="P771" i="1"/>
  <c r="P772" i="1"/>
  <c r="P773" i="1"/>
  <c r="Q773" i="1" s="1"/>
  <c r="P774" i="1"/>
  <c r="Q774" i="1" s="1"/>
  <c r="P775" i="1"/>
  <c r="P776" i="1"/>
  <c r="P777" i="1"/>
  <c r="P778" i="1"/>
  <c r="P779" i="1"/>
  <c r="Q779" i="1" s="1"/>
  <c r="P780" i="1"/>
  <c r="P781" i="1"/>
  <c r="Q781" i="1" s="1"/>
  <c r="P782" i="1"/>
  <c r="Q782" i="1" s="1"/>
  <c r="P783" i="1"/>
  <c r="P784" i="1"/>
  <c r="P785" i="1"/>
  <c r="P786" i="1"/>
  <c r="P787" i="1"/>
  <c r="P788" i="1"/>
  <c r="Q788" i="1" s="1"/>
  <c r="P789" i="1"/>
  <c r="P790" i="1"/>
  <c r="Q790" i="1" s="1"/>
  <c r="P791" i="1"/>
  <c r="P792" i="1"/>
  <c r="P793" i="1"/>
  <c r="P794" i="1"/>
  <c r="P795" i="1"/>
  <c r="Q795" i="1" s="1"/>
  <c r="P796" i="1"/>
  <c r="Q796" i="1" s="1"/>
  <c r="P797" i="1"/>
  <c r="P798" i="1"/>
  <c r="P799" i="1"/>
  <c r="P800" i="1"/>
  <c r="P801" i="1"/>
  <c r="P802" i="1"/>
  <c r="P803" i="1"/>
  <c r="P804" i="1"/>
  <c r="P805" i="1"/>
  <c r="P806" i="1"/>
  <c r="Q806" i="1" s="1"/>
  <c r="P807" i="1"/>
  <c r="P808" i="1"/>
  <c r="P809" i="1"/>
  <c r="P810" i="1"/>
  <c r="Q810" i="1" s="1"/>
  <c r="P811" i="1"/>
  <c r="P812" i="1"/>
  <c r="P813" i="1"/>
  <c r="P814" i="1"/>
  <c r="Q814" i="1" s="1"/>
  <c r="P815" i="1"/>
  <c r="P816" i="1"/>
  <c r="P817" i="1"/>
  <c r="P818" i="1"/>
  <c r="P819" i="1"/>
  <c r="P820" i="1"/>
  <c r="P821" i="1"/>
  <c r="P822" i="1"/>
  <c r="Q822" i="1" s="1"/>
  <c r="P823" i="1"/>
  <c r="P824" i="1"/>
  <c r="P825" i="1"/>
  <c r="P826" i="1"/>
  <c r="P827" i="1"/>
  <c r="Q827" i="1" s="1"/>
  <c r="P828" i="1"/>
  <c r="Q828" i="1" s="1"/>
  <c r="P829" i="1"/>
  <c r="P830" i="1"/>
  <c r="Q830" i="1" s="1"/>
  <c r="P831" i="1"/>
  <c r="P832" i="1"/>
  <c r="P833" i="1"/>
  <c r="P834" i="1"/>
  <c r="P835" i="1"/>
  <c r="P836" i="1"/>
  <c r="P837" i="1"/>
  <c r="P838" i="1"/>
  <c r="Q838" i="1" s="1"/>
  <c r="P839" i="1"/>
  <c r="P840" i="1"/>
  <c r="P841" i="1"/>
  <c r="P842" i="1"/>
  <c r="P843" i="1"/>
  <c r="P844" i="1"/>
  <c r="Q844" i="1" s="1"/>
  <c r="P845" i="1"/>
  <c r="Q845" i="1" s="1"/>
  <c r="P846" i="1"/>
  <c r="Q846" i="1" s="1"/>
  <c r="P847" i="1"/>
  <c r="P848" i="1"/>
  <c r="P849" i="1"/>
  <c r="Q849" i="1" s="1"/>
  <c r="P850" i="1"/>
  <c r="P851" i="1"/>
  <c r="P852" i="1"/>
  <c r="Q852" i="1" s="1"/>
  <c r="P853" i="1"/>
  <c r="Q853" i="1" s="1"/>
  <c r="P854" i="1"/>
  <c r="Q854" i="1" s="1"/>
  <c r="P855" i="1"/>
  <c r="P856" i="1"/>
  <c r="P857" i="1"/>
  <c r="P858" i="1"/>
  <c r="P859" i="1"/>
  <c r="P860" i="1"/>
  <c r="P861" i="1"/>
  <c r="Q861" i="1" s="1"/>
  <c r="P862" i="1"/>
  <c r="P863" i="1"/>
  <c r="P864" i="1"/>
  <c r="Q864" i="1" s="1"/>
  <c r="P865" i="1"/>
  <c r="P866" i="1"/>
  <c r="P867" i="1"/>
  <c r="P868" i="1"/>
  <c r="P869" i="1"/>
  <c r="P870" i="1"/>
  <c r="Q870" i="1" s="1"/>
  <c r="P871" i="1"/>
  <c r="Q871" i="1" s="1"/>
  <c r="P872" i="1"/>
  <c r="Q872" i="1" s="1"/>
  <c r="P873" i="1"/>
  <c r="Q873" i="1" s="1"/>
  <c r="P874" i="1"/>
  <c r="P875" i="1"/>
  <c r="Q875" i="1" s="1"/>
  <c r="P876" i="1"/>
  <c r="P877" i="1"/>
  <c r="Q877" i="1" s="1"/>
  <c r="P878" i="1"/>
  <c r="Q878" i="1" s="1"/>
  <c r="P879" i="1"/>
  <c r="P880" i="1"/>
  <c r="P881" i="1"/>
  <c r="Q881" i="1" s="1"/>
  <c r="P882" i="1"/>
  <c r="P883" i="1"/>
  <c r="P884" i="1"/>
  <c r="P885" i="1"/>
  <c r="P886" i="1"/>
  <c r="P887" i="1"/>
  <c r="P888" i="1"/>
  <c r="P889" i="1"/>
  <c r="P890" i="1"/>
  <c r="P891" i="1"/>
  <c r="P892" i="1"/>
  <c r="P893" i="1"/>
  <c r="P894" i="1"/>
  <c r="Q894" i="1" s="1"/>
  <c r="R894" i="1" s="1"/>
  <c r="P895" i="1"/>
  <c r="Q895" i="1" s="1"/>
  <c r="P896" i="1"/>
  <c r="Q896" i="1" s="1"/>
  <c r="P897" i="1"/>
  <c r="P898" i="1"/>
  <c r="P899" i="1"/>
  <c r="P900" i="1"/>
  <c r="P901" i="1"/>
  <c r="P902" i="1"/>
  <c r="Q902" i="1" s="1"/>
  <c r="P903" i="1"/>
  <c r="P904" i="1"/>
  <c r="Q904" i="1" s="1"/>
  <c r="P905" i="1"/>
  <c r="Q905" i="1" s="1"/>
  <c r="P906" i="1"/>
  <c r="P907" i="1"/>
  <c r="Q907" i="1" s="1"/>
  <c r="P908" i="1"/>
  <c r="P909" i="1"/>
  <c r="Q909" i="1" s="1"/>
  <c r="P910" i="1"/>
  <c r="Q910" i="1" s="1"/>
  <c r="P911" i="1"/>
  <c r="P912" i="1"/>
  <c r="P913" i="1"/>
  <c r="Q913" i="1" s="1"/>
  <c r="P914" i="1"/>
  <c r="P915" i="1"/>
  <c r="P916" i="1"/>
  <c r="P917" i="1"/>
  <c r="Q917" i="1" s="1"/>
  <c r="P918" i="1"/>
  <c r="Q918" i="1" s="1"/>
  <c r="R918" i="1" s="1"/>
  <c r="P919" i="1"/>
  <c r="P920" i="1"/>
  <c r="P921" i="1"/>
  <c r="P922" i="1"/>
  <c r="P923" i="1"/>
  <c r="P924" i="1"/>
  <c r="Q924" i="1" s="1"/>
  <c r="P925" i="1"/>
  <c r="Q925" i="1" s="1"/>
  <c r="P926" i="1"/>
  <c r="Q926" i="1" s="1"/>
  <c r="P927" i="1"/>
  <c r="P928" i="1"/>
  <c r="Q928" i="1" s="1"/>
  <c r="P929" i="1"/>
  <c r="P930" i="1"/>
  <c r="P931" i="1"/>
  <c r="P932" i="1"/>
  <c r="P933" i="1"/>
  <c r="P934" i="1"/>
  <c r="Q934" i="1" s="1"/>
  <c r="P935" i="1"/>
  <c r="Q935" i="1" s="1"/>
  <c r="P936" i="1"/>
  <c r="Q936" i="1" s="1"/>
  <c r="P937" i="1"/>
  <c r="Q937" i="1" s="1"/>
  <c r="P938" i="1"/>
  <c r="P939" i="1"/>
  <c r="Q939" i="1" s="1"/>
  <c r="P940" i="1"/>
  <c r="P941" i="1"/>
  <c r="Q941" i="1" s="1"/>
  <c r="P942" i="1"/>
  <c r="Q942" i="1" s="1"/>
  <c r="P943" i="1"/>
  <c r="P944" i="1"/>
  <c r="P945" i="1"/>
  <c r="Q945" i="1" s="1"/>
  <c r="P946" i="1"/>
  <c r="P947" i="1"/>
  <c r="P948" i="1"/>
  <c r="P949" i="1"/>
  <c r="P950" i="1"/>
  <c r="P951" i="1"/>
  <c r="P952" i="1"/>
  <c r="P953" i="1"/>
  <c r="P954" i="1"/>
  <c r="P955" i="1"/>
  <c r="Q955" i="1" s="1"/>
  <c r="P956" i="1"/>
  <c r="P957" i="1"/>
  <c r="P958" i="1"/>
  <c r="Q958" i="1" s="1"/>
  <c r="R958" i="1" s="1"/>
  <c r="P959" i="1"/>
  <c r="Q959" i="1" s="1"/>
  <c r="P960" i="1"/>
  <c r="Q960" i="1" s="1"/>
  <c r="P961" i="1"/>
  <c r="P962" i="1"/>
  <c r="P963" i="1"/>
  <c r="P964" i="1"/>
  <c r="P965" i="1"/>
  <c r="P966" i="1"/>
  <c r="Q966" i="1" s="1"/>
  <c r="P967" i="1"/>
  <c r="P968" i="1"/>
  <c r="Q968" i="1" s="1"/>
  <c r="P969" i="1"/>
  <c r="Q969" i="1" s="1"/>
  <c r="P970" i="1"/>
  <c r="P971" i="1"/>
  <c r="P972" i="1"/>
  <c r="P973" i="1"/>
  <c r="Q973" i="1" s="1"/>
  <c r="P974" i="1"/>
  <c r="Q974" i="1" s="1"/>
  <c r="P975" i="1"/>
  <c r="P976" i="1"/>
  <c r="P977" i="1"/>
  <c r="Q977" i="1" s="1"/>
  <c r="P978" i="1"/>
  <c r="P979" i="1"/>
  <c r="P980" i="1"/>
  <c r="P981" i="1"/>
  <c r="Q981" i="1" s="1"/>
  <c r="P982" i="1"/>
  <c r="Q982" i="1" s="1"/>
  <c r="P983" i="1"/>
  <c r="P984" i="1"/>
  <c r="P985" i="1"/>
  <c r="P986" i="1"/>
  <c r="P987" i="1"/>
  <c r="P988" i="1"/>
  <c r="P989" i="1"/>
  <c r="Q989" i="1" s="1"/>
  <c r="P990" i="1"/>
  <c r="Q990" i="1" s="1"/>
  <c r="P991" i="1"/>
  <c r="P992" i="1"/>
  <c r="Q992" i="1" s="1"/>
  <c r="P993" i="1"/>
  <c r="P994" i="1"/>
  <c r="P995" i="1"/>
  <c r="P996" i="1"/>
  <c r="P997" i="1"/>
  <c r="P998" i="1"/>
  <c r="P999" i="1"/>
  <c r="Q999" i="1" s="1"/>
  <c r="P1000" i="1"/>
  <c r="Q1000" i="1" s="1"/>
  <c r="P1001" i="1"/>
  <c r="Q1001" i="1" s="1"/>
  <c r="E65" i="3"/>
  <c r="H18" i="3"/>
  <c r="H10" i="3"/>
  <c r="H9" i="3"/>
  <c r="H8" i="3"/>
  <c r="G70" i="3"/>
  <c r="G68" i="3"/>
  <c r="G69" i="3"/>
  <c r="G72" i="3"/>
  <c r="G71" i="3"/>
  <c r="A3" i="4"/>
  <c r="K8" i="3"/>
  <c r="K7" i="3"/>
  <c r="K6" i="3"/>
  <c r="K4" i="3"/>
  <c r="H34" i="3"/>
  <c r="I31" i="3"/>
  <c r="H33" i="3"/>
  <c r="I33" i="3"/>
  <c r="H31" i="3"/>
  <c r="H32" i="3"/>
  <c r="I32" i="3"/>
  <c r="E3" i="4"/>
  <c r="C3" i="4"/>
  <c r="I34" i="3"/>
  <c r="H19" i="3" l="1"/>
  <c r="J31" i="3"/>
  <c r="J32" i="3"/>
  <c r="K32" i="3" s="1"/>
  <c r="J33" i="3"/>
  <c r="K33" i="3" s="1"/>
  <c r="J34" i="3"/>
  <c r="K34" i="3" s="1"/>
  <c r="R174" i="1"/>
  <c r="R895" i="1"/>
  <c r="R770" i="1"/>
  <c r="R463" i="1"/>
  <c r="R344" i="1"/>
  <c r="R224" i="1"/>
  <c r="R982" i="1"/>
  <c r="R896" i="1"/>
  <c r="R512" i="1"/>
  <c r="R280" i="1"/>
  <c r="R977" i="1"/>
  <c r="R873" i="1"/>
  <c r="R633" i="1"/>
  <c r="R345" i="1"/>
  <c r="R960" i="1"/>
  <c r="R872" i="1"/>
  <c r="R577" i="1"/>
  <c r="R121" i="1"/>
  <c r="R86" i="1"/>
  <c r="Q862" i="1"/>
  <c r="R862" i="1" s="1"/>
  <c r="R937" i="1"/>
  <c r="R871" i="1"/>
  <c r="R576" i="1"/>
  <c r="R343" i="1"/>
  <c r="R118" i="1"/>
  <c r="Q110" i="1"/>
  <c r="R110" i="1" s="1"/>
  <c r="R1001" i="1"/>
  <c r="R936" i="1"/>
  <c r="R854" i="1"/>
  <c r="R569" i="1"/>
  <c r="R342" i="1"/>
  <c r="R111" i="1"/>
  <c r="R1000" i="1"/>
  <c r="R935" i="1"/>
  <c r="R853" i="1"/>
  <c r="R566" i="1"/>
  <c r="R288" i="1"/>
  <c r="R999" i="1"/>
  <c r="R913" i="1"/>
  <c r="R849" i="1"/>
  <c r="R513" i="1"/>
  <c r="R281" i="1"/>
  <c r="R57" i="1"/>
  <c r="Q660" i="1"/>
  <c r="R660" i="1" s="1"/>
  <c r="Q596" i="1"/>
  <c r="R596" i="1" s="1"/>
  <c r="Q532" i="1"/>
  <c r="R532" i="1" s="1"/>
  <c r="Q468" i="1"/>
  <c r="R468" i="1" s="1"/>
  <c r="Q436" i="1"/>
  <c r="R436" i="1" s="1"/>
  <c r="Q372" i="1"/>
  <c r="R372" i="1" s="1"/>
  <c r="Q276" i="1"/>
  <c r="R276" i="1" s="1"/>
  <c r="Q244" i="1"/>
  <c r="R244" i="1" s="1"/>
  <c r="Q140" i="1"/>
  <c r="R140" i="1" s="1"/>
  <c r="Q124" i="1"/>
  <c r="R124" i="1" s="1"/>
  <c r="Q92" i="1"/>
  <c r="R92" i="1" s="1"/>
  <c r="Q60" i="1"/>
  <c r="R60" i="1" s="1"/>
  <c r="R236" i="1"/>
  <c r="Q947" i="1"/>
  <c r="R947" i="1" s="1"/>
  <c r="R907" i="1"/>
  <c r="Q883" i="1"/>
  <c r="R883" i="1" s="1"/>
  <c r="Q867" i="1"/>
  <c r="R867" i="1" s="1"/>
  <c r="Q851" i="1"/>
  <c r="R851" i="1" s="1"/>
  <c r="Q819" i="1"/>
  <c r="R819" i="1" s="1"/>
  <c r="Q787" i="1"/>
  <c r="R787" i="1" s="1"/>
  <c r="Q771" i="1"/>
  <c r="R771" i="1" s="1"/>
  <c r="Q739" i="1"/>
  <c r="R739" i="1" s="1"/>
  <c r="Q723" i="1"/>
  <c r="R723" i="1" s="1"/>
  <c r="Q691" i="1"/>
  <c r="R691" i="1" s="1"/>
  <c r="Q627" i="1"/>
  <c r="R627" i="1" s="1"/>
  <c r="Q563" i="1"/>
  <c r="R563" i="1" s="1"/>
  <c r="Q547" i="1"/>
  <c r="R547" i="1" s="1"/>
  <c r="Q499" i="1"/>
  <c r="R499" i="1" s="1"/>
  <c r="Q467" i="1"/>
  <c r="R467" i="1" s="1"/>
  <c r="Q259" i="1"/>
  <c r="R259" i="1" s="1"/>
  <c r="Q179" i="1"/>
  <c r="R179" i="1" s="1"/>
  <c r="Q131" i="1"/>
  <c r="R131" i="1" s="1"/>
  <c r="Q91" i="1"/>
  <c r="R91" i="1" s="1"/>
  <c r="Q59" i="1"/>
  <c r="R59" i="1" s="1"/>
  <c r="Q27" i="1"/>
  <c r="R27" i="1" s="1"/>
  <c r="Q283" i="1"/>
  <c r="R283" i="1" s="1"/>
  <c r="R684" i="1"/>
  <c r="Q970" i="1"/>
  <c r="R970" i="1" s="1"/>
  <c r="Q938" i="1"/>
  <c r="R938" i="1" s="1"/>
  <c r="Q906" i="1"/>
  <c r="R906" i="1" s="1"/>
  <c r="Q866" i="1"/>
  <c r="R866" i="1" s="1"/>
  <c r="Q834" i="1"/>
  <c r="R834" i="1" s="1"/>
  <c r="Q802" i="1"/>
  <c r="R802" i="1" s="1"/>
  <c r="Q778" i="1"/>
  <c r="R778" i="1" s="1"/>
  <c r="Q698" i="1"/>
  <c r="R698" i="1" s="1"/>
  <c r="Q674" i="1"/>
  <c r="R674" i="1" s="1"/>
  <c r="Q634" i="1"/>
  <c r="R634" i="1" s="1"/>
  <c r="Q594" i="1"/>
  <c r="R594" i="1" s="1"/>
  <c r="Q562" i="1"/>
  <c r="R562" i="1" s="1"/>
  <c r="Q530" i="1"/>
  <c r="R530" i="1" s="1"/>
  <c r="Q498" i="1"/>
  <c r="R498" i="1" s="1"/>
  <c r="Q466" i="1"/>
  <c r="R466" i="1" s="1"/>
  <c r="Q434" i="1"/>
  <c r="R434" i="1" s="1"/>
  <c r="Q402" i="1"/>
  <c r="R402" i="1" s="1"/>
  <c r="Q370" i="1"/>
  <c r="R370" i="1" s="1"/>
  <c r="Q338" i="1"/>
  <c r="R338" i="1" s="1"/>
  <c r="Q306" i="1"/>
  <c r="R306" i="1" s="1"/>
  <c r="Q274" i="1"/>
  <c r="R274" i="1" s="1"/>
  <c r="Q242" i="1"/>
  <c r="R242" i="1" s="1"/>
  <c r="Q210" i="1"/>
  <c r="R210" i="1" s="1"/>
  <c r="Q194" i="1"/>
  <c r="R194" i="1" s="1"/>
  <c r="Q162" i="1"/>
  <c r="R162" i="1" s="1"/>
  <c r="Q130" i="1"/>
  <c r="R130" i="1" s="1"/>
  <c r="R764" i="1"/>
  <c r="R924" i="1"/>
  <c r="Q676" i="1"/>
  <c r="R676" i="1" s="1"/>
  <c r="Q644" i="1"/>
  <c r="R644" i="1" s="1"/>
  <c r="Q612" i="1"/>
  <c r="R612" i="1" s="1"/>
  <c r="Q548" i="1"/>
  <c r="R548" i="1" s="1"/>
  <c r="R508" i="1"/>
  <c r="Q484" i="1"/>
  <c r="R484" i="1" s="1"/>
  <c r="Q420" i="1"/>
  <c r="R420" i="1" s="1"/>
  <c r="Q388" i="1"/>
  <c r="R388" i="1" s="1"/>
  <c r="Q324" i="1"/>
  <c r="R324" i="1" s="1"/>
  <c r="R284" i="1"/>
  <c r="Q260" i="1"/>
  <c r="R260" i="1" s="1"/>
  <c r="Q212" i="1"/>
  <c r="R212" i="1" s="1"/>
  <c r="Q180" i="1"/>
  <c r="R180" i="1" s="1"/>
  <c r="Q148" i="1"/>
  <c r="R148" i="1" s="1"/>
  <c r="Q116" i="1"/>
  <c r="R116" i="1" s="1"/>
  <c r="Q84" i="1"/>
  <c r="R84" i="1" s="1"/>
  <c r="Q12" i="1"/>
  <c r="R12" i="1" s="1"/>
  <c r="Q444" i="1"/>
  <c r="R444" i="1" s="1"/>
  <c r="Q995" i="1"/>
  <c r="R995" i="1" s="1"/>
  <c r="R955" i="1"/>
  <c r="Q931" i="1"/>
  <c r="R931" i="1" s="1"/>
  <c r="Q803" i="1"/>
  <c r="R803" i="1" s="1"/>
  <c r="Q643" i="1"/>
  <c r="R643" i="1" s="1"/>
  <c r="Q579" i="1"/>
  <c r="R579" i="1" s="1"/>
  <c r="Q483" i="1"/>
  <c r="R483" i="1" s="1"/>
  <c r="Q435" i="1"/>
  <c r="R435" i="1" s="1"/>
  <c r="Q419" i="1"/>
  <c r="R419" i="1" s="1"/>
  <c r="Q371" i="1"/>
  <c r="R371" i="1" s="1"/>
  <c r="Q355" i="1"/>
  <c r="R355" i="1" s="1"/>
  <c r="Q323" i="1"/>
  <c r="R323" i="1" s="1"/>
  <c r="Q307" i="1"/>
  <c r="R307" i="1" s="1"/>
  <c r="Q187" i="1"/>
  <c r="R187" i="1" s="1"/>
  <c r="Q155" i="1"/>
  <c r="R155" i="1" s="1"/>
  <c r="Q123" i="1"/>
  <c r="R123" i="1" s="1"/>
  <c r="Q107" i="1"/>
  <c r="R107" i="1"/>
  <c r="Q75" i="1"/>
  <c r="R75" i="1" s="1"/>
  <c r="Q35" i="1"/>
  <c r="R35" i="1" s="1"/>
  <c r="Q3" i="1"/>
  <c r="R3" i="1" s="1"/>
  <c r="Q876" i="1"/>
  <c r="R876" i="1" s="1"/>
  <c r="Q748" i="1"/>
  <c r="R748" i="1" s="1"/>
  <c r="Q603" i="1"/>
  <c r="R603" i="1" s="1"/>
  <c r="R459" i="1"/>
  <c r="Q994" i="1"/>
  <c r="R994" i="1" s="1"/>
  <c r="Q962" i="1"/>
  <c r="R962" i="1" s="1"/>
  <c r="Q930" i="1"/>
  <c r="R930" i="1" s="1"/>
  <c r="Q898" i="1"/>
  <c r="R898" i="1" s="1"/>
  <c r="Q874" i="1"/>
  <c r="R874" i="1" s="1"/>
  <c r="Q842" i="1"/>
  <c r="R842" i="1" s="1"/>
  <c r="Q818" i="1"/>
  <c r="R818" i="1" s="1"/>
  <c r="Q794" i="1"/>
  <c r="R794" i="1" s="1"/>
  <c r="Q754" i="1"/>
  <c r="R754" i="1" s="1"/>
  <c r="Q746" i="1"/>
  <c r="R746" i="1" s="1"/>
  <c r="Q714" i="1"/>
  <c r="R714" i="1" s="1"/>
  <c r="Q690" i="1"/>
  <c r="R690" i="1" s="1"/>
  <c r="Q658" i="1"/>
  <c r="R658" i="1" s="1"/>
  <c r="Q618" i="1"/>
  <c r="R618" i="1" s="1"/>
  <c r="Q602" i="1"/>
  <c r="R602" i="1" s="1"/>
  <c r="Q578" i="1"/>
  <c r="R578" i="1" s="1"/>
  <c r="Q546" i="1"/>
  <c r="R546" i="1" s="1"/>
  <c r="Q514" i="1"/>
  <c r="R514" i="1" s="1"/>
  <c r="Q482" i="1"/>
  <c r="R482" i="1" s="1"/>
  <c r="Q450" i="1"/>
  <c r="R450" i="1" s="1"/>
  <c r="R418" i="1"/>
  <c r="Q418" i="1"/>
  <c r="Q386" i="1"/>
  <c r="R386" i="1" s="1"/>
  <c r="Q354" i="1"/>
  <c r="R354" i="1" s="1"/>
  <c r="Q322" i="1"/>
  <c r="R322" i="1" s="1"/>
  <c r="Q290" i="1"/>
  <c r="R290" i="1" s="1"/>
  <c r="Q258" i="1"/>
  <c r="R258" i="1" s="1"/>
  <c r="Q218" i="1"/>
  <c r="R218" i="1" s="1"/>
  <c r="R170" i="1"/>
  <c r="Q122" i="1"/>
  <c r="R122" i="1" s="1"/>
  <c r="R852" i="1"/>
  <c r="R452" i="1"/>
  <c r="Q972" i="1"/>
  <c r="R972" i="1" s="1"/>
  <c r="Q893" i="1"/>
  <c r="R893" i="1" s="1"/>
  <c r="R682" i="1"/>
  <c r="R451" i="1"/>
  <c r="R88" i="1"/>
  <c r="Q971" i="1"/>
  <c r="R971" i="1" s="1"/>
  <c r="Q916" i="1"/>
  <c r="R916" i="1" s="1"/>
  <c r="Q892" i="1"/>
  <c r="R892" i="1" s="1"/>
  <c r="Q843" i="1"/>
  <c r="R843" i="1" s="1"/>
  <c r="Q813" i="1"/>
  <c r="R813" i="1" s="1"/>
  <c r="Q715" i="1"/>
  <c r="R715" i="1" s="1"/>
  <c r="Q620" i="1"/>
  <c r="R620" i="1" s="1"/>
  <c r="Q556" i="1"/>
  <c r="R556" i="1" s="1"/>
  <c r="Q492" i="1"/>
  <c r="R492" i="1" s="1"/>
  <c r="Q396" i="1"/>
  <c r="R396" i="1" s="1"/>
  <c r="Q332" i="1"/>
  <c r="R332" i="1" s="1"/>
  <c r="Q204" i="1"/>
  <c r="R204" i="1" s="1"/>
  <c r="Q4" i="1"/>
  <c r="R4" i="1" s="1"/>
  <c r="R731" i="1"/>
  <c r="R516" i="1"/>
  <c r="R407" i="1"/>
  <c r="R292" i="1"/>
  <c r="R175" i="1"/>
  <c r="R844" i="1"/>
  <c r="R788" i="1"/>
  <c r="R740" i="1"/>
  <c r="R668" i="1"/>
  <c r="R636" i="1"/>
  <c r="Q580" i="1"/>
  <c r="R580" i="1" s="1"/>
  <c r="R540" i="1"/>
  <c r="R380" i="1"/>
  <c r="Q356" i="1"/>
  <c r="R356" i="1" s="1"/>
  <c r="Q340" i="1"/>
  <c r="R340" i="1" s="1"/>
  <c r="R300" i="1"/>
  <c r="R252" i="1"/>
  <c r="Q196" i="1"/>
  <c r="R196" i="1" s="1"/>
  <c r="Q164" i="1"/>
  <c r="R164" i="1" s="1"/>
  <c r="R132" i="1"/>
  <c r="Q100" i="1"/>
  <c r="R100" i="1" s="1"/>
  <c r="Q76" i="1"/>
  <c r="R76" i="1" s="1"/>
  <c r="Q52" i="1"/>
  <c r="R52" i="1" s="1"/>
  <c r="Q28" i="1"/>
  <c r="R28" i="1" s="1"/>
  <c r="Q980" i="1"/>
  <c r="R980" i="1" s="1"/>
  <c r="Q572" i="1"/>
  <c r="R572" i="1" s="1"/>
  <c r="Q412" i="1"/>
  <c r="R412" i="1" s="1"/>
  <c r="Q252" i="1"/>
  <c r="Q991" i="1"/>
  <c r="R991" i="1" s="1"/>
  <c r="Q975" i="1"/>
  <c r="R975" i="1" s="1"/>
  <c r="Q967" i="1"/>
  <c r="R967" i="1" s="1"/>
  <c r="Q951" i="1"/>
  <c r="R951" i="1" s="1"/>
  <c r="Q943" i="1"/>
  <c r="R943" i="1" s="1"/>
  <c r="Q927" i="1"/>
  <c r="R927" i="1" s="1"/>
  <c r="Q911" i="1"/>
  <c r="R911" i="1" s="1"/>
  <c r="Q903" i="1"/>
  <c r="R903" i="1" s="1"/>
  <c r="Q887" i="1"/>
  <c r="R887" i="1" s="1"/>
  <c r="Q855" i="1"/>
  <c r="R855" i="1" s="1"/>
  <c r="Q839" i="1"/>
  <c r="R839" i="1" s="1"/>
  <c r="Q823" i="1"/>
  <c r="R823" i="1" s="1"/>
  <c r="Q807" i="1"/>
  <c r="R807" i="1" s="1"/>
  <c r="Q791" i="1"/>
  <c r="R791" i="1" s="1"/>
  <c r="Q767" i="1"/>
  <c r="R767" i="1" s="1"/>
  <c r="Q751" i="1"/>
  <c r="R751" i="1" s="1"/>
  <c r="Q735" i="1"/>
  <c r="R735" i="1" s="1"/>
  <c r="Q719" i="1"/>
  <c r="R719" i="1" s="1"/>
  <c r="Q703" i="1"/>
  <c r="R703" i="1" s="1"/>
  <c r="Q687" i="1"/>
  <c r="R687" i="1" s="1"/>
  <c r="Q671" i="1"/>
  <c r="R671" i="1" s="1"/>
  <c r="Q655" i="1"/>
  <c r="R655" i="1" s="1"/>
  <c r="Q639" i="1"/>
  <c r="R639" i="1" s="1"/>
  <c r="Q607" i="1"/>
  <c r="R607" i="1" s="1"/>
  <c r="Q591" i="1"/>
  <c r="R591" i="1" s="1"/>
  <c r="Q575" i="1"/>
  <c r="R575" i="1" s="1"/>
  <c r="Q559" i="1"/>
  <c r="R559" i="1" s="1"/>
  <c r="Q543" i="1"/>
  <c r="R543" i="1" s="1"/>
  <c r="Q527" i="1"/>
  <c r="R527" i="1" s="1"/>
  <c r="Q511" i="1"/>
  <c r="R511" i="1" s="1"/>
  <c r="Q487" i="1"/>
  <c r="R487" i="1" s="1"/>
  <c r="Q447" i="1"/>
  <c r="R447" i="1" s="1"/>
  <c r="Q431" i="1"/>
  <c r="R431" i="1" s="1"/>
  <c r="R415" i="1"/>
  <c r="Q415" i="1"/>
  <c r="Q383" i="1"/>
  <c r="R383" i="1" s="1"/>
  <c r="Q367" i="1"/>
  <c r="R367" i="1"/>
  <c r="Q327" i="1"/>
  <c r="R327" i="1" s="1"/>
  <c r="Q311" i="1"/>
  <c r="R311" i="1" s="1"/>
  <c r="Q295" i="1"/>
  <c r="R295" i="1" s="1"/>
  <c r="Q279" i="1"/>
  <c r="R279" i="1" s="1"/>
  <c r="Q263" i="1"/>
  <c r="R263" i="1" s="1"/>
  <c r="Q247" i="1"/>
  <c r="R247" i="1" s="1"/>
  <c r="Q231" i="1"/>
  <c r="R231" i="1" s="1"/>
  <c r="Q215" i="1"/>
  <c r="R215" i="1" s="1"/>
  <c r="Q199" i="1"/>
  <c r="R199" i="1" s="1"/>
  <c r="R151" i="1"/>
  <c r="Q143" i="1"/>
  <c r="R143" i="1" s="1"/>
  <c r="Q135" i="1"/>
  <c r="R135" i="1" s="1"/>
  <c r="Q119" i="1"/>
  <c r="R119" i="1" s="1"/>
  <c r="Q103" i="1"/>
  <c r="R103" i="1" s="1"/>
  <c r="R87" i="1"/>
  <c r="Q79" i="1"/>
  <c r="R79" i="1" s="1"/>
  <c r="Q71" i="1"/>
  <c r="R71" i="1" s="1"/>
  <c r="R63" i="1"/>
  <c r="Q55" i="1"/>
  <c r="R55" i="1" s="1"/>
  <c r="Q47" i="1"/>
  <c r="R47" i="1" s="1"/>
  <c r="R39" i="1"/>
  <c r="Q39" i="1"/>
  <c r="Q31" i="1"/>
  <c r="R31" i="1" s="1"/>
  <c r="R23" i="1"/>
  <c r="Q15" i="1"/>
  <c r="R15" i="1" s="1"/>
  <c r="Q964" i="1"/>
  <c r="R964" i="1" s="1"/>
  <c r="Q940" i="1"/>
  <c r="R940" i="1" s="1"/>
  <c r="Q891" i="1"/>
  <c r="R891" i="1" s="1"/>
  <c r="Q836" i="1"/>
  <c r="R836" i="1" s="1"/>
  <c r="Q812" i="1"/>
  <c r="R812" i="1" s="1"/>
  <c r="Q763" i="1"/>
  <c r="R763" i="1" s="1"/>
  <c r="Q708" i="1"/>
  <c r="R708" i="1" s="1"/>
  <c r="Q683" i="1"/>
  <c r="R683" i="1" s="1"/>
  <c r="Q651" i="1"/>
  <c r="R651" i="1" s="1"/>
  <c r="Q587" i="1"/>
  <c r="R587" i="1" s="1"/>
  <c r="Q427" i="1"/>
  <c r="R427" i="1" s="1"/>
  <c r="Q395" i="1"/>
  <c r="R395" i="1" s="1"/>
  <c r="Q331" i="1"/>
  <c r="R331" i="1" s="1"/>
  <c r="Q267" i="1"/>
  <c r="R267" i="1" s="1"/>
  <c r="Q235" i="1"/>
  <c r="R235" i="1" s="1"/>
  <c r="Q203" i="1"/>
  <c r="R203" i="1" s="1"/>
  <c r="Q127" i="1"/>
  <c r="R127" i="1" s="1"/>
  <c r="Q44" i="1"/>
  <c r="R44" i="1" s="1"/>
  <c r="R959" i="1"/>
  <c r="R917" i="1"/>
  <c r="R730" i="1"/>
  <c r="R515" i="1"/>
  <c r="R828" i="1"/>
  <c r="R796" i="1"/>
  <c r="R724" i="1"/>
  <c r="Q692" i="1"/>
  <c r="R692" i="1" s="1"/>
  <c r="R652" i="1"/>
  <c r="Q628" i="1"/>
  <c r="R628" i="1" s="1"/>
  <c r="R588" i="1"/>
  <c r="Q564" i="1"/>
  <c r="R564" i="1" s="1"/>
  <c r="R524" i="1"/>
  <c r="Q500" i="1"/>
  <c r="R500" i="1" s="1"/>
  <c r="R460" i="1"/>
  <c r="R428" i="1"/>
  <c r="Q404" i="1"/>
  <c r="R404" i="1" s="1"/>
  <c r="R364" i="1"/>
  <c r="R316" i="1"/>
  <c r="Q308" i="1"/>
  <c r="R308" i="1" s="1"/>
  <c r="R268" i="1"/>
  <c r="R188" i="1"/>
  <c r="Q156" i="1"/>
  <c r="R156" i="1" s="1"/>
  <c r="Q36" i="1"/>
  <c r="R36" i="1" s="1"/>
  <c r="Q20" i="1"/>
  <c r="R20" i="1" s="1"/>
  <c r="Q956" i="1"/>
  <c r="R956" i="1" s="1"/>
  <c r="Q700" i="1"/>
  <c r="R700" i="1" s="1"/>
  <c r="Q604" i="1"/>
  <c r="R604" i="1" s="1"/>
  <c r="Q476" i="1"/>
  <c r="R476" i="1" s="1"/>
  <c r="Q348" i="1"/>
  <c r="R348" i="1" s="1"/>
  <c r="Q220" i="1"/>
  <c r="R220" i="1" s="1"/>
  <c r="Q108" i="1"/>
  <c r="R108" i="1" s="1"/>
  <c r="Q963" i="1"/>
  <c r="R963" i="1" s="1"/>
  <c r="Q899" i="1"/>
  <c r="R899" i="1" s="1"/>
  <c r="Q835" i="1"/>
  <c r="R835" i="1" s="1"/>
  <c r="R779" i="1"/>
  <c r="Q755" i="1"/>
  <c r="R755" i="1" s="1"/>
  <c r="Q707" i="1"/>
  <c r="R707" i="1" s="1"/>
  <c r="Q675" i="1"/>
  <c r="R675" i="1" s="1"/>
  <c r="R635" i="1"/>
  <c r="Q611" i="1"/>
  <c r="R611" i="1" s="1"/>
  <c r="R523" i="1"/>
  <c r="R443" i="1"/>
  <c r="Q403" i="1"/>
  <c r="R403" i="1" s="1"/>
  <c r="R363" i="1"/>
  <c r="Q339" i="1"/>
  <c r="R339" i="1" s="1"/>
  <c r="R299" i="1"/>
  <c r="Q211" i="1"/>
  <c r="R211" i="1" s="1"/>
  <c r="Q139" i="1"/>
  <c r="R139" i="1" s="1"/>
  <c r="Q99" i="1"/>
  <c r="R99" i="1" s="1"/>
  <c r="Q67" i="1"/>
  <c r="R67" i="1" s="1"/>
  <c r="Q43" i="1"/>
  <c r="R43" i="1" s="1"/>
  <c r="Q11" i="1"/>
  <c r="R11" i="1" s="1"/>
  <c r="Q772" i="1"/>
  <c r="R772" i="1" s="1"/>
  <c r="Q667" i="1"/>
  <c r="R667" i="1" s="1"/>
  <c r="Q539" i="1"/>
  <c r="R539" i="1" s="1"/>
  <c r="Q507" i="1"/>
  <c r="R507" i="1" s="1"/>
  <c r="Q379" i="1"/>
  <c r="R379" i="1" s="1"/>
  <c r="Q251" i="1"/>
  <c r="R251" i="1" s="1"/>
  <c r="Q978" i="1"/>
  <c r="R978" i="1" s="1"/>
  <c r="Q946" i="1"/>
  <c r="R946" i="1" s="1"/>
  <c r="Q914" i="1"/>
  <c r="R914" i="1" s="1"/>
  <c r="Q882" i="1"/>
  <c r="R882" i="1" s="1"/>
  <c r="Q850" i="1"/>
  <c r="R850" i="1" s="1"/>
  <c r="Q826" i="1"/>
  <c r="R826" i="1" s="1"/>
  <c r="Q706" i="1"/>
  <c r="R706" i="1" s="1"/>
  <c r="Q666" i="1"/>
  <c r="R666" i="1" s="1"/>
  <c r="Q642" i="1"/>
  <c r="R642" i="1" s="1"/>
  <c r="Q610" i="1"/>
  <c r="R610" i="1" s="1"/>
  <c r="Q570" i="1"/>
  <c r="R570" i="1" s="1"/>
  <c r="Q538" i="1"/>
  <c r="R538" i="1" s="1"/>
  <c r="Q506" i="1"/>
  <c r="R506" i="1" s="1"/>
  <c r="Q474" i="1"/>
  <c r="R474" i="1" s="1"/>
  <c r="Q442" i="1"/>
  <c r="R442" i="1" s="1"/>
  <c r="Q410" i="1"/>
  <c r="R410" i="1" s="1"/>
  <c r="Q378" i="1"/>
  <c r="R378" i="1" s="1"/>
  <c r="Q346" i="1"/>
  <c r="R346" i="1" s="1"/>
  <c r="Q314" i="1"/>
  <c r="R314" i="1" s="1"/>
  <c r="Q282" i="1"/>
  <c r="R282" i="1" s="1"/>
  <c r="Q250" i="1"/>
  <c r="R250" i="1" s="1"/>
  <c r="Q234" i="1"/>
  <c r="R234" i="1" s="1"/>
  <c r="Q202" i="1"/>
  <c r="R202" i="1" s="1"/>
  <c r="Q178" i="1"/>
  <c r="R178" i="1" s="1"/>
  <c r="Q146" i="1"/>
  <c r="R146" i="1" s="1"/>
  <c r="R228" i="1"/>
  <c r="Q996" i="1"/>
  <c r="R996" i="1" s="1"/>
  <c r="Q923" i="1"/>
  <c r="R923" i="1" s="1"/>
  <c r="Q868" i="1"/>
  <c r="R868" i="1" s="1"/>
  <c r="Q716" i="1"/>
  <c r="R716" i="1" s="1"/>
  <c r="Q983" i="1"/>
  <c r="R983" i="1" s="1"/>
  <c r="Q919" i="1"/>
  <c r="R919" i="1" s="1"/>
  <c r="Q879" i="1"/>
  <c r="R879" i="1" s="1"/>
  <c r="Q863" i="1"/>
  <c r="R863" i="1" s="1"/>
  <c r="Q847" i="1"/>
  <c r="R847" i="1" s="1"/>
  <c r="Q831" i="1"/>
  <c r="R831" i="1" s="1"/>
  <c r="Q815" i="1"/>
  <c r="R815" i="1" s="1"/>
  <c r="Q799" i="1"/>
  <c r="R799" i="1" s="1"/>
  <c r="Q783" i="1"/>
  <c r="R783" i="1" s="1"/>
  <c r="Q775" i="1"/>
  <c r="R775" i="1" s="1"/>
  <c r="Q759" i="1"/>
  <c r="R759" i="1" s="1"/>
  <c r="Q743" i="1"/>
  <c r="R743" i="1" s="1"/>
  <c r="Q727" i="1"/>
  <c r="R727" i="1" s="1"/>
  <c r="Q711" i="1"/>
  <c r="R711" i="1" s="1"/>
  <c r="Q695" i="1"/>
  <c r="R695" i="1" s="1"/>
  <c r="Q679" i="1"/>
  <c r="R679" i="1" s="1"/>
  <c r="Q663" i="1"/>
  <c r="R663" i="1"/>
  <c r="Q647" i="1"/>
  <c r="R647" i="1" s="1"/>
  <c r="Q631" i="1"/>
  <c r="R631" i="1" s="1"/>
  <c r="Q615" i="1"/>
  <c r="R615" i="1" s="1"/>
  <c r="Q599" i="1"/>
  <c r="R599" i="1"/>
  <c r="Q583" i="1"/>
  <c r="R583" i="1" s="1"/>
  <c r="Q567" i="1"/>
  <c r="R567" i="1" s="1"/>
  <c r="Q551" i="1"/>
  <c r="R551" i="1" s="1"/>
  <c r="Q535" i="1"/>
  <c r="R535" i="1"/>
  <c r="Q519" i="1"/>
  <c r="R519" i="1" s="1"/>
  <c r="R503" i="1"/>
  <c r="Q503" i="1"/>
  <c r="Q495" i="1"/>
  <c r="R495" i="1" s="1"/>
  <c r="Q479" i="1"/>
  <c r="R479" i="1" s="1"/>
  <c r="Q471" i="1"/>
  <c r="R471" i="1" s="1"/>
  <c r="Q455" i="1"/>
  <c r="R455" i="1" s="1"/>
  <c r="Q439" i="1"/>
  <c r="R439" i="1" s="1"/>
  <c r="Q423" i="1"/>
  <c r="R423" i="1" s="1"/>
  <c r="Q391" i="1"/>
  <c r="R391" i="1" s="1"/>
  <c r="Q375" i="1"/>
  <c r="R375" i="1" s="1"/>
  <c r="Q359" i="1"/>
  <c r="R359" i="1" s="1"/>
  <c r="Q351" i="1"/>
  <c r="R351" i="1" s="1"/>
  <c r="Q335" i="1"/>
  <c r="R335" i="1" s="1"/>
  <c r="R319" i="1"/>
  <c r="Q319" i="1"/>
  <c r="Q303" i="1"/>
  <c r="R303" i="1" s="1"/>
  <c r="Q287" i="1"/>
  <c r="R287" i="1" s="1"/>
  <c r="Q271" i="1"/>
  <c r="R271" i="1" s="1"/>
  <c r="Q255" i="1"/>
  <c r="R255" i="1" s="1"/>
  <c r="Q239" i="1"/>
  <c r="R239" i="1" s="1"/>
  <c r="Q223" i="1"/>
  <c r="R223" i="1" s="1"/>
  <c r="Q207" i="1"/>
  <c r="R207" i="1" s="1"/>
  <c r="Q191" i="1"/>
  <c r="R191" i="1" s="1"/>
  <c r="Q183" i="1"/>
  <c r="R183" i="1" s="1"/>
  <c r="Q167" i="1"/>
  <c r="R167" i="1" s="1"/>
  <c r="Q159" i="1"/>
  <c r="R159" i="1" s="1"/>
  <c r="Q95" i="1"/>
  <c r="R95" i="1" s="1"/>
  <c r="Q998" i="1"/>
  <c r="R998" i="1" s="1"/>
  <c r="R990" i="1"/>
  <c r="R926" i="1"/>
  <c r="R430" i="1"/>
  <c r="R366" i="1"/>
  <c r="R150" i="1"/>
  <c r="Q988" i="1"/>
  <c r="R988" i="1" s="1"/>
  <c r="Q884" i="1"/>
  <c r="R884" i="1" s="1"/>
  <c r="Q860" i="1"/>
  <c r="R860" i="1" s="1"/>
  <c r="Q811" i="1"/>
  <c r="R811" i="1" s="1"/>
  <c r="Q756" i="1"/>
  <c r="R756" i="1" s="1"/>
  <c r="Q732" i="1"/>
  <c r="R732" i="1" s="1"/>
  <c r="R725" i="1"/>
  <c r="R623" i="1"/>
  <c r="R399" i="1"/>
  <c r="R172" i="1"/>
  <c r="Q979" i="1"/>
  <c r="R979" i="1" s="1"/>
  <c r="R939" i="1"/>
  <c r="Q915" i="1"/>
  <c r="R915" i="1" s="1"/>
  <c r="R875" i="1"/>
  <c r="R827" i="1"/>
  <c r="R795" i="1"/>
  <c r="R747" i="1"/>
  <c r="Q659" i="1"/>
  <c r="R659" i="1" s="1"/>
  <c r="R619" i="1"/>
  <c r="Q595" i="1"/>
  <c r="R595" i="1" s="1"/>
  <c r="R555" i="1"/>
  <c r="Q531" i="1"/>
  <c r="R531" i="1" s="1"/>
  <c r="R491" i="1"/>
  <c r="R411" i="1"/>
  <c r="Q387" i="1"/>
  <c r="R387" i="1" s="1"/>
  <c r="R315" i="1"/>
  <c r="Q291" i="1"/>
  <c r="R291" i="1" s="1"/>
  <c r="Q275" i="1"/>
  <c r="R275" i="1" s="1"/>
  <c r="Q243" i="1"/>
  <c r="R243" i="1" s="1"/>
  <c r="Q227" i="1"/>
  <c r="R227" i="1" s="1"/>
  <c r="Q195" i="1"/>
  <c r="R195" i="1" s="1"/>
  <c r="Q163" i="1"/>
  <c r="R163" i="1" s="1"/>
  <c r="Q147" i="1"/>
  <c r="R147" i="1" s="1"/>
  <c r="Q115" i="1"/>
  <c r="R115" i="1" s="1"/>
  <c r="Q83" i="1"/>
  <c r="R83" i="1" s="1"/>
  <c r="Q51" i="1"/>
  <c r="R51" i="1" s="1"/>
  <c r="Q19" i="1"/>
  <c r="R19" i="1" s="1"/>
  <c r="Q900" i="1"/>
  <c r="R900" i="1" s="1"/>
  <c r="Q699" i="1"/>
  <c r="R699" i="1" s="1"/>
  <c r="Q571" i="1"/>
  <c r="R571" i="1" s="1"/>
  <c r="Q475" i="1"/>
  <c r="R475" i="1" s="1"/>
  <c r="Q347" i="1"/>
  <c r="R347" i="1" s="1"/>
  <c r="Q219" i="1"/>
  <c r="R219" i="1" s="1"/>
  <c r="Q986" i="1"/>
  <c r="R986" i="1" s="1"/>
  <c r="Q954" i="1"/>
  <c r="R954" i="1" s="1"/>
  <c r="Q922" i="1"/>
  <c r="R922" i="1" s="1"/>
  <c r="Q890" i="1"/>
  <c r="R890" i="1" s="1"/>
  <c r="Q858" i="1"/>
  <c r="R858" i="1" s="1"/>
  <c r="Q786" i="1"/>
  <c r="R786" i="1" s="1"/>
  <c r="Q762" i="1"/>
  <c r="R762" i="1" s="1"/>
  <c r="Q738" i="1"/>
  <c r="R738" i="1" s="1"/>
  <c r="Q650" i="1"/>
  <c r="R650" i="1" s="1"/>
  <c r="Q626" i="1"/>
  <c r="R626" i="1" s="1"/>
  <c r="Q586" i="1"/>
  <c r="R586" i="1" s="1"/>
  <c r="Q554" i="1"/>
  <c r="R554" i="1" s="1"/>
  <c r="Q522" i="1"/>
  <c r="R522" i="1" s="1"/>
  <c r="Q490" i="1"/>
  <c r="R490" i="1" s="1"/>
  <c r="Q458" i="1"/>
  <c r="R458" i="1" s="1"/>
  <c r="Q426" i="1"/>
  <c r="R426" i="1" s="1"/>
  <c r="Q394" i="1"/>
  <c r="R394" i="1" s="1"/>
  <c r="Q362" i="1"/>
  <c r="R362" i="1" s="1"/>
  <c r="Q330" i="1"/>
  <c r="R330" i="1" s="1"/>
  <c r="Q298" i="1"/>
  <c r="R298" i="1" s="1"/>
  <c r="Q266" i="1"/>
  <c r="R266" i="1" s="1"/>
  <c r="Q226" i="1"/>
  <c r="R226" i="1" s="1"/>
  <c r="R186" i="1"/>
  <c r="Q154" i="1"/>
  <c r="R154" i="1" s="1"/>
  <c r="Q138" i="1"/>
  <c r="R138" i="1" s="1"/>
  <c r="Q948" i="1"/>
  <c r="R948" i="1" s="1"/>
  <c r="Q820" i="1"/>
  <c r="R820" i="1" s="1"/>
  <c r="Q997" i="1"/>
  <c r="R997" i="1" s="1"/>
  <c r="R989" i="1"/>
  <c r="R973" i="1"/>
  <c r="Q965" i="1"/>
  <c r="R965" i="1" s="1"/>
  <c r="Q949" i="1"/>
  <c r="R949" i="1" s="1"/>
  <c r="R941" i="1"/>
  <c r="Q933" i="1"/>
  <c r="R933" i="1" s="1"/>
  <c r="R925" i="1"/>
  <c r="R909" i="1"/>
  <c r="Q901" i="1"/>
  <c r="R901" i="1" s="1"/>
  <c r="Q885" i="1"/>
  <c r="R885" i="1" s="1"/>
  <c r="R877" i="1"/>
  <c r="Q869" i="1"/>
  <c r="R869" i="1" s="1"/>
  <c r="R861" i="1"/>
  <c r="R845" i="1"/>
  <c r="Q837" i="1"/>
  <c r="R837" i="1" s="1"/>
  <c r="Q821" i="1"/>
  <c r="R821" i="1" s="1"/>
  <c r="Q805" i="1"/>
  <c r="R805" i="1" s="1"/>
  <c r="R797" i="1"/>
  <c r="Q789" i="1"/>
  <c r="R789" i="1" s="1"/>
  <c r="R781" i="1"/>
  <c r="Q757" i="1"/>
  <c r="R757" i="1" s="1"/>
  <c r="R749" i="1"/>
  <c r="Q741" i="1"/>
  <c r="R741" i="1" s="1"/>
  <c r="R733" i="1"/>
  <c r="R717" i="1"/>
  <c r="Q709" i="1"/>
  <c r="R709" i="1" s="1"/>
  <c r="Q693" i="1"/>
  <c r="R693" i="1" s="1"/>
  <c r="Q677" i="1"/>
  <c r="R677" i="1" s="1"/>
  <c r="Q661" i="1"/>
  <c r="R661" i="1" s="1"/>
  <c r="R653" i="1"/>
  <c r="Q645" i="1"/>
  <c r="R645" i="1" s="1"/>
  <c r="Q629" i="1"/>
  <c r="R629" i="1" s="1"/>
  <c r="R621" i="1"/>
  <c r="Q613" i="1"/>
  <c r="R613" i="1" s="1"/>
  <c r="Q597" i="1"/>
  <c r="R597" i="1" s="1"/>
  <c r="R589" i="1"/>
  <c r="Q581" i="1"/>
  <c r="R581" i="1" s="1"/>
  <c r="Q565" i="1"/>
  <c r="R565" i="1" s="1"/>
  <c r="R557" i="1"/>
  <c r="Q549" i="1"/>
  <c r="R549" i="1" s="1"/>
  <c r="Q533" i="1"/>
  <c r="R533" i="1" s="1"/>
  <c r="R525" i="1"/>
  <c r="Q517" i="1"/>
  <c r="R517" i="1" s="1"/>
  <c r="Q501" i="1"/>
  <c r="R501" i="1" s="1"/>
  <c r="R493" i="1"/>
  <c r="Q485" i="1"/>
  <c r="R485" i="1" s="1"/>
  <c r="Q469" i="1"/>
  <c r="R469" i="1" s="1"/>
  <c r="R461" i="1"/>
  <c r="Q453" i="1"/>
  <c r="R453" i="1" s="1"/>
  <c r="Q437" i="1"/>
  <c r="R437" i="1" s="1"/>
  <c r="R429" i="1"/>
  <c r="Q421" i="1"/>
  <c r="R421" i="1" s="1"/>
  <c r="Q405" i="1"/>
  <c r="R405" i="1" s="1"/>
  <c r="R397" i="1"/>
  <c r="Q389" i="1"/>
  <c r="R389" i="1" s="1"/>
  <c r="Q373" i="1"/>
  <c r="R373" i="1" s="1"/>
  <c r="R365" i="1"/>
  <c r="Q357" i="1"/>
  <c r="R357" i="1" s="1"/>
  <c r="Q341" i="1"/>
  <c r="R341" i="1" s="1"/>
  <c r="R333" i="1"/>
  <c r="Q325" i="1"/>
  <c r="R325" i="1" s="1"/>
  <c r="Q309" i="1"/>
  <c r="R309" i="1" s="1"/>
  <c r="R301" i="1"/>
  <c r="Q293" i="1"/>
  <c r="R293" i="1" s="1"/>
  <c r="Q277" i="1"/>
  <c r="R277" i="1" s="1"/>
  <c r="R269" i="1"/>
  <c r="Q261" i="1"/>
  <c r="R261" i="1" s="1"/>
  <c r="Q245" i="1"/>
  <c r="R245" i="1" s="1"/>
  <c r="R237" i="1"/>
  <c r="Q229" i="1"/>
  <c r="R229" i="1" s="1"/>
  <c r="Q213" i="1"/>
  <c r="R213" i="1" s="1"/>
  <c r="R205" i="1"/>
  <c r="Q197" i="1"/>
  <c r="R197" i="1" s="1"/>
  <c r="Q181" i="1"/>
  <c r="R181" i="1" s="1"/>
  <c r="Q173" i="1"/>
  <c r="R173" i="1" s="1"/>
  <c r="Q165" i="1"/>
  <c r="R165" i="1" s="1"/>
  <c r="Q157" i="1"/>
  <c r="R157" i="1" s="1"/>
  <c r="R149" i="1"/>
  <c r="R141" i="1"/>
  <c r="Q141" i="1"/>
  <c r="Q133" i="1"/>
  <c r="R133" i="1" s="1"/>
  <c r="Q125" i="1"/>
  <c r="R125" i="1" s="1"/>
  <c r="Q117" i="1"/>
  <c r="R117" i="1" s="1"/>
  <c r="Q101" i="1"/>
  <c r="R101" i="1" s="1"/>
  <c r="Q93" i="1"/>
  <c r="R93" i="1" s="1"/>
  <c r="R85" i="1"/>
  <c r="Q77" i="1"/>
  <c r="R77" i="1" s="1"/>
  <c r="Q69" i="1"/>
  <c r="R69" i="1" s="1"/>
  <c r="Q61" i="1"/>
  <c r="R61" i="1" s="1"/>
  <c r="Q53" i="1"/>
  <c r="R53" i="1" s="1"/>
  <c r="R45" i="1"/>
  <c r="Q37" i="1"/>
  <c r="R37" i="1" s="1"/>
  <c r="Q29" i="1"/>
  <c r="R29" i="1" s="1"/>
  <c r="R21" i="1"/>
  <c r="Q13" i="1"/>
  <c r="R13" i="1" s="1"/>
  <c r="Q5" i="1"/>
  <c r="R5" i="1" s="1"/>
  <c r="Q987" i="1"/>
  <c r="R987" i="1" s="1"/>
  <c r="Q957" i="1"/>
  <c r="R957" i="1" s="1"/>
  <c r="Q932" i="1"/>
  <c r="R932" i="1" s="1"/>
  <c r="Q908" i="1"/>
  <c r="R908" i="1" s="1"/>
  <c r="Q859" i="1"/>
  <c r="R859" i="1" s="1"/>
  <c r="Q829" i="1"/>
  <c r="R829" i="1" s="1"/>
  <c r="Q804" i="1"/>
  <c r="R804" i="1" s="1"/>
  <c r="Q780" i="1"/>
  <c r="R780" i="1" s="1"/>
  <c r="Q701" i="1"/>
  <c r="R701" i="1" s="1"/>
  <c r="Q669" i="1"/>
  <c r="R669" i="1" s="1"/>
  <c r="Q637" i="1"/>
  <c r="R637" i="1" s="1"/>
  <c r="Q605" i="1"/>
  <c r="R605" i="1" s="1"/>
  <c r="Q573" i="1"/>
  <c r="R573" i="1" s="1"/>
  <c r="Q541" i="1"/>
  <c r="R541" i="1" s="1"/>
  <c r="Q509" i="1"/>
  <c r="R509" i="1" s="1"/>
  <c r="Q477" i="1"/>
  <c r="R477" i="1" s="1"/>
  <c r="Q445" i="1"/>
  <c r="R445" i="1" s="1"/>
  <c r="Q413" i="1"/>
  <c r="R413" i="1" s="1"/>
  <c r="Q381" i="1"/>
  <c r="R381" i="1" s="1"/>
  <c r="Q349" i="1"/>
  <c r="R349" i="1" s="1"/>
  <c r="Q317" i="1"/>
  <c r="R317" i="1" s="1"/>
  <c r="Q285" i="1"/>
  <c r="R285" i="1" s="1"/>
  <c r="Q253" i="1"/>
  <c r="R253" i="1" s="1"/>
  <c r="Q221" i="1"/>
  <c r="R221" i="1" s="1"/>
  <c r="Q189" i="1"/>
  <c r="R189" i="1" s="1"/>
  <c r="Q109" i="1"/>
  <c r="R109" i="1" s="1"/>
  <c r="Q68" i="1"/>
  <c r="R68" i="1" s="1"/>
  <c r="R810" i="1"/>
  <c r="R722" i="1"/>
  <c r="R171" i="1"/>
  <c r="Q801" i="1"/>
  <c r="R801" i="1" s="1"/>
  <c r="Q777" i="1"/>
  <c r="R777" i="1" s="1"/>
  <c r="Q713" i="1"/>
  <c r="R713" i="1" s="1"/>
  <c r="Q417" i="1"/>
  <c r="R417" i="1" s="1"/>
  <c r="Q113" i="1"/>
  <c r="R113" i="1" s="1"/>
  <c r="R105" i="1"/>
  <c r="Q81" i="1"/>
  <c r="R81" i="1" s="1"/>
  <c r="R73" i="1"/>
  <c r="Q49" i="1"/>
  <c r="R49" i="1" s="1"/>
  <c r="R41" i="1"/>
  <c r="Q17" i="1"/>
  <c r="R17" i="1" s="1"/>
  <c r="R9" i="1"/>
  <c r="Q950" i="1"/>
  <c r="R950" i="1" s="1"/>
  <c r="Q886" i="1"/>
  <c r="R886" i="1" s="1"/>
  <c r="Q662" i="1"/>
  <c r="R662" i="1" s="1"/>
  <c r="Q598" i="1"/>
  <c r="R598" i="1" s="1"/>
  <c r="Q374" i="1"/>
  <c r="R374" i="1" s="1"/>
  <c r="Q310" i="1"/>
  <c r="R310" i="1" s="1"/>
  <c r="R992" i="1"/>
  <c r="R928" i="1"/>
  <c r="R864" i="1"/>
  <c r="R601" i="1"/>
  <c r="R377" i="1"/>
  <c r="R321" i="1"/>
  <c r="R89" i="1"/>
  <c r="Q993" i="1"/>
  <c r="R993" i="1" s="1"/>
  <c r="Q985" i="1"/>
  <c r="R985" i="1" s="1"/>
  <c r="Q961" i="1"/>
  <c r="R961" i="1" s="1"/>
  <c r="Q953" i="1"/>
  <c r="R953" i="1" s="1"/>
  <c r="Q929" i="1"/>
  <c r="R929" i="1" s="1"/>
  <c r="Q921" i="1"/>
  <c r="R921" i="1" s="1"/>
  <c r="Q897" i="1"/>
  <c r="R897" i="1" s="1"/>
  <c r="Q889" i="1"/>
  <c r="R889" i="1" s="1"/>
  <c r="Q865" i="1"/>
  <c r="R865" i="1" s="1"/>
  <c r="Q857" i="1"/>
  <c r="R857" i="1" s="1"/>
  <c r="R841" i="1"/>
  <c r="Q841" i="1"/>
  <c r="Q833" i="1"/>
  <c r="R833" i="1" s="1"/>
  <c r="Q825" i="1"/>
  <c r="R825" i="1" s="1"/>
  <c r="Q817" i="1"/>
  <c r="R817" i="1" s="1"/>
  <c r="Q809" i="1"/>
  <c r="R809" i="1" s="1"/>
  <c r="Q793" i="1"/>
  <c r="R793" i="1" s="1"/>
  <c r="Q785" i="1"/>
  <c r="R785" i="1" s="1"/>
  <c r="Q769" i="1"/>
  <c r="R769" i="1" s="1"/>
  <c r="Q761" i="1"/>
  <c r="R761" i="1" s="1"/>
  <c r="Q753" i="1"/>
  <c r="R753" i="1" s="1"/>
  <c r="Q745" i="1"/>
  <c r="R745" i="1" s="1"/>
  <c r="Q737" i="1"/>
  <c r="R737" i="1" s="1"/>
  <c r="Q729" i="1"/>
  <c r="R729" i="1" s="1"/>
  <c r="Q721" i="1"/>
  <c r="R721" i="1" s="1"/>
  <c r="Q705" i="1"/>
  <c r="R705" i="1" s="1"/>
  <c r="Q697" i="1"/>
  <c r="R697" i="1" s="1"/>
  <c r="Q689" i="1"/>
  <c r="R689" i="1" s="1"/>
  <c r="Q681" i="1"/>
  <c r="R681" i="1" s="1"/>
  <c r="Q673" i="1"/>
  <c r="R673" i="1" s="1"/>
  <c r="Q665" i="1"/>
  <c r="R665" i="1" s="1"/>
  <c r="Q657" i="1"/>
  <c r="R657" i="1" s="1"/>
  <c r="Q649" i="1"/>
  <c r="R649" i="1" s="1"/>
  <c r="Q641" i="1"/>
  <c r="R641" i="1" s="1"/>
  <c r="R625" i="1"/>
  <c r="Q625" i="1"/>
  <c r="Q617" i="1"/>
  <c r="R617" i="1" s="1"/>
  <c r="Q609" i="1"/>
  <c r="R609" i="1" s="1"/>
  <c r="Q593" i="1"/>
  <c r="R593" i="1" s="1"/>
  <c r="Q585" i="1"/>
  <c r="R585" i="1" s="1"/>
  <c r="Q561" i="1"/>
  <c r="R561" i="1" s="1"/>
  <c r="Q553" i="1"/>
  <c r="R553" i="1" s="1"/>
  <c r="Q545" i="1"/>
  <c r="R545" i="1" s="1"/>
  <c r="Q529" i="1"/>
  <c r="R529" i="1" s="1"/>
  <c r="Q521" i="1"/>
  <c r="R521" i="1" s="1"/>
  <c r="Q505" i="1"/>
  <c r="R505" i="1" s="1"/>
  <c r="Q497" i="1"/>
  <c r="R497" i="1" s="1"/>
  <c r="Q489" i="1"/>
  <c r="R489" i="1" s="1"/>
  <c r="Q481" i="1"/>
  <c r="R481" i="1" s="1"/>
  <c r="Q473" i="1"/>
  <c r="R473" i="1" s="1"/>
  <c r="Q465" i="1"/>
  <c r="R465" i="1" s="1"/>
  <c r="Q457" i="1"/>
  <c r="R457" i="1" s="1"/>
  <c r="Q449" i="1"/>
  <c r="R449" i="1" s="1"/>
  <c r="Q441" i="1"/>
  <c r="R441" i="1" s="1"/>
  <c r="Q433" i="1"/>
  <c r="R433" i="1" s="1"/>
  <c r="Q425" i="1"/>
  <c r="R425" i="1" s="1"/>
  <c r="Q409" i="1"/>
  <c r="R409" i="1" s="1"/>
  <c r="Q401" i="1"/>
  <c r="R401" i="1" s="1"/>
  <c r="Q393" i="1"/>
  <c r="R393" i="1" s="1"/>
  <c r="Q385" i="1"/>
  <c r="R385" i="1" s="1"/>
  <c r="Q369" i="1"/>
  <c r="R369" i="1" s="1"/>
  <c r="Q361" i="1"/>
  <c r="R361" i="1" s="1"/>
  <c r="Q353" i="1"/>
  <c r="R353" i="1" s="1"/>
  <c r="Q337" i="1"/>
  <c r="R337" i="1" s="1"/>
  <c r="Q329" i="1"/>
  <c r="R329" i="1" s="1"/>
  <c r="R305" i="1"/>
  <c r="Q305" i="1"/>
  <c r="Q297" i="1"/>
  <c r="R297" i="1" s="1"/>
  <c r="Q289" i="1"/>
  <c r="R289" i="1" s="1"/>
  <c r="Q273" i="1"/>
  <c r="R273" i="1" s="1"/>
  <c r="Q265" i="1"/>
  <c r="R265" i="1" s="1"/>
  <c r="Q249" i="1"/>
  <c r="R249" i="1" s="1"/>
  <c r="Q241" i="1"/>
  <c r="R241" i="1" s="1"/>
  <c r="R233" i="1"/>
  <c r="Q233" i="1"/>
  <c r="R225" i="1"/>
  <c r="Q225" i="1"/>
  <c r="Q217" i="1"/>
  <c r="R217" i="1" s="1"/>
  <c r="Q209" i="1"/>
  <c r="R209" i="1" s="1"/>
  <c r="Q201" i="1"/>
  <c r="R201" i="1" s="1"/>
  <c r="Q193" i="1"/>
  <c r="R193" i="1" s="1"/>
  <c r="Q185" i="1"/>
  <c r="R185" i="1" s="1"/>
  <c r="R169" i="1"/>
  <c r="Q153" i="1"/>
  <c r="R153" i="1" s="1"/>
  <c r="Q145" i="1"/>
  <c r="R145" i="1" s="1"/>
  <c r="R129" i="1"/>
  <c r="Q984" i="1"/>
  <c r="R984" i="1" s="1"/>
  <c r="Q976" i="1"/>
  <c r="R976" i="1" s="1"/>
  <c r="Q952" i="1"/>
  <c r="R952" i="1" s="1"/>
  <c r="Q944" i="1"/>
  <c r="R944" i="1" s="1"/>
  <c r="Q920" i="1"/>
  <c r="R920" i="1" s="1"/>
  <c r="Q912" i="1"/>
  <c r="R912" i="1" s="1"/>
  <c r="Q888" i="1"/>
  <c r="R888" i="1" s="1"/>
  <c r="Q880" i="1"/>
  <c r="R880" i="1"/>
  <c r="Q856" i="1"/>
  <c r="R856" i="1" s="1"/>
  <c r="Q848" i="1"/>
  <c r="R848" i="1" s="1"/>
  <c r="Q840" i="1"/>
  <c r="R840" i="1" s="1"/>
  <c r="Q832" i="1"/>
  <c r="R832" i="1" s="1"/>
  <c r="Q824" i="1"/>
  <c r="R824" i="1" s="1"/>
  <c r="Q816" i="1"/>
  <c r="R816" i="1" s="1"/>
  <c r="Q808" i="1"/>
  <c r="R808" i="1" s="1"/>
  <c r="Q800" i="1"/>
  <c r="R800" i="1" s="1"/>
  <c r="Q792" i="1"/>
  <c r="R792" i="1" s="1"/>
  <c r="Q784" i="1"/>
  <c r="R784" i="1" s="1"/>
  <c r="R776" i="1"/>
  <c r="Q776" i="1"/>
  <c r="Q768" i="1"/>
  <c r="R768" i="1" s="1"/>
  <c r="Q760" i="1"/>
  <c r="R760" i="1" s="1"/>
  <c r="Q752" i="1"/>
  <c r="R752" i="1" s="1"/>
  <c r="Q744" i="1"/>
  <c r="R744" i="1" s="1"/>
  <c r="Q736" i="1"/>
  <c r="R736" i="1" s="1"/>
  <c r="Q728" i="1"/>
  <c r="R728" i="1" s="1"/>
  <c r="Q720" i="1"/>
  <c r="R720" i="1" s="1"/>
  <c r="Q712" i="1"/>
  <c r="R712" i="1" s="1"/>
  <c r="Q704" i="1"/>
  <c r="R704" i="1" s="1"/>
  <c r="Q696" i="1"/>
  <c r="R696" i="1" s="1"/>
  <c r="Q688" i="1"/>
  <c r="R688" i="1" s="1"/>
  <c r="Q680" i="1"/>
  <c r="R680" i="1" s="1"/>
  <c r="Q672" i="1"/>
  <c r="R672" i="1" s="1"/>
  <c r="Q664" i="1"/>
  <c r="R664" i="1" s="1"/>
  <c r="Q656" i="1"/>
  <c r="R656" i="1" s="1"/>
  <c r="Q648" i="1"/>
  <c r="R648" i="1" s="1"/>
  <c r="Q640" i="1"/>
  <c r="R640" i="1" s="1"/>
  <c r="Q632" i="1"/>
  <c r="R632" i="1" s="1"/>
  <c r="Q624" i="1"/>
  <c r="R624" i="1" s="1"/>
  <c r="Q616" i="1"/>
  <c r="R616" i="1" s="1"/>
  <c r="Q608" i="1"/>
  <c r="R608" i="1" s="1"/>
  <c r="Q592" i="1"/>
  <c r="R592" i="1" s="1"/>
  <c r="Q584" i="1"/>
  <c r="R584" i="1" s="1"/>
  <c r="Q568" i="1"/>
  <c r="R568" i="1" s="1"/>
  <c r="Q560" i="1"/>
  <c r="R560" i="1" s="1"/>
  <c r="Q552" i="1"/>
  <c r="R552" i="1" s="1"/>
  <c r="Q528" i="1"/>
  <c r="R528" i="1" s="1"/>
  <c r="Q520" i="1"/>
  <c r="R520" i="1" s="1"/>
  <c r="Q504" i="1"/>
  <c r="R504" i="1" s="1"/>
  <c r="Q496" i="1"/>
  <c r="R496" i="1" s="1"/>
  <c r="Q488" i="1"/>
  <c r="R488" i="1" s="1"/>
  <c r="Q472" i="1"/>
  <c r="R472" i="1" s="1"/>
  <c r="Q464" i="1"/>
  <c r="R464" i="1" s="1"/>
  <c r="Q456" i="1"/>
  <c r="R456" i="1" s="1"/>
  <c r="Q448" i="1"/>
  <c r="R448" i="1" s="1"/>
  <c r="Q440" i="1"/>
  <c r="R440" i="1" s="1"/>
  <c r="Q432" i="1"/>
  <c r="R432" i="1" s="1"/>
  <c r="Q424" i="1"/>
  <c r="R424" i="1" s="1"/>
  <c r="Q416" i="1"/>
  <c r="R416" i="1" s="1"/>
  <c r="Q408" i="1"/>
  <c r="R408" i="1" s="1"/>
  <c r="Q400" i="1"/>
  <c r="R400" i="1" s="1"/>
  <c r="Q392" i="1"/>
  <c r="R392" i="1" s="1"/>
  <c r="Q384" i="1"/>
  <c r="R384" i="1" s="1"/>
  <c r="Q376" i="1"/>
  <c r="R376" i="1" s="1"/>
  <c r="Q368" i="1"/>
  <c r="R368" i="1" s="1"/>
  <c r="Q360" i="1"/>
  <c r="R360" i="1" s="1"/>
  <c r="Q352" i="1"/>
  <c r="R352" i="1" s="1"/>
  <c r="Q336" i="1"/>
  <c r="R336" i="1" s="1"/>
  <c r="Q328" i="1"/>
  <c r="R328" i="1" s="1"/>
  <c r="Q312" i="1"/>
  <c r="R312" i="1" s="1"/>
  <c r="Q304" i="1"/>
  <c r="R304" i="1" s="1"/>
  <c r="Q296" i="1"/>
  <c r="R296" i="1" s="1"/>
  <c r="Q272" i="1"/>
  <c r="R272" i="1" s="1"/>
  <c r="Q264" i="1"/>
  <c r="R264" i="1" s="1"/>
  <c r="Q248" i="1"/>
  <c r="R248" i="1" s="1"/>
  <c r="Q240" i="1"/>
  <c r="R240" i="1" s="1"/>
  <c r="Q232" i="1"/>
  <c r="R232" i="1" s="1"/>
  <c r="Q216" i="1"/>
  <c r="R216" i="1" s="1"/>
  <c r="Q208" i="1"/>
  <c r="R208" i="1" s="1"/>
  <c r="Q200" i="1"/>
  <c r="R200" i="1" s="1"/>
  <c r="Q192" i="1"/>
  <c r="R192" i="1" s="1"/>
  <c r="Q184" i="1"/>
  <c r="R184" i="1" s="1"/>
  <c r="Q176" i="1"/>
  <c r="R176" i="1" s="1"/>
  <c r="R168" i="1"/>
  <c r="R152" i="1"/>
  <c r="Q144" i="1"/>
  <c r="R144" i="1" s="1"/>
  <c r="Q136" i="1"/>
  <c r="R136" i="1" s="1"/>
  <c r="R128" i="1"/>
  <c r="R120" i="1"/>
  <c r="Q112" i="1"/>
  <c r="R112" i="1" s="1"/>
  <c r="Q104" i="1"/>
  <c r="R104" i="1" s="1"/>
  <c r="Q80" i="1"/>
  <c r="R80" i="1" s="1"/>
  <c r="Q72" i="1"/>
  <c r="R72" i="1" s="1"/>
  <c r="R56" i="1"/>
  <c r="Q48" i="1"/>
  <c r="R48" i="1" s="1"/>
  <c r="Q40" i="1"/>
  <c r="R40" i="1" s="1"/>
  <c r="Q16" i="1"/>
  <c r="R16" i="1" s="1"/>
  <c r="Q161" i="1"/>
  <c r="R161" i="1" s="1"/>
  <c r="Q97" i="1"/>
  <c r="R97" i="1" s="1"/>
  <c r="Q33" i="1"/>
  <c r="R33" i="1" s="1"/>
  <c r="R969" i="1"/>
  <c r="R905" i="1"/>
  <c r="R600" i="1"/>
  <c r="R544" i="1"/>
  <c r="R320" i="1"/>
  <c r="R32" i="1"/>
  <c r="Q160" i="1"/>
  <c r="R160" i="1" s="1"/>
  <c r="Q96" i="1"/>
  <c r="R96" i="1" s="1"/>
  <c r="R968" i="1"/>
  <c r="R904" i="1"/>
  <c r="R537" i="1"/>
  <c r="R313" i="1"/>
  <c r="R257" i="1"/>
  <c r="R25" i="1"/>
  <c r="R974" i="1"/>
  <c r="R966" i="1"/>
  <c r="R942" i="1"/>
  <c r="R934" i="1"/>
  <c r="R910" i="1"/>
  <c r="R902" i="1"/>
  <c r="R878" i="1"/>
  <c r="R870" i="1"/>
  <c r="R846" i="1"/>
  <c r="R838" i="1"/>
  <c r="R830" i="1"/>
  <c r="R822" i="1"/>
  <c r="R814" i="1"/>
  <c r="R806" i="1"/>
  <c r="R798" i="1"/>
  <c r="R790" i="1"/>
  <c r="R782" i="1"/>
  <c r="R774" i="1"/>
  <c r="R766" i="1"/>
  <c r="R758" i="1"/>
  <c r="R750" i="1"/>
  <c r="R742" i="1"/>
  <c r="R734" i="1"/>
  <c r="R726" i="1"/>
  <c r="R718" i="1"/>
  <c r="R710" i="1"/>
  <c r="R702" i="1"/>
  <c r="R694" i="1"/>
  <c r="R686" i="1"/>
  <c r="R678" i="1"/>
  <c r="R670" i="1"/>
  <c r="R654" i="1"/>
  <c r="R646" i="1"/>
  <c r="R638" i="1"/>
  <c r="R614" i="1"/>
  <c r="R606" i="1"/>
  <c r="R590" i="1"/>
  <c r="R582" i="1"/>
  <c r="R574" i="1"/>
  <c r="R558" i="1"/>
  <c r="R550" i="1"/>
  <c r="R542" i="1"/>
  <c r="R534" i="1"/>
  <c r="R526" i="1"/>
  <c r="R518" i="1"/>
  <c r="R510" i="1"/>
  <c r="R502" i="1"/>
  <c r="R494" i="1"/>
  <c r="R486" i="1"/>
  <c r="R478" i="1"/>
  <c r="R470" i="1"/>
  <c r="R462" i="1"/>
  <c r="R454" i="1"/>
  <c r="R446" i="1"/>
  <c r="R438" i="1"/>
  <c r="R422" i="1"/>
  <c r="R414" i="1"/>
  <c r="R398" i="1"/>
  <c r="R390" i="1"/>
  <c r="R382" i="1"/>
  <c r="R358" i="1"/>
  <c r="R350" i="1"/>
  <c r="R334" i="1"/>
  <c r="R326" i="1"/>
  <c r="R318" i="1"/>
  <c r="R302" i="1"/>
  <c r="R294" i="1"/>
  <c r="R286" i="1"/>
  <c r="R278" i="1"/>
  <c r="R270" i="1"/>
  <c r="R262" i="1"/>
  <c r="R254" i="1"/>
  <c r="R246" i="1"/>
  <c r="R238" i="1"/>
  <c r="R230" i="1"/>
  <c r="R222" i="1"/>
  <c r="R214" i="1"/>
  <c r="R206" i="1"/>
  <c r="R198" i="1"/>
  <c r="R190" i="1"/>
  <c r="Q182" i="1"/>
  <c r="R182" i="1" s="1"/>
  <c r="Q166" i="1"/>
  <c r="R166" i="1" s="1"/>
  <c r="Q158" i="1"/>
  <c r="R158" i="1" s="1"/>
  <c r="R142" i="1"/>
  <c r="Q134" i="1"/>
  <c r="R134" i="1" s="1"/>
  <c r="Q126" i="1"/>
  <c r="R126" i="1" s="1"/>
  <c r="Q102" i="1"/>
  <c r="R102" i="1" s="1"/>
  <c r="Q94" i="1"/>
  <c r="R94" i="1" s="1"/>
  <c r="R78" i="1"/>
  <c r="Q70" i="1"/>
  <c r="R70" i="1" s="1"/>
  <c r="Q62" i="1"/>
  <c r="R62" i="1" s="1"/>
  <c r="R46" i="1"/>
  <c r="Q38" i="1"/>
  <c r="R38" i="1" s="1"/>
  <c r="Q30" i="1"/>
  <c r="R30" i="1" s="1"/>
  <c r="R22" i="1"/>
  <c r="R14" i="1"/>
  <c r="Q6" i="1"/>
  <c r="R6" i="1" s="1"/>
  <c r="Q177" i="1"/>
  <c r="R177" i="1" s="1"/>
  <c r="Q137" i="1"/>
  <c r="R137" i="1" s="1"/>
  <c r="R945" i="1"/>
  <c r="R881" i="1"/>
  <c r="R536" i="1"/>
  <c r="R480" i="1"/>
  <c r="R256" i="1"/>
  <c r="Q114" i="1"/>
  <c r="R114" i="1" s="1"/>
  <c r="Q106" i="1"/>
  <c r="R106" i="1" s="1"/>
  <c r="Q98" i="1"/>
  <c r="R98" i="1" s="1"/>
  <c r="R90" i="1"/>
  <c r="Q90" i="1"/>
  <c r="Q82" i="1"/>
  <c r="R82" i="1" s="1"/>
  <c r="Q74" i="1"/>
  <c r="R74" i="1" s="1"/>
  <c r="Q66" i="1"/>
  <c r="R66" i="1" s="1"/>
  <c r="Q58" i="1"/>
  <c r="R58" i="1" s="1"/>
  <c r="Q50" i="1"/>
  <c r="R50" i="1" s="1"/>
  <c r="Q42" i="1"/>
  <c r="R42" i="1" s="1"/>
  <c r="Q34" i="1"/>
  <c r="R34" i="1" s="1"/>
  <c r="Q26" i="1"/>
  <c r="R26" i="1" s="1"/>
  <c r="Q18" i="1"/>
  <c r="R18" i="1" s="1"/>
  <c r="Q10" i="1"/>
  <c r="R10" i="1" s="1"/>
  <c r="Q2" i="1"/>
  <c r="R2" i="1" s="1"/>
  <c r="Q8" i="1"/>
  <c r="R8" i="1" s="1"/>
  <c r="Q7" i="1"/>
  <c r="R7" i="1" s="1"/>
  <c r="K5" i="3" l="1"/>
  <c r="H35" i="3"/>
  <c r="K31" i="3"/>
</calcChain>
</file>

<file path=xl/sharedStrings.xml><?xml version="1.0" encoding="utf-8"?>
<sst xmlns="http://schemas.openxmlformats.org/spreadsheetml/2006/main" count="9316" uniqueCount="1703">
  <si>
    <t>Order ID</t>
  </si>
  <si>
    <t>Order Date</t>
  </si>
  <si>
    <t>Customer ID</t>
  </si>
  <si>
    <t>Customer Name</t>
  </si>
  <si>
    <t>Region</t>
  </si>
  <si>
    <t>City</t>
  </si>
  <si>
    <t>Product</t>
  </si>
  <si>
    <t>Category</t>
  </si>
  <si>
    <t>Quantity</t>
  </si>
  <si>
    <t>Unit Price</t>
  </si>
  <si>
    <t>Discount %</t>
  </si>
  <si>
    <t>Payment Method</t>
  </si>
  <si>
    <t>Order Status</t>
  </si>
  <si>
    <t>Expected Delivery Date</t>
  </si>
  <si>
    <t>Actual Delivery Date</t>
  </si>
  <si>
    <t>ORD-10001</t>
  </si>
  <si>
    <t>CUST-1048</t>
  </si>
  <si>
    <t>Customer 1112</t>
  </si>
  <si>
    <t>South</t>
  </si>
  <si>
    <t>Bengaluru</t>
  </si>
  <si>
    <t>Jeans</t>
  </si>
  <si>
    <t>Fashion</t>
  </si>
  <si>
    <t>COD</t>
  </si>
  <si>
    <t>Delivered</t>
  </si>
  <si>
    <t>ORD-10002</t>
  </si>
  <si>
    <t>CUST-1082</t>
  </si>
  <si>
    <t>Customer 1217</t>
  </si>
  <si>
    <t>West</t>
  </si>
  <si>
    <t>Mumbai</t>
  </si>
  <si>
    <t>Resistance Bands</t>
  </si>
  <si>
    <t>Sports</t>
  </si>
  <si>
    <t>Credit Card</t>
  </si>
  <si>
    <t>ORD-10003</t>
  </si>
  <si>
    <t>CUST-1236</t>
  </si>
  <si>
    <t>Customer 1275</t>
  </si>
  <si>
    <t>North</t>
  </si>
  <si>
    <t>Lucknow</t>
  </si>
  <si>
    <t>Water Bottle</t>
  </si>
  <si>
    <t>Home</t>
  </si>
  <si>
    <t>UPI</t>
  </si>
  <si>
    <t>ORD-10004</t>
  </si>
  <si>
    <t>CUST-1036</t>
  </si>
  <si>
    <t>Customer 1024</t>
  </si>
  <si>
    <t>Kochi</t>
  </si>
  <si>
    <t>USB-C Hub</t>
  </si>
  <si>
    <t>Electronics</t>
  </si>
  <si>
    <t>Debit Card</t>
  </si>
  <si>
    <t>Pending</t>
  </si>
  <si>
    <t>ORD-10005</t>
  </si>
  <si>
    <t>CUST-1037</t>
  </si>
  <si>
    <t>Customer 1088</t>
  </si>
  <si>
    <t>Ahmedabad</t>
  </si>
  <si>
    <t>Keyboard</t>
  </si>
  <si>
    <t>ORD-10006</t>
  </si>
  <si>
    <t>CUST-1118</t>
  </si>
  <si>
    <t>Customer 1017</t>
  </si>
  <si>
    <t>Pune</t>
  </si>
  <si>
    <t>Shampoo</t>
  </si>
  <si>
    <t>Beauty</t>
  </si>
  <si>
    <t>Cancelled</t>
  </si>
  <si>
    <t>ORD-10007</t>
  </si>
  <si>
    <t>CUST-1235</t>
  </si>
  <si>
    <t>Customer 1074</t>
  </si>
  <si>
    <t>Chandigarh</t>
  </si>
  <si>
    <t>T-Shirt</t>
  </si>
  <si>
    <t>ORD-10008</t>
  </si>
  <si>
    <t>CUST-1186</t>
  </si>
  <si>
    <t>Customer 1113</t>
  </si>
  <si>
    <t>Jaipur</t>
  </si>
  <si>
    <t>Coffee Maker</t>
  </si>
  <si>
    <t>Net Banking</t>
  </si>
  <si>
    <t>ORD-10009</t>
  </si>
  <si>
    <t>CUST-1198</t>
  </si>
  <si>
    <t>Customer 1196</t>
  </si>
  <si>
    <t>Goa</t>
  </si>
  <si>
    <t>Wireless Mouse</t>
  </si>
  <si>
    <t>ORD-10010</t>
  </si>
  <si>
    <t>CUST-1223</t>
  </si>
  <si>
    <t>Customer 1081</t>
  </si>
  <si>
    <t>East</t>
  </si>
  <si>
    <t>Patna</t>
  </si>
  <si>
    <t>Yoga Mat</t>
  </si>
  <si>
    <t>Returned</t>
  </si>
  <si>
    <t>ORD-10011</t>
  </si>
  <si>
    <t>CUST-1079</t>
  </si>
  <si>
    <t>Customer 1192</t>
  </si>
  <si>
    <t>Kolkata</t>
  </si>
  <si>
    <t>Backpack</t>
  </si>
  <si>
    <t>ORD-10012</t>
  </si>
  <si>
    <t>CUST-1044</t>
  </si>
  <si>
    <t>Customer 1249</t>
  </si>
  <si>
    <t>Running Shoes</t>
  </si>
  <si>
    <t>ORD-10013</t>
  </si>
  <si>
    <t>CUST-1160</t>
  </si>
  <si>
    <t>Customer 1205</t>
  </si>
  <si>
    <t>Chennai</t>
  </si>
  <si>
    <t>Bedsheet Set</t>
  </si>
  <si>
    <t>ORD-10014</t>
  </si>
  <si>
    <t>CUST-1113</t>
  </si>
  <si>
    <t>Customer 1004</t>
  </si>
  <si>
    <t>Cricket Bat</t>
  </si>
  <si>
    <t>ORD-10015</t>
  </si>
  <si>
    <t>CUST-1277</t>
  </si>
  <si>
    <t>Customer 1068</t>
  </si>
  <si>
    <t>Desk Lamp</t>
  </si>
  <si>
    <t>ORD-10016</t>
  </si>
  <si>
    <t>CUST-1051</t>
  </si>
  <si>
    <t>Customer 1032</t>
  </si>
  <si>
    <t>Bhubaneswar</t>
  </si>
  <si>
    <t>ORD-10017</t>
  </si>
  <si>
    <t>CUST-1039</t>
  </si>
  <si>
    <t>Customer 1227</t>
  </si>
  <si>
    <t>ORD-10018</t>
  </si>
  <si>
    <t>CUST-1031</t>
  </si>
  <si>
    <t>Customer 1085</t>
  </si>
  <si>
    <t>ORD-10019</t>
  </si>
  <si>
    <t>CUST-1297</t>
  </si>
  <si>
    <t>Customer 1278</t>
  </si>
  <si>
    <t>Sunscreen</t>
  </si>
  <si>
    <t>ORD-10020</t>
  </si>
  <si>
    <t>Customer 1035</t>
  </si>
  <si>
    <t>Hyderabad</t>
  </si>
  <si>
    <t>ORD-10021</t>
  </si>
  <si>
    <t>CUST-1268</t>
  </si>
  <si>
    <t>Customer 1162</t>
  </si>
  <si>
    <t>ORD-10022</t>
  </si>
  <si>
    <t>CUST-1038</t>
  </si>
  <si>
    <t>Customer 1276</t>
  </si>
  <si>
    <t>ORD-10023</t>
  </si>
  <si>
    <t>CUST-1271</t>
  </si>
  <si>
    <t>Customer 1005</t>
  </si>
  <si>
    <t>Storage Box</t>
  </si>
  <si>
    <t>ORD-10024</t>
  </si>
  <si>
    <t>CUST-1105</t>
  </si>
  <si>
    <t>Customer 1136</t>
  </si>
  <si>
    <t>Delhi</t>
  </si>
  <si>
    <t>ORD-10025</t>
  </si>
  <si>
    <t>CUST-1083</t>
  </si>
  <si>
    <t>ORD-10026</t>
  </si>
  <si>
    <t>CUST-1221</t>
  </si>
  <si>
    <t>Customer 1066</t>
  </si>
  <si>
    <t>ORD-10027</t>
  </si>
  <si>
    <t>CUST-1080</t>
  </si>
  <si>
    <t>Customer 1122</t>
  </si>
  <si>
    <t>ORD-10028</t>
  </si>
  <si>
    <t>CUST-1128</t>
  </si>
  <si>
    <t>Customer 1137</t>
  </si>
  <si>
    <t>Face Wash</t>
  </si>
  <si>
    <t>ORD-10029</t>
  </si>
  <si>
    <t>CUST-1099</t>
  </si>
  <si>
    <t>ORD-10030</t>
  </si>
  <si>
    <t>CUST-1092</t>
  </si>
  <si>
    <t>Customer 1298</t>
  </si>
  <si>
    <t>Bluetooth Speaker</t>
  </si>
  <si>
    <t>ORD-10031</t>
  </si>
  <si>
    <t>CUST-1060</t>
  </si>
  <si>
    <t>Customer 1198</t>
  </si>
  <si>
    <t>ORD-10032</t>
  </si>
  <si>
    <t>CUST-1161</t>
  </si>
  <si>
    <t>Customer 1064</t>
  </si>
  <si>
    <t>Power Bank</t>
  </si>
  <si>
    <t>ORD-10033</t>
  </si>
  <si>
    <t>CUST-1090</t>
  </si>
  <si>
    <t>Customer 1292</t>
  </si>
  <si>
    <t>ORD-10034</t>
  </si>
  <si>
    <t>CUST-1165</t>
  </si>
  <si>
    <t>Customer 1239</t>
  </si>
  <si>
    <t>ORD-10035</t>
  </si>
  <si>
    <t>CUST-1172</t>
  </si>
  <si>
    <t>Customer 1048</t>
  </si>
  <si>
    <t>Guwahati</t>
  </si>
  <si>
    <t>ORD-10036</t>
  </si>
  <si>
    <t>CUST-1234</t>
  </si>
  <si>
    <t>Customer 1213</t>
  </si>
  <si>
    <t>ORD-10037</t>
  </si>
  <si>
    <t>CUST-1238</t>
  </si>
  <si>
    <t>Customer 1026</t>
  </si>
  <si>
    <t>ORD-10038</t>
  </si>
  <si>
    <t>CUST-1219</t>
  </si>
  <si>
    <t>Customer 1281</t>
  </si>
  <si>
    <t>Moisturizer</t>
  </si>
  <si>
    <t>ORD-10039</t>
  </si>
  <si>
    <t>CUST-1040</t>
  </si>
  <si>
    <t>Customer 1147</t>
  </si>
  <si>
    <t>ORD-10040</t>
  </si>
  <si>
    <t>CUST-1033</t>
  </si>
  <si>
    <t>Hoodie</t>
  </si>
  <si>
    <t>ORD-10041</t>
  </si>
  <si>
    <t>CUST-1295</t>
  </si>
  <si>
    <t>Customer 1195</t>
  </si>
  <si>
    <t>ORD-10042</t>
  </si>
  <si>
    <t>Customer 1250</t>
  </si>
  <si>
    <t>ORD-10043</t>
  </si>
  <si>
    <t>CUST-1202</t>
  </si>
  <si>
    <t>Customer 1289</t>
  </si>
  <si>
    <t>ORD-10044</t>
  </si>
  <si>
    <t>CUST-1195</t>
  </si>
  <si>
    <t>Customer 1143</t>
  </si>
  <si>
    <t>ORD-10045</t>
  </si>
  <si>
    <t>CUST-1021</t>
  </si>
  <si>
    <t>Customer 1016</t>
  </si>
  <si>
    <t>ORD-10046</t>
  </si>
  <si>
    <t>CUST-1239</t>
  </si>
  <si>
    <t>Customer 1132</t>
  </si>
  <si>
    <t>ORD-10047</t>
  </si>
  <si>
    <t>Customer 1193</t>
  </si>
  <si>
    <t>Football</t>
  </si>
  <si>
    <t>ORD-10048</t>
  </si>
  <si>
    <t>CUST-1290</t>
  </si>
  <si>
    <t>Customer 1022</t>
  </si>
  <si>
    <t>ORD-10049</t>
  </si>
  <si>
    <t>Customer 1079</t>
  </si>
  <si>
    <t>ORD-10050</t>
  </si>
  <si>
    <t>CUST-1138</t>
  </si>
  <si>
    <t>Customer 1166</t>
  </si>
  <si>
    <t>ORD-10051</t>
  </si>
  <si>
    <t>CUST-1167</t>
  </si>
  <si>
    <t>Customer 1094</t>
  </si>
  <si>
    <t>Sneakers</t>
  </si>
  <si>
    <t>ORD-10052</t>
  </si>
  <si>
    <t>CUST-1265</t>
  </si>
  <si>
    <t>Customer 1098</t>
  </si>
  <si>
    <t>ORD-10053</t>
  </si>
  <si>
    <t>CUST-1208</t>
  </si>
  <si>
    <t>Customer 1125</t>
  </si>
  <si>
    <t>ORD-10054</t>
  </si>
  <si>
    <t>CUST-1129</t>
  </si>
  <si>
    <t>Customer 1119</t>
  </si>
  <si>
    <t>Perfume</t>
  </si>
  <si>
    <t>ORD-10055</t>
  </si>
  <si>
    <t>CUST-1269</t>
  </si>
  <si>
    <t>Customer 1145</t>
  </si>
  <si>
    <t>ORD-10056</t>
  </si>
  <si>
    <t>CUST-1284</t>
  </si>
  <si>
    <t>Customer 1150</t>
  </si>
  <si>
    <t>ORD-10057</t>
  </si>
  <si>
    <t>CUST-1245</t>
  </si>
  <si>
    <t>Customer 1059</t>
  </si>
  <si>
    <t>ORD-10058</t>
  </si>
  <si>
    <t>Customer 1061</t>
  </si>
  <si>
    <t>ORD-10059</t>
  </si>
  <si>
    <t>Customer 1107</t>
  </si>
  <si>
    <t>ORD-10060</t>
  </si>
  <si>
    <t>CUST-1241</t>
  </si>
  <si>
    <t>ORD-10061</t>
  </si>
  <si>
    <t>CUST-1102</t>
  </si>
  <si>
    <t>Customer 1218</t>
  </si>
  <si>
    <t>ORD-10062</t>
  </si>
  <si>
    <t>CUST-1292</t>
  </si>
  <si>
    <t>Customer 1148</t>
  </si>
  <si>
    <t>ORD-10063</t>
  </si>
  <si>
    <t>CUST-1225</t>
  </si>
  <si>
    <t>Customer 1042</t>
  </si>
  <si>
    <t>ORD-10064</t>
  </si>
  <si>
    <t>Customer 1296</t>
  </si>
  <si>
    <t>ORD-10065</t>
  </si>
  <si>
    <t>CUST-1252</t>
  </si>
  <si>
    <t>Customer 1047</t>
  </si>
  <si>
    <t>ORD-10066</t>
  </si>
  <si>
    <t>CUST-1206</t>
  </si>
  <si>
    <t>Customer 1282</t>
  </si>
  <si>
    <t>ORD-10067</t>
  </si>
  <si>
    <t>CUST-1212</t>
  </si>
  <si>
    <t>Customer 1028</t>
  </si>
  <si>
    <t>ORD-10068</t>
  </si>
  <si>
    <t>ORD-10069</t>
  </si>
  <si>
    <t>Customer 1116</t>
  </si>
  <si>
    <t>ORD-10070</t>
  </si>
  <si>
    <t>CUST-1242</t>
  </si>
  <si>
    <t>ORD-10071</t>
  </si>
  <si>
    <t>CUST-1137</t>
  </si>
  <si>
    <t>Customer 1002</t>
  </si>
  <si>
    <t>ORD-10072</t>
  </si>
  <si>
    <t>CUST-1177</t>
  </si>
  <si>
    <t>Customer 1171</t>
  </si>
  <si>
    <t>ORD-10073</t>
  </si>
  <si>
    <t>CUST-1196</t>
  </si>
  <si>
    <t>ORD-10074</t>
  </si>
  <si>
    <t>CUST-1008</t>
  </si>
  <si>
    <t>ORD-10075</t>
  </si>
  <si>
    <t>CUST-1163</t>
  </si>
  <si>
    <t>ORD-10076</t>
  </si>
  <si>
    <t>CUST-1228</t>
  </si>
  <si>
    <t>Customer 1086</t>
  </si>
  <si>
    <t>ORD-10077</t>
  </si>
  <si>
    <t>CUST-1093</t>
  </si>
  <si>
    <t>ORD-10078</t>
  </si>
  <si>
    <t>Customer 1131</t>
  </si>
  <si>
    <t>ORD-10079</t>
  </si>
  <si>
    <t>Customer 1155</t>
  </si>
  <si>
    <t>ORD-10080</t>
  </si>
  <si>
    <t>CUST-1203</t>
  </si>
  <si>
    <t>Customer 1141</t>
  </si>
  <si>
    <t>ORD-10081</t>
  </si>
  <si>
    <t>Customer 1071</t>
  </si>
  <si>
    <t>ORD-10082</t>
  </si>
  <si>
    <t>CUST-1103</t>
  </si>
  <si>
    <t>ORD-10083</t>
  </si>
  <si>
    <t>CUST-1073</t>
  </si>
  <si>
    <t>ORD-10084</t>
  </si>
  <si>
    <t>CUST-1300</t>
  </si>
  <si>
    <t>ORD-10085</t>
  </si>
  <si>
    <t>Customer 1238</t>
  </si>
  <si>
    <t>ORD-10086</t>
  </si>
  <si>
    <t>CUST-1199</t>
  </si>
  <si>
    <t>Customer 1233</t>
  </si>
  <si>
    <t>ORD-10087</t>
  </si>
  <si>
    <t>CUST-1112</t>
  </si>
  <si>
    <t>Customer 1228</t>
  </si>
  <si>
    <t>ORD-10088</t>
  </si>
  <si>
    <t>CUST-1233</t>
  </si>
  <si>
    <t>ORD-10089</t>
  </si>
  <si>
    <t>CUST-1120</t>
  </si>
  <si>
    <t>Customer 1169</t>
  </si>
  <si>
    <t>ORD-10090</t>
  </si>
  <si>
    <t>CUST-1122</t>
  </si>
  <si>
    <t>ORD-10091</t>
  </si>
  <si>
    <t>CUST-1263</t>
  </si>
  <si>
    <t>Customer 1056</t>
  </si>
  <si>
    <t>ORD-10092</t>
  </si>
  <si>
    <t>CUST-1056</t>
  </si>
  <si>
    <t>Customer 1252</t>
  </si>
  <si>
    <t>ORD-10093</t>
  </si>
  <si>
    <t>ORD-10094</t>
  </si>
  <si>
    <t>CUST-1283</t>
  </si>
  <si>
    <t>Customer 1111</t>
  </si>
  <si>
    <t>ORD-10095</t>
  </si>
  <si>
    <t>CUST-1131</t>
  </si>
  <si>
    <t>ORD-10096</t>
  </si>
  <si>
    <t>CUST-1288</t>
  </si>
  <si>
    <t>Customer 1288</t>
  </si>
  <si>
    <t>ORD-10097</t>
  </si>
  <si>
    <t>CUST-1296</t>
  </si>
  <si>
    <t>Customer 1260</t>
  </si>
  <si>
    <t>ORD-10098</t>
  </si>
  <si>
    <t>Customer 1286</t>
  </si>
  <si>
    <t>ORD-10099</t>
  </si>
  <si>
    <t>Customer 1206</t>
  </si>
  <si>
    <t>ORD-10100</t>
  </si>
  <si>
    <t>Customer 1291</t>
  </si>
  <si>
    <t>ORD-10101</t>
  </si>
  <si>
    <t>CUST-1227</t>
  </si>
  <si>
    <t>ORD-10102</t>
  </si>
  <si>
    <t>Customer 1203</t>
  </si>
  <si>
    <t>ORD-10103</t>
  </si>
  <si>
    <t>Customer 1067</t>
  </si>
  <si>
    <t>ORD-10104</t>
  </si>
  <si>
    <t>Customer 1040</t>
  </si>
  <si>
    <t>ORD-10105</t>
  </si>
  <si>
    <t>Customer 1186</t>
  </si>
  <si>
    <t>ORD-10106</t>
  </si>
  <si>
    <t>CUST-1171</t>
  </si>
  <si>
    <t>Customer 1087</t>
  </si>
  <si>
    <t>ORD-10107</t>
  </si>
  <si>
    <t>CUST-1053</t>
  </si>
  <si>
    <t>Customer 1075</t>
  </si>
  <si>
    <t>ORD-10108</t>
  </si>
  <si>
    <t>CUST-1289</t>
  </si>
  <si>
    <t>Customer 1297</t>
  </si>
  <si>
    <t>ORD-10109</t>
  </si>
  <si>
    <t>CUST-1260</t>
  </si>
  <si>
    <t>Customer 1038</t>
  </si>
  <si>
    <t>ORD-10110</t>
  </si>
  <si>
    <t>CUST-1237</t>
  </si>
  <si>
    <t>ORD-10111</t>
  </si>
  <si>
    <t>Customer 1259</t>
  </si>
  <si>
    <t>ORD-10112</t>
  </si>
  <si>
    <t>CUST-1210</t>
  </si>
  <si>
    <t>Customer 1174</t>
  </si>
  <si>
    <t>ORD-10113</t>
  </si>
  <si>
    <t>CUST-1077</t>
  </si>
  <si>
    <t>ORD-10114</t>
  </si>
  <si>
    <t>Customer 1159</t>
  </si>
  <si>
    <t>ORD-10115</t>
  </si>
  <si>
    <t>CUST-1110</t>
  </si>
  <si>
    <t>Customer 1175</t>
  </si>
  <si>
    <t>ORD-10116</t>
  </si>
  <si>
    <t>CUST-1020</t>
  </si>
  <si>
    <t>Customer 1173</t>
  </si>
  <si>
    <t>ORD-10117</t>
  </si>
  <si>
    <t>ORD-10118</t>
  </si>
  <si>
    <t>ORD-10119</t>
  </si>
  <si>
    <t>Customer 1265</t>
  </si>
  <si>
    <t>ORD-10120</t>
  </si>
  <si>
    <t>CUST-1231</t>
  </si>
  <si>
    <t>Customer 1179</t>
  </si>
  <si>
    <t>ORD-10121</t>
  </si>
  <si>
    <t>ORD-10122</t>
  </si>
  <si>
    <t>CUST-1041</t>
  </si>
  <si>
    <t>Customer 1010</t>
  </si>
  <si>
    <t>ORD-10123</t>
  </si>
  <si>
    <t>CUST-1215</t>
  </si>
  <si>
    <t>Customer 1235</t>
  </si>
  <si>
    <t>ORD-10124</t>
  </si>
  <si>
    <t>CUST-1001</t>
  </si>
  <si>
    <t>Customer 1181</t>
  </si>
  <si>
    <t>ORD-10125</t>
  </si>
  <si>
    <t>Customer 1284</t>
  </si>
  <si>
    <t>ORD-10126</t>
  </si>
  <si>
    <t>Customer 1124</t>
  </si>
  <si>
    <t>ORD-10127</t>
  </si>
  <si>
    <t>ORD-10128</t>
  </si>
  <si>
    <t>CUST-1279</t>
  </si>
  <si>
    <t>Customer 1243</t>
  </si>
  <si>
    <t>ORD-10129</t>
  </si>
  <si>
    <t>CUST-1205</t>
  </si>
  <si>
    <t>Customer 1226</t>
  </si>
  <si>
    <t>ORD-10130</t>
  </si>
  <si>
    <t>Customer 1093</t>
  </si>
  <si>
    <t>ORD-10131</t>
  </si>
  <si>
    <t>ORD-10132</t>
  </si>
  <si>
    <t>CUST-1187</t>
  </si>
  <si>
    <t>Customer 1263</t>
  </si>
  <si>
    <t>ORD-10133</t>
  </si>
  <si>
    <t>Customer 1197</t>
  </si>
  <si>
    <t>ORD-10134</t>
  </si>
  <si>
    <t>CUST-1143</t>
  </si>
  <si>
    <t>Customer 1128</t>
  </si>
  <si>
    <t>ORD-10135</t>
  </si>
  <si>
    <t>CUST-1147</t>
  </si>
  <si>
    <t>ORD-10136</t>
  </si>
  <si>
    <t>CUST-1178</t>
  </si>
  <si>
    <t>Customer 1034</t>
  </si>
  <si>
    <t>ORD-10137</t>
  </si>
  <si>
    <t>CUST-1014</t>
  </si>
  <si>
    <t>Customer 1185</t>
  </si>
  <si>
    <t>ORD-10138</t>
  </si>
  <si>
    <t>CUST-1211</t>
  </si>
  <si>
    <t>Customer 1210</t>
  </si>
  <si>
    <t>ORD-10139</t>
  </si>
  <si>
    <t>CUST-1067</t>
  </si>
  <si>
    <t>Customer 1222</t>
  </si>
  <si>
    <t>ORD-10140</t>
  </si>
  <si>
    <t>Customer 1101</t>
  </si>
  <si>
    <t>ORD-10141</t>
  </si>
  <si>
    <t>CUST-1088</t>
  </si>
  <si>
    <t>ORD-10142</t>
  </si>
  <si>
    <t>CUST-1016</t>
  </si>
  <si>
    <t>Customer 1255</t>
  </si>
  <si>
    <t>ORD-10143</t>
  </si>
  <si>
    <t>CUST-1248</t>
  </si>
  <si>
    <t>ORD-10144</t>
  </si>
  <si>
    <t>Customer 1055</t>
  </si>
  <si>
    <t>ORD-10145</t>
  </si>
  <si>
    <t>Customer 1082</t>
  </si>
  <si>
    <t>ORD-10146</t>
  </si>
  <si>
    <t>CUST-1259</t>
  </si>
  <si>
    <t>ORD-10147</t>
  </si>
  <si>
    <t>CUST-1275</t>
  </si>
  <si>
    <t>ORD-10148</t>
  </si>
  <si>
    <t>ORD-10149</t>
  </si>
  <si>
    <t>ORD-10150</t>
  </si>
  <si>
    <t>CUST-1243</t>
  </si>
  <si>
    <t>Customer 1266</t>
  </si>
  <si>
    <t>ORD-10151</t>
  </si>
  <si>
    <t>CUST-1173</t>
  </si>
  <si>
    <t>ORD-10152</t>
  </si>
  <si>
    <t>ORD-10153</t>
  </si>
  <si>
    <t>CUST-1057</t>
  </si>
  <si>
    <t>ORD-10154</t>
  </si>
  <si>
    <t>ORD-10155</t>
  </si>
  <si>
    <t>CUST-1280</t>
  </si>
  <si>
    <t>Customer 1182</t>
  </si>
  <si>
    <t>ORD-10156</t>
  </si>
  <si>
    <t>Customer 1246</t>
  </si>
  <si>
    <t>ORD-10157</t>
  </si>
  <si>
    <t>CUST-1149</t>
  </si>
  <si>
    <t>ORD-10158</t>
  </si>
  <si>
    <t>CUST-1140</t>
  </si>
  <si>
    <t>ORD-10159</t>
  </si>
  <si>
    <t>CUST-1052</t>
  </si>
  <si>
    <t>ORD-10160</t>
  </si>
  <si>
    <t>CUST-1046</t>
  </si>
  <si>
    <t>Customer 1294</t>
  </si>
  <si>
    <t>ORD-10161</t>
  </si>
  <si>
    <t>ORD-10162</t>
  </si>
  <si>
    <t>Customer 1099</t>
  </si>
  <si>
    <t>ORD-10163</t>
  </si>
  <si>
    <t>Customer 1208</t>
  </si>
  <si>
    <t>ORD-10164</t>
  </si>
  <si>
    <t>CUST-1121</t>
  </si>
  <si>
    <t>Customer 1229</t>
  </si>
  <si>
    <t>ORD-10165</t>
  </si>
  <si>
    <t>ORD-10166</t>
  </si>
  <si>
    <t>CUST-1192</t>
  </si>
  <si>
    <t>ORD-10167</t>
  </si>
  <si>
    <t>Customer 1104</t>
  </si>
  <si>
    <t>ORD-10168</t>
  </si>
  <si>
    <t>CUST-1029</t>
  </si>
  <si>
    <t>ORD-10169</t>
  </si>
  <si>
    <t>ORD-10170</t>
  </si>
  <si>
    <t>CUST-1216</t>
  </si>
  <si>
    <t>ORD-10171</t>
  </si>
  <si>
    <t>ORD-10172</t>
  </si>
  <si>
    <t>Customer 1127</t>
  </si>
  <si>
    <t>ORD-10173</t>
  </si>
  <si>
    <t>CUST-1009</t>
  </si>
  <si>
    <t>ORD-10174</t>
  </si>
  <si>
    <t>ORD-10175</t>
  </si>
  <si>
    <t>ORD-10176</t>
  </si>
  <si>
    <t>Customer 1219</t>
  </si>
  <si>
    <t>ORD-10177</t>
  </si>
  <si>
    <t>CUST-1124</t>
  </si>
  <si>
    <t>ORD-10178</t>
  </si>
  <si>
    <t>ORD-10179</t>
  </si>
  <si>
    <t>ORD-10180</t>
  </si>
  <si>
    <t>CUST-1246</t>
  </si>
  <si>
    <t>ORD-10181</t>
  </si>
  <si>
    <t>CUST-1184</t>
  </si>
  <si>
    <t>Customer 1158</t>
  </si>
  <si>
    <t>ORD-10182</t>
  </si>
  <si>
    <t>Customer 1114</t>
  </si>
  <si>
    <t>ORD-10183</t>
  </si>
  <si>
    <t>Customer 1126</t>
  </si>
  <si>
    <t>ORD-10184</t>
  </si>
  <si>
    <t>CUST-1095</t>
  </si>
  <si>
    <t>ORD-10185</t>
  </si>
  <si>
    <t>ORD-10186</t>
  </si>
  <si>
    <t>Customer 1009</t>
  </si>
  <si>
    <t>ORD-10187</t>
  </si>
  <si>
    <t>CUST-1182</t>
  </si>
  <si>
    <t>ORD-10188</t>
  </si>
  <si>
    <t>ORD-10189</t>
  </si>
  <si>
    <t>Customer 1049</t>
  </si>
  <si>
    <t>ORD-10190</t>
  </si>
  <si>
    <t>CUST-1017</t>
  </si>
  <si>
    <t>Customer 1092</t>
  </si>
  <si>
    <t>ORD-10191</t>
  </si>
  <si>
    <t>CUST-1200</t>
  </si>
  <si>
    <t>Customer 1277</t>
  </si>
  <si>
    <t>ORD-10192</t>
  </si>
  <si>
    <t>CUST-1175</t>
  </si>
  <si>
    <t>Customer 1204</t>
  </si>
  <si>
    <t>ORD-10193</t>
  </si>
  <si>
    <t>Customer 1044</t>
  </si>
  <si>
    <t>ORD-10194</t>
  </si>
  <si>
    <t>CUST-1158</t>
  </si>
  <si>
    <t>ORD-10195</t>
  </si>
  <si>
    <t>CUST-1209</t>
  </si>
  <si>
    <t>Customer 1053</t>
  </si>
  <si>
    <t>ORD-10196</t>
  </si>
  <si>
    <t>CUST-1287</t>
  </si>
  <si>
    <t>ORD-10197</t>
  </si>
  <si>
    <t>CUST-1154</t>
  </si>
  <si>
    <t>Customer 1248</t>
  </si>
  <si>
    <t>ORD-10198</t>
  </si>
  <si>
    <t>ORD-10199</t>
  </si>
  <si>
    <t>Customer 1161</t>
  </si>
  <si>
    <t>ORD-10200</t>
  </si>
  <si>
    <t>ORD-10201</t>
  </si>
  <si>
    <t>Customer 1256</t>
  </si>
  <si>
    <t>ORD-10202</t>
  </si>
  <si>
    <t>CUST-1299</t>
  </si>
  <si>
    <t>ORD-10203</t>
  </si>
  <si>
    <t>CUST-1086</t>
  </si>
  <si>
    <t>Customer 1023</t>
  </si>
  <si>
    <t>ORD-10204</t>
  </si>
  <si>
    <t>ORD-10205</t>
  </si>
  <si>
    <t>CUST-1213</t>
  </si>
  <si>
    <t>ORD-10206</t>
  </si>
  <si>
    <t>CUST-1232</t>
  </si>
  <si>
    <t>Customer 1164</t>
  </si>
  <si>
    <t>ORD-10207</t>
  </si>
  <si>
    <t>Customer 1170</t>
  </si>
  <si>
    <t>ORD-10208</t>
  </si>
  <si>
    <t>Customer 1220</t>
  </si>
  <si>
    <t>ORD-10209</t>
  </si>
  <si>
    <t>CUST-1101</t>
  </si>
  <si>
    <t>ORD-10210</t>
  </si>
  <si>
    <t>Customer 1089</t>
  </si>
  <si>
    <t>ORD-10211</t>
  </si>
  <si>
    <t>ORD-10212</t>
  </si>
  <si>
    <t>CUST-1162</t>
  </si>
  <si>
    <t>Customer 1231</t>
  </si>
  <si>
    <t>ORD-10213</t>
  </si>
  <si>
    <t>CUST-1254</t>
  </si>
  <si>
    <t>ORD-10214</t>
  </si>
  <si>
    <t>CUST-1087</t>
  </si>
  <si>
    <t>ORD-10215</t>
  </si>
  <si>
    <t>ORD-10216</t>
  </si>
  <si>
    <t>CUST-1108</t>
  </si>
  <si>
    <t>Customer 1180</t>
  </si>
  <si>
    <t>ORD-10217</t>
  </si>
  <si>
    <t>ORD-10218</t>
  </si>
  <si>
    <t>CUST-1065</t>
  </si>
  <si>
    <t>ORD-10219</t>
  </si>
  <si>
    <t>Customer 1039</t>
  </si>
  <si>
    <t>ORD-10220</t>
  </si>
  <si>
    <t>Customer 1184</t>
  </si>
  <si>
    <t>ORD-10221</t>
  </si>
  <si>
    <t>CUST-1249</t>
  </si>
  <si>
    <t>Customer 1176</t>
  </si>
  <si>
    <t>ORD-10222</t>
  </si>
  <si>
    <t>CUST-1104</t>
  </si>
  <si>
    <t>ORD-10223</t>
  </si>
  <si>
    <t>CUST-1157</t>
  </si>
  <si>
    <t>Customer 1120</t>
  </si>
  <si>
    <t>ORD-10224</t>
  </si>
  <si>
    <t>CUST-1005</t>
  </si>
  <si>
    <t>ORD-10225</t>
  </si>
  <si>
    <t>CUST-1071</t>
  </si>
  <si>
    <t>ORD-10226</t>
  </si>
  <si>
    <t>CUST-1078</t>
  </si>
  <si>
    <t>Customer 1211</t>
  </si>
  <si>
    <t>ORD-10227</t>
  </si>
  <si>
    <t>CUST-1127</t>
  </si>
  <si>
    <t>Customer 1142</t>
  </si>
  <si>
    <t>ORD-10228</t>
  </si>
  <si>
    <t>CUST-1266</t>
  </si>
  <si>
    <t>Customer 1261</t>
  </si>
  <si>
    <t>ORD-10229</t>
  </si>
  <si>
    <t>CUST-1007</t>
  </si>
  <si>
    <t>ORD-10230</t>
  </si>
  <si>
    <t>Customer 1135</t>
  </si>
  <si>
    <t>ORD-10231</t>
  </si>
  <si>
    <t>ORD-10232</t>
  </si>
  <si>
    <t>CUST-1201</t>
  </si>
  <si>
    <t>ORD-10233</t>
  </si>
  <si>
    <t>Customer 1062</t>
  </si>
  <si>
    <t>ORD-10234</t>
  </si>
  <si>
    <t>Customer 1138</t>
  </si>
  <si>
    <t>ORD-10235</t>
  </si>
  <si>
    <t>ORD-10236</t>
  </si>
  <si>
    <t>CUST-1126</t>
  </si>
  <si>
    <t>ORD-10237</t>
  </si>
  <si>
    <t>CUST-1115</t>
  </si>
  <si>
    <t>Customer 1165</t>
  </si>
  <si>
    <t>ORD-10238</t>
  </si>
  <si>
    <t>Customer 1036</t>
  </si>
  <si>
    <t>ORD-10239</t>
  </si>
  <si>
    <t>CUST-1125</t>
  </si>
  <si>
    <t>ORD-10240</t>
  </si>
  <si>
    <t>Customer 1172</t>
  </si>
  <si>
    <t>ORD-10241</t>
  </si>
  <si>
    <t>CUST-1144</t>
  </si>
  <si>
    <t>ORD-10242</t>
  </si>
  <si>
    <t>Customer 1069</t>
  </si>
  <si>
    <t>ORD-10243</t>
  </si>
  <si>
    <t>CUST-1168</t>
  </si>
  <si>
    <t>Customer 1163</t>
  </si>
  <si>
    <t>ORD-10244</t>
  </si>
  <si>
    <t>Customer 1209</t>
  </si>
  <si>
    <t>ORD-10245</t>
  </si>
  <si>
    <t>ORD-10246</t>
  </si>
  <si>
    <t>Customer 1285</t>
  </si>
  <si>
    <t>ORD-10247</t>
  </si>
  <si>
    <t>Customer 1299</t>
  </si>
  <si>
    <t>ORD-10248</t>
  </si>
  <si>
    <t>CUST-1026</t>
  </si>
  <si>
    <t>ORD-10249</t>
  </si>
  <si>
    <t>Customer 1018</t>
  </si>
  <si>
    <t>ORD-10250</t>
  </si>
  <si>
    <t>CUST-1270</t>
  </si>
  <si>
    <t>ORD-10251</t>
  </si>
  <si>
    <t>Customer 1139</t>
  </si>
  <si>
    <t>ORD-10252</t>
  </si>
  <si>
    <t>ORD-10253</t>
  </si>
  <si>
    <t>ORD-10254</t>
  </si>
  <si>
    <t>Customer 1073</t>
  </si>
  <si>
    <t>ORD-10255</t>
  </si>
  <si>
    <t>Customer 1001</t>
  </si>
  <si>
    <t>ORD-10256</t>
  </si>
  <si>
    <t>Customer 1270</t>
  </si>
  <si>
    <t>ORD-10257</t>
  </si>
  <si>
    <t>CUST-1250</t>
  </si>
  <si>
    <t>ORD-10258</t>
  </si>
  <si>
    <t>CUST-1294</t>
  </si>
  <si>
    <t>Customer 1201</t>
  </si>
  <si>
    <t>ORD-10259</t>
  </si>
  <si>
    <t>Customer 1178</t>
  </si>
  <si>
    <t>ORD-10260</t>
  </si>
  <si>
    <t>Customer 1025</t>
  </si>
  <si>
    <t>ORD-10261</t>
  </si>
  <si>
    <t>ORD-10262</t>
  </si>
  <si>
    <t>ORD-10263</t>
  </si>
  <si>
    <t>CUST-1081</t>
  </si>
  <si>
    <t>ORD-10264</t>
  </si>
  <si>
    <t>Customer 1202</t>
  </si>
  <si>
    <t>ORD-10265</t>
  </si>
  <si>
    <t>ORD-10266</t>
  </si>
  <si>
    <t>Customer 1190</t>
  </si>
  <si>
    <t>ORD-10267</t>
  </si>
  <si>
    <t>Customer 1050</t>
  </si>
  <si>
    <t>ORD-10268</t>
  </si>
  <si>
    <t>CUST-1244</t>
  </si>
  <si>
    <t>ORD-10269</t>
  </si>
  <si>
    <t>CUST-1293</t>
  </si>
  <si>
    <t>Customer 1076</t>
  </si>
  <si>
    <t>ORD-10270</t>
  </si>
  <si>
    <t>ORD-10271</t>
  </si>
  <si>
    <t>Customer 1215</t>
  </si>
  <si>
    <t>ORD-10272</t>
  </si>
  <si>
    <t>ORD-10273</t>
  </si>
  <si>
    <t>Customer 1020</t>
  </si>
  <si>
    <t>ORD-10274</t>
  </si>
  <si>
    <t>Customer 1117</t>
  </si>
  <si>
    <t>ORD-10275</t>
  </si>
  <si>
    <t>ORD-10276</t>
  </si>
  <si>
    <t>CUST-1089</t>
  </si>
  <si>
    <t>ORD-10277</t>
  </si>
  <si>
    <t>CUST-1064</t>
  </si>
  <si>
    <t>ORD-10278</t>
  </si>
  <si>
    <t>Customer 1084</t>
  </si>
  <si>
    <t>ORD-10279</t>
  </si>
  <si>
    <t>CUST-1106</t>
  </si>
  <si>
    <t>ORD-10280</t>
  </si>
  <si>
    <t>CUST-1141</t>
  </si>
  <si>
    <t>ORD-10281</t>
  </si>
  <si>
    <t>ORD-10282</t>
  </si>
  <si>
    <t>CUST-1097</t>
  </si>
  <si>
    <t>Customer 1077</t>
  </si>
  <si>
    <t>ORD-10283</t>
  </si>
  <si>
    <t>ORD-10284</t>
  </si>
  <si>
    <t>Customer 1154</t>
  </si>
  <si>
    <t>ORD-10285</t>
  </si>
  <si>
    <t>ORD-10286</t>
  </si>
  <si>
    <t>Customer 1100</t>
  </si>
  <si>
    <t>ORD-10287</t>
  </si>
  <si>
    <t>CUST-1074</t>
  </si>
  <si>
    <t>ORD-10288</t>
  </si>
  <si>
    <t>ORD-10289</t>
  </si>
  <si>
    <t>ORD-10290</t>
  </si>
  <si>
    <t>CUST-1197</t>
  </si>
  <si>
    <t>Customer 1258</t>
  </si>
  <si>
    <t>ORD-10291</t>
  </si>
  <si>
    <t>Customer 1223</t>
  </si>
  <si>
    <t>ORD-10292</t>
  </si>
  <si>
    <t>CUST-1109</t>
  </si>
  <si>
    <t>Customer 1012</t>
  </si>
  <si>
    <t>ORD-10293</t>
  </si>
  <si>
    <t>CUST-1025</t>
  </si>
  <si>
    <t>ORD-10294</t>
  </si>
  <si>
    <t>ORD-10295</t>
  </si>
  <si>
    <t>CUST-1145</t>
  </si>
  <si>
    <t>ORD-10296</t>
  </si>
  <si>
    <t>ORD-10297</t>
  </si>
  <si>
    <t>CUST-1047</t>
  </si>
  <si>
    <t>Customer 1262</t>
  </si>
  <si>
    <t>ORD-10298</t>
  </si>
  <si>
    <t>Customer 1149</t>
  </si>
  <si>
    <t>ORD-10299</t>
  </si>
  <si>
    <t>CUST-1169</t>
  </si>
  <si>
    <t>ORD-10300</t>
  </si>
  <si>
    <t>ORD-10301</t>
  </si>
  <si>
    <t>ORD-10302</t>
  </si>
  <si>
    <t>ORD-10303</t>
  </si>
  <si>
    <t>ORD-10304</t>
  </si>
  <si>
    <t>ORD-10305</t>
  </si>
  <si>
    <t>CUST-1255</t>
  </si>
  <si>
    <t>ORD-10306</t>
  </si>
  <si>
    <t>CUST-1156</t>
  </si>
  <si>
    <t>ORD-10307</t>
  </si>
  <si>
    <t>Customer 1187</t>
  </si>
  <si>
    <t>ORD-10308</t>
  </si>
  <si>
    <t>CUST-1055</t>
  </si>
  <si>
    <t>ORD-10309</t>
  </si>
  <si>
    <t>CUST-1174</t>
  </si>
  <si>
    <t>ORD-10310</t>
  </si>
  <si>
    <t>ORD-10311</t>
  </si>
  <si>
    <t>ORD-10312</t>
  </si>
  <si>
    <t>ORD-10313</t>
  </si>
  <si>
    <t>CUST-1166</t>
  </si>
  <si>
    <t>Customer 1060</t>
  </si>
  <si>
    <t>ORD-10314</t>
  </si>
  <si>
    <t>Customer 1013</t>
  </si>
  <si>
    <t>ORD-10315</t>
  </si>
  <si>
    <t>CUST-1152</t>
  </si>
  <si>
    <t>Customer 1105</t>
  </si>
  <si>
    <t>ORD-10316</t>
  </si>
  <si>
    <t>CUST-1262</t>
  </si>
  <si>
    <t>ORD-10317</t>
  </si>
  <si>
    <t>ORD-10318</t>
  </si>
  <si>
    <t>ORD-10319</t>
  </si>
  <si>
    <t>ORD-10320</t>
  </si>
  <si>
    <t>ORD-10321</t>
  </si>
  <si>
    <t>ORD-10322</t>
  </si>
  <si>
    <t>CUST-1059</t>
  </si>
  <si>
    <t>ORD-10323</t>
  </si>
  <si>
    <t>Customer 1264</t>
  </si>
  <si>
    <t>ORD-10324</t>
  </si>
  <si>
    <t>CUST-1218</t>
  </si>
  <si>
    <t>Customer 1054</t>
  </si>
  <si>
    <t>ORD-10325</t>
  </si>
  <si>
    <t>CUST-1286</t>
  </si>
  <si>
    <t>Customer 1037</t>
  </si>
  <si>
    <t>ORD-10326</t>
  </si>
  <si>
    <t>CUST-1004</t>
  </si>
  <si>
    <t>Customer 1033</t>
  </si>
  <si>
    <t>ORD-10327</t>
  </si>
  <si>
    <t>ORD-10328</t>
  </si>
  <si>
    <t>Customer 1006</t>
  </si>
  <si>
    <t>ORD-10329</t>
  </si>
  <si>
    <t>Customer 1212</t>
  </si>
  <si>
    <t>ORD-10330</t>
  </si>
  <si>
    <t>CUST-1028</t>
  </si>
  <si>
    <t>ORD-10331</t>
  </si>
  <si>
    <t>Customer 1146</t>
  </si>
  <si>
    <t>ORD-10332</t>
  </si>
  <si>
    <t>CUST-1220</t>
  </si>
  <si>
    <t>ORD-10333</t>
  </si>
  <si>
    <t>Customer 1237</t>
  </si>
  <si>
    <t>ORD-10334</t>
  </si>
  <si>
    <t>CUST-1276</t>
  </si>
  <si>
    <t>ORD-10335</t>
  </si>
  <si>
    <t>Customer 1134</t>
  </si>
  <si>
    <t>ORD-10336</t>
  </si>
  <si>
    <t>CUST-1204</t>
  </si>
  <si>
    <t>ORD-10337</t>
  </si>
  <si>
    <t>CUST-1075</t>
  </si>
  <si>
    <t>ORD-10338</t>
  </si>
  <si>
    <t>CUST-1185</t>
  </si>
  <si>
    <t>Customer 1199</t>
  </si>
  <si>
    <t>ORD-10339</t>
  </si>
  <si>
    <t>Customer 1090</t>
  </si>
  <si>
    <t>ORD-10340</t>
  </si>
  <si>
    <t>ORD-10341</t>
  </si>
  <si>
    <t>Customer 1109</t>
  </si>
  <si>
    <t>ORD-10342</t>
  </si>
  <si>
    <t>ORD-10343</t>
  </si>
  <si>
    <t>ORD-10344</t>
  </si>
  <si>
    <t>ORD-10345</t>
  </si>
  <si>
    <t>ORD-10346</t>
  </si>
  <si>
    <t>ORD-10347</t>
  </si>
  <si>
    <t>ORD-10348</t>
  </si>
  <si>
    <t>ORD-10349</t>
  </si>
  <si>
    <t>ORD-10350</t>
  </si>
  <si>
    <t>CUST-1130</t>
  </si>
  <si>
    <t>ORD-10351</t>
  </si>
  <si>
    <t>ORD-10352</t>
  </si>
  <si>
    <t>CUST-1229</t>
  </si>
  <si>
    <t>Customer 1083</t>
  </si>
  <si>
    <t>ORD-10353</t>
  </si>
  <si>
    <t>ORD-10354</t>
  </si>
  <si>
    <t>CUST-1267</t>
  </si>
  <si>
    <t>ORD-10355</t>
  </si>
  <si>
    <t>Customer 1019</t>
  </si>
  <si>
    <t>ORD-10356</t>
  </si>
  <si>
    <t>Customer 1008</t>
  </si>
  <si>
    <t>ORD-10357</t>
  </si>
  <si>
    <t>Customer 1207</t>
  </si>
  <si>
    <t>ORD-10358</t>
  </si>
  <si>
    <t>Customer 1295</t>
  </si>
  <si>
    <t>ORD-10359</t>
  </si>
  <si>
    <t>CUST-1247</t>
  </si>
  <si>
    <t>ORD-10360</t>
  </si>
  <si>
    <t>CUST-1135</t>
  </si>
  <si>
    <t>ORD-10361</t>
  </si>
  <si>
    <t>CUST-1094</t>
  </si>
  <si>
    <t>ORD-10362</t>
  </si>
  <si>
    <t>CUST-1062</t>
  </si>
  <si>
    <t>Customer 1041</t>
  </si>
  <si>
    <t>ORD-10363</t>
  </si>
  <si>
    <t>ORD-10364</t>
  </si>
  <si>
    <t>CUST-1258</t>
  </si>
  <si>
    <t>ORD-10365</t>
  </si>
  <si>
    <t>Customer 1167</t>
  </si>
  <si>
    <t>ORD-10366</t>
  </si>
  <si>
    <t>ORD-10367</t>
  </si>
  <si>
    <t>CUST-1139</t>
  </si>
  <si>
    <t>Customer 1121</t>
  </si>
  <si>
    <t>ORD-10368</t>
  </si>
  <si>
    <t>CUST-1274</t>
  </si>
  <si>
    <t>ORD-10369</t>
  </si>
  <si>
    <t>CUST-1050</t>
  </si>
  <si>
    <t>ORD-10370</t>
  </si>
  <si>
    <t>ORD-10371</t>
  </si>
  <si>
    <t>ORD-10372</t>
  </si>
  <si>
    <t>CUST-1150</t>
  </si>
  <si>
    <t>ORD-10373</t>
  </si>
  <si>
    <t>Customer 1129</t>
  </si>
  <si>
    <t>ORD-10374</t>
  </si>
  <si>
    <t>CUST-1054</t>
  </si>
  <si>
    <t>ORD-10375</t>
  </si>
  <si>
    <t>CUST-1015</t>
  </si>
  <si>
    <t>ORD-10376</t>
  </si>
  <si>
    <t>ORD-10377</t>
  </si>
  <si>
    <t>ORD-10378</t>
  </si>
  <si>
    <t>CUST-1119</t>
  </si>
  <si>
    <t>ORD-10379</t>
  </si>
  <si>
    <t>CUST-1217</t>
  </si>
  <si>
    <t>Customer 1123</t>
  </si>
  <si>
    <t>ORD-10380</t>
  </si>
  <si>
    <t>Customer 1140</t>
  </si>
  <si>
    <t>ORD-10381</t>
  </si>
  <si>
    <t>ORD-10382</t>
  </si>
  <si>
    <t>ORD-10383</t>
  </si>
  <si>
    <t>CUST-1063</t>
  </si>
  <si>
    <t>ORD-10384</t>
  </si>
  <si>
    <t>ORD-10385</t>
  </si>
  <si>
    <t>CUST-1058</t>
  </si>
  <si>
    <t>ORD-10386</t>
  </si>
  <si>
    <t>Customer 1191</t>
  </si>
  <si>
    <t>ORD-10387</t>
  </si>
  <si>
    <t>ORD-10388</t>
  </si>
  <si>
    <t>Customer 1225</t>
  </si>
  <si>
    <t>ORD-10389</t>
  </si>
  <si>
    <t>Customer 1272</t>
  </si>
  <si>
    <t>ORD-10390</t>
  </si>
  <si>
    <t>ORD-10391</t>
  </si>
  <si>
    <t>Customer 1057</t>
  </si>
  <si>
    <t>ORD-10392</t>
  </si>
  <si>
    <t>Customer 1251</t>
  </si>
  <si>
    <t>ORD-10393</t>
  </si>
  <si>
    <t>CUST-1240</t>
  </si>
  <si>
    <t>ORD-10394</t>
  </si>
  <si>
    <t>ORD-10395</t>
  </si>
  <si>
    <t>ORD-10396</t>
  </si>
  <si>
    <t>Customer 1274</t>
  </si>
  <si>
    <t>ORD-10397</t>
  </si>
  <si>
    <t>Customer 1280</t>
  </si>
  <si>
    <t>ORD-10398</t>
  </si>
  <si>
    <t>ORD-10399</t>
  </si>
  <si>
    <t>ORD-10400</t>
  </si>
  <si>
    <t>ORD-10401</t>
  </si>
  <si>
    <t>CUST-1049</t>
  </si>
  <si>
    <t>ORD-10402</t>
  </si>
  <si>
    <t>CUST-1006</t>
  </si>
  <si>
    <t>ORD-10403</t>
  </si>
  <si>
    <t>CUST-1114</t>
  </si>
  <si>
    <t>ORD-10404</t>
  </si>
  <si>
    <t>CUST-1043</t>
  </si>
  <si>
    <t>Customer 1244</t>
  </si>
  <si>
    <t>ORD-10405</t>
  </si>
  <si>
    <t>ORD-10406</t>
  </si>
  <si>
    <t>CUST-1179</t>
  </si>
  <si>
    <t>ORD-10407</t>
  </si>
  <si>
    <t>CUST-1023</t>
  </si>
  <si>
    <t>ORD-10408</t>
  </si>
  <si>
    <t>ORD-10409</t>
  </si>
  <si>
    <t>CUST-1010</t>
  </si>
  <si>
    <t>ORD-10410</t>
  </si>
  <si>
    <t>CUST-1035</t>
  </si>
  <si>
    <t>ORD-10411</t>
  </si>
  <si>
    <t>ORD-10412</t>
  </si>
  <si>
    <t>ORD-10413</t>
  </si>
  <si>
    <t>ORD-10414</t>
  </si>
  <si>
    <t>CUST-1117</t>
  </si>
  <si>
    <t>Customer 1214</t>
  </si>
  <si>
    <t>ORD-10415</t>
  </si>
  <si>
    <t>ORD-10416</t>
  </si>
  <si>
    <t>CUST-1061</t>
  </si>
  <si>
    <t>Customer 1095</t>
  </si>
  <si>
    <t>ORD-10417</t>
  </si>
  <si>
    <t>Customer 1097</t>
  </si>
  <si>
    <t>ORD-10418</t>
  </si>
  <si>
    <t>ORD-10419</t>
  </si>
  <si>
    <t>ORD-10420</t>
  </si>
  <si>
    <t>ORD-10421</t>
  </si>
  <si>
    <t>ORD-10422</t>
  </si>
  <si>
    <t>Customer 1021</t>
  </si>
  <si>
    <t>ORD-10423</t>
  </si>
  <si>
    <t>ORD-10424</t>
  </si>
  <si>
    <t>CUST-1013</t>
  </si>
  <si>
    <t>ORD-10425</t>
  </si>
  <si>
    <t>Customer 1269</t>
  </si>
  <si>
    <t>ORD-10426</t>
  </si>
  <si>
    <t>ORD-10427</t>
  </si>
  <si>
    <t>ORD-10428</t>
  </si>
  <si>
    <t>ORD-10429</t>
  </si>
  <si>
    <t>ORD-10430</t>
  </si>
  <si>
    <t>CUST-1170</t>
  </si>
  <si>
    <t>Customer 1045</t>
  </si>
  <si>
    <t>ORD-10431</t>
  </si>
  <si>
    <t>CUST-1091</t>
  </si>
  <si>
    <t>Customer 1234</t>
  </si>
  <si>
    <t>ORD-10432</t>
  </si>
  <si>
    <t>Customer 1242</t>
  </si>
  <si>
    <t>ORD-10433</t>
  </si>
  <si>
    <t>Customer 1293</t>
  </si>
  <si>
    <t>ORD-10434</t>
  </si>
  <si>
    <t>ORD-10435</t>
  </si>
  <si>
    <t>CUST-1107</t>
  </si>
  <si>
    <t>ORD-10436</t>
  </si>
  <si>
    <t>ORD-10437</t>
  </si>
  <si>
    <t>ORD-10438</t>
  </si>
  <si>
    <t>ORD-10439</t>
  </si>
  <si>
    <t>CUST-1034</t>
  </si>
  <si>
    <t>ORD-10440</t>
  </si>
  <si>
    <t>CUST-1096</t>
  </si>
  <si>
    <t>ORD-10441</t>
  </si>
  <si>
    <t>Customer 1058</t>
  </si>
  <si>
    <t>ORD-10442</t>
  </si>
  <si>
    <t>ORD-10443</t>
  </si>
  <si>
    <t>Customer 1003</t>
  </si>
  <si>
    <t>ORD-10444</t>
  </si>
  <si>
    <t>ORD-10445</t>
  </si>
  <si>
    <t>ORD-10446</t>
  </si>
  <si>
    <t>CUST-1146</t>
  </si>
  <si>
    <t>ORD-10447</t>
  </si>
  <si>
    <t>ORD-10448</t>
  </si>
  <si>
    <t>CUST-1183</t>
  </si>
  <si>
    <t>Customer 1160</t>
  </si>
  <si>
    <t>ORD-10449</t>
  </si>
  <si>
    <t>ORD-10450</t>
  </si>
  <si>
    <t>ORD-10451</t>
  </si>
  <si>
    <t>ORD-10452</t>
  </si>
  <si>
    <t>ORD-10453</t>
  </si>
  <si>
    <t>ORD-10454</t>
  </si>
  <si>
    <t>ORD-10455</t>
  </si>
  <si>
    <t>CUST-1273</t>
  </si>
  <si>
    <t>ORD-10456</t>
  </si>
  <si>
    <t>Customer 1046</t>
  </si>
  <si>
    <t>ORD-10457</t>
  </si>
  <si>
    <t>ORD-10458</t>
  </si>
  <si>
    <t>Customer 1072</t>
  </si>
  <si>
    <t>ORD-10459</t>
  </si>
  <si>
    <t>Customer 1224</t>
  </si>
  <si>
    <t>ORD-10460</t>
  </si>
  <si>
    <t>ORD-10461</t>
  </si>
  <si>
    <t>Customer 1257</t>
  </si>
  <si>
    <t>ORD-10462</t>
  </si>
  <si>
    <t>ORD-10463</t>
  </si>
  <si>
    <t>ORD-10464</t>
  </si>
  <si>
    <t>Customer 1216</t>
  </si>
  <si>
    <t>ORD-10465</t>
  </si>
  <si>
    <t>ORD-10466</t>
  </si>
  <si>
    <t>Customer 1130</t>
  </si>
  <si>
    <t>ORD-10467</t>
  </si>
  <si>
    <t>ORD-10468</t>
  </si>
  <si>
    <t>ORD-10469</t>
  </si>
  <si>
    <t>CUST-1027</t>
  </si>
  <si>
    <t>ORD-10470</t>
  </si>
  <si>
    <t>ORD-10471</t>
  </si>
  <si>
    <t>ORD-10472</t>
  </si>
  <si>
    <t>ORD-10473</t>
  </si>
  <si>
    <t>CUST-1180</t>
  </si>
  <si>
    <t>ORD-10474</t>
  </si>
  <si>
    <t>ORD-10475</t>
  </si>
  <si>
    <t>CUST-1142</t>
  </si>
  <si>
    <t>ORD-10476</t>
  </si>
  <si>
    <t>ORD-10477</t>
  </si>
  <si>
    <t>ORD-10478</t>
  </si>
  <si>
    <t>Customer 1200</t>
  </si>
  <si>
    <t>ORD-10479</t>
  </si>
  <si>
    <t>ORD-10480</t>
  </si>
  <si>
    <t>CUST-1188</t>
  </si>
  <si>
    <t>ORD-10481</t>
  </si>
  <si>
    <t>ORD-10482</t>
  </si>
  <si>
    <t>ORD-10483</t>
  </si>
  <si>
    <t>Customer 1268</t>
  </si>
  <si>
    <t>ORD-10484</t>
  </si>
  <si>
    <t>ORD-10485</t>
  </si>
  <si>
    <t>ORD-10486</t>
  </si>
  <si>
    <t>CUST-1024</t>
  </si>
  <si>
    <t>ORD-10487</t>
  </si>
  <si>
    <t>ORD-10488</t>
  </si>
  <si>
    <t>ORD-10489</t>
  </si>
  <si>
    <t>ORD-10490</t>
  </si>
  <si>
    <t>ORD-10491</t>
  </si>
  <si>
    <t>ORD-10492</t>
  </si>
  <si>
    <t>ORD-10493</t>
  </si>
  <si>
    <t>Customer 1102</t>
  </si>
  <si>
    <t>ORD-10494</t>
  </si>
  <si>
    <t>ORD-10495</t>
  </si>
  <si>
    <t>ORD-10496</t>
  </si>
  <si>
    <t>Customer 1152</t>
  </si>
  <si>
    <t>ORD-10497</t>
  </si>
  <si>
    <t>ORD-10498</t>
  </si>
  <si>
    <t>CUST-1214</t>
  </si>
  <si>
    <t>ORD-10499</t>
  </si>
  <si>
    <t>ORD-10500</t>
  </si>
  <si>
    <t>ORD-10501</t>
  </si>
  <si>
    <t>ORD-10502</t>
  </si>
  <si>
    <t>CUST-1042</t>
  </si>
  <si>
    <t>ORD-10503</t>
  </si>
  <si>
    <t>ORD-10504</t>
  </si>
  <si>
    <t>CUST-1181</t>
  </si>
  <si>
    <t>ORD-10505</t>
  </si>
  <si>
    <t>Customer 1273</t>
  </si>
  <si>
    <t>ORD-10506</t>
  </si>
  <si>
    <t>CUST-1148</t>
  </si>
  <si>
    <t>ORD-10507</t>
  </si>
  <si>
    <t>CUST-1012</t>
  </si>
  <si>
    <t>Customer 1151</t>
  </si>
  <si>
    <t>ORD-10508</t>
  </si>
  <si>
    <t>ORD-10509</t>
  </si>
  <si>
    <t>ORD-10510</t>
  </si>
  <si>
    <t>ORD-10511</t>
  </si>
  <si>
    <t>CUST-1226</t>
  </si>
  <si>
    <t>ORD-10512</t>
  </si>
  <si>
    <t>ORD-10513</t>
  </si>
  <si>
    <t>ORD-10514</t>
  </si>
  <si>
    <t>CUST-1072</t>
  </si>
  <si>
    <t>Customer 1283</t>
  </si>
  <si>
    <t>ORD-10515</t>
  </si>
  <si>
    <t>ORD-10516</t>
  </si>
  <si>
    <t>CUST-1100</t>
  </si>
  <si>
    <t>ORD-10517</t>
  </si>
  <si>
    <t>ORD-10518</t>
  </si>
  <si>
    <t>ORD-10519</t>
  </si>
  <si>
    <t>ORD-10520</t>
  </si>
  <si>
    <t>CUST-1022</t>
  </si>
  <si>
    <t>ORD-10521</t>
  </si>
  <si>
    <t>ORD-10522</t>
  </si>
  <si>
    <t>Customer 1290</t>
  </si>
  <si>
    <t>ORD-10523</t>
  </si>
  <si>
    <t>ORD-10524</t>
  </si>
  <si>
    <t>CUST-1264</t>
  </si>
  <si>
    <t>ORD-10525</t>
  </si>
  <si>
    <t>ORD-10526</t>
  </si>
  <si>
    <t>ORD-10527</t>
  </si>
  <si>
    <t>ORD-10528</t>
  </si>
  <si>
    <t>ORD-10529</t>
  </si>
  <si>
    <t>ORD-10530</t>
  </si>
  <si>
    <t>ORD-10531</t>
  </si>
  <si>
    <t>ORD-10532</t>
  </si>
  <si>
    <t>Customer 1110</t>
  </si>
  <si>
    <t>ORD-10533</t>
  </si>
  <si>
    <t>ORD-10534</t>
  </si>
  <si>
    <t>Customer 1168</t>
  </si>
  <si>
    <t>ORD-10535</t>
  </si>
  <si>
    <t>ORD-10536</t>
  </si>
  <si>
    <t>ORD-10537</t>
  </si>
  <si>
    <t>ORD-10538</t>
  </si>
  <si>
    <t>ORD-10539</t>
  </si>
  <si>
    <t>ORD-10540</t>
  </si>
  <si>
    <t>ORD-10541</t>
  </si>
  <si>
    <t>ORD-10542</t>
  </si>
  <si>
    <t>CUST-1085</t>
  </si>
  <si>
    <t>ORD-10543</t>
  </si>
  <si>
    <t>ORD-10544</t>
  </si>
  <si>
    <t>ORD-10545</t>
  </si>
  <si>
    <t>Customer 1177</t>
  </si>
  <si>
    <t>ORD-10546</t>
  </si>
  <si>
    <t>Customer 1157</t>
  </si>
  <si>
    <t>ORD-10547</t>
  </si>
  <si>
    <t>ORD-10548</t>
  </si>
  <si>
    <t>CUST-1251</t>
  </si>
  <si>
    <t>Customer 1052</t>
  </si>
  <si>
    <t>ORD-10549</t>
  </si>
  <si>
    <t>ORD-10550</t>
  </si>
  <si>
    <t>ORD-10551</t>
  </si>
  <si>
    <t>ORD-10552</t>
  </si>
  <si>
    <t>ORD-10553</t>
  </si>
  <si>
    <t>ORD-10554</t>
  </si>
  <si>
    <t>ORD-10555</t>
  </si>
  <si>
    <t>CUST-1159</t>
  </si>
  <si>
    <t>ORD-10556</t>
  </si>
  <si>
    <t>ORD-10557</t>
  </si>
  <si>
    <t>ORD-10558</t>
  </si>
  <si>
    <t>ORD-10559</t>
  </si>
  <si>
    <t>ORD-10560</t>
  </si>
  <si>
    <t>CUST-1189</t>
  </si>
  <si>
    <t>ORD-10561</t>
  </si>
  <si>
    <t>ORD-10562</t>
  </si>
  <si>
    <t>ORD-10563</t>
  </si>
  <si>
    <t>ORD-10564</t>
  </si>
  <si>
    <t>CUST-1070</t>
  </si>
  <si>
    <t>ORD-10565</t>
  </si>
  <si>
    <t>ORD-10566</t>
  </si>
  <si>
    <t>ORD-10567</t>
  </si>
  <si>
    <t>ORD-10568</t>
  </si>
  <si>
    <t>ORD-10569</t>
  </si>
  <si>
    <t>Customer 1106</t>
  </si>
  <si>
    <t>ORD-10570</t>
  </si>
  <si>
    <t>ORD-10571</t>
  </si>
  <si>
    <t>CUST-1132</t>
  </si>
  <si>
    <t>ORD-10572</t>
  </si>
  <si>
    <t>CUST-1003</t>
  </si>
  <si>
    <t>ORD-10573</t>
  </si>
  <si>
    <t>CUST-1134</t>
  </si>
  <si>
    <t>ORD-10574</t>
  </si>
  <si>
    <t>CUST-1066</t>
  </si>
  <si>
    <t>ORD-10575</t>
  </si>
  <si>
    <t>Customer 1078</t>
  </si>
  <si>
    <t>ORD-10576</t>
  </si>
  <si>
    <t>Customer 1254</t>
  </si>
  <si>
    <t>ORD-10577</t>
  </si>
  <si>
    <t>ORD-10578</t>
  </si>
  <si>
    <t>ORD-10579</t>
  </si>
  <si>
    <t>ORD-10580</t>
  </si>
  <si>
    <t>Customer 1029</t>
  </si>
  <si>
    <t>ORD-10581</t>
  </si>
  <si>
    <t>ORD-10582</t>
  </si>
  <si>
    <t>Customer 1103</t>
  </si>
  <si>
    <t>ORD-10583</t>
  </si>
  <si>
    <t>ORD-10584</t>
  </si>
  <si>
    <t>ORD-10585</t>
  </si>
  <si>
    <t>ORD-10586</t>
  </si>
  <si>
    <t>ORD-10587</t>
  </si>
  <si>
    <t>ORD-10588</t>
  </si>
  <si>
    <t>ORD-10589</t>
  </si>
  <si>
    <t>ORD-10590</t>
  </si>
  <si>
    <t>ORD-10591</t>
  </si>
  <si>
    <t>ORD-10592</t>
  </si>
  <si>
    <t>ORD-10593</t>
  </si>
  <si>
    <t>ORD-10594</t>
  </si>
  <si>
    <t>ORD-10595</t>
  </si>
  <si>
    <t>CUST-1151</t>
  </si>
  <si>
    <t>ORD-10596</t>
  </si>
  <si>
    <t>ORD-10597</t>
  </si>
  <si>
    <t>ORD-10598</t>
  </si>
  <si>
    <t>ORD-10599</t>
  </si>
  <si>
    <t>ORD-10600</t>
  </si>
  <si>
    <t>ORD-10601</t>
  </si>
  <si>
    <t>ORD-10602</t>
  </si>
  <si>
    <t>ORD-10603</t>
  </si>
  <si>
    <t>ORD-10604</t>
  </si>
  <si>
    <t>ORD-10605</t>
  </si>
  <si>
    <t>ORD-10606</t>
  </si>
  <si>
    <t>ORD-10607</t>
  </si>
  <si>
    <t>Customer 1156</t>
  </si>
  <si>
    <t>ORD-10608</t>
  </si>
  <si>
    <t>CUST-1153</t>
  </si>
  <si>
    <t>ORD-10609</t>
  </si>
  <si>
    <t>CUST-1194</t>
  </si>
  <si>
    <t>Customer 1267</t>
  </si>
  <si>
    <t>ORD-10610</t>
  </si>
  <si>
    <t>ORD-10611</t>
  </si>
  <si>
    <t>CUST-1136</t>
  </si>
  <si>
    <t>Customer 1300</t>
  </si>
  <si>
    <t>ORD-10612</t>
  </si>
  <si>
    <t>Customer 1271</t>
  </si>
  <si>
    <t>ORD-10613</t>
  </si>
  <si>
    <t>ORD-10614</t>
  </si>
  <si>
    <t>ORD-10615</t>
  </si>
  <si>
    <t>Customer 1247</t>
  </si>
  <si>
    <t>ORD-10616</t>
  </si>
  <si>
    <t>Customer 1230</t>
  </si>
  <si>
    <t>ORD-10617</t>
  </si>
  <si>
    <t>ORD-10618</t>
  </si>
  <si>
    <t>ORD-10619</t>
  </si>
  <si>
    <t>ORD-10620</t>
  </si>
  <si>
    <t>ORD-10621</t>
  </si>
  <si>
    <t>Customer 1031</t>
  </si>
  <si>
    <t>ORD-10622</t>
  </si>
  <si>
    <t>ORD-10623</t>
  </si>
  <si>
    <t>ORD-10624</t>
  </si>
  <si>
    <t>ORD-10625</t>
  </si>
  <si>
    <t>ORD-10626</t>
  </si>
  <si>
    <t>ORD-10627</t>
  </si>
  <si>
    <t>ORD-10628</t>
  </si>
  <si>
    <t>CUST-1176</t>
  </si>
  <si>
    <t>ORD-10629</t>
  </si>
  <si>
    <t>ORD-10630</t>
  </si>
  <si>
    <t>ORD-10631</t>
  </si>
  <si>
    <t>ORD-10632</t>
  </si>
  <si>
    <t>Customer 1253</t>
  </si>
  <si>
    <t>ORD-10633</t>
  </si>
  <si>
    <t>ORD-10634</t>
  </si>
  <si>
    <t>ORD-10635</t>
  </si>
  <si>
    <t>ORD-10636</t>
  </si>
  <si>
    <t>ORD-10637</t>
  </si>
  <si>
    <t>ORD-10638</t>
  </si>
  <si>
    <t>ORD-10639</t>
  </si>
  <si>
    <t>CUST-1032</t>
  </si>
  <si>
    <t>ORD-10640</t>
  </si>
  <si>
    <t>ORD-10641</t>
  </si>
  <si>
    <t>ORD-10642</t>
  </si>
  <si>
    <t>CUST-1261</t>
  </si>
  <si>
    <t>ORD-10643</t>
  </si>
  <si>
    <t>ORD-10644</t>
  </si>
  <si>
    <t>Customer 1030</t>
  </si>
  <si>
    <t>ORD-10645</t>
  </si>
  <si>
    <t>ORD-10646</t>
  </si>
  <si>
    <t>ORD-10647</t>
  </si>
  <si>
    <t>ORD-10648</t>
  </si>
  <si>
    <t>ORD-10649</t>
  </si>
  <si>
    <t>ORD-10650</t>
  </si>
  <si>
    <t>ORD-10651</t>
  </si>
  <si>
    <t>ORD-10652</t>
  </si>
  <si>
    <t>ORD-10653</t>
  </si>
  <si>
    <t>ORD-10654</t>
  </si>
  <si>
    <t>ORD-10655</t>
  </si>
  <si>
    <t>CUST-1069</t>
  </si>
  <si>
    <t>ORD-10656</t>
  </si>
  <si>
    <t>ORD-10657</t>
  </si>
  <si>
    <t>Customer 1043</t>
  </si>
  <si>
    <t>ORD-10658</t>
  </si>
  <si>
    <t>ORD-10659</t>
  </si>
  <si>
    <t>ORD-10660</t>
  </si>
  <si>
    <t>ORD-10661</t>
  </si>
  <si>
    <t>ORD-10662</t>
  </si>
  <si>
    <t>ORD-10663</t>
  </si>
  <si>
    <t>ORD-10664</t>
  </si>
  <si>
    <t>ORD-10665</t>
  </si>
  <si>
    <t>ORD-10666</t>
  </si>
  <si>
    <t>ORD-10667</t>
  </si>
  <si>
    <t>ORD-10668</t>
  </si>
  <si>
    <t>Customer 1236</t>
  </si>
  <si>
    <t>ORD-10669</t>
  </si>
  <si>
    <t>ORD-10670</t>
  </si>
  <si>
    <t>CUST-1123</t>
  </si>
  <si>
    <t>ORD-10671</t>
  </si>
  <si>
    <t>ORD-10672</t>
  </si>
  <si>
    <t>ORD-10673</t>
  </si>
  <si>
    <t>ORD-10674</t>
  </si>
  <si>
    <t>ORD-10675</t>
  </si>
  <si>
    <t>ORD-10676</t>
  </si>
  <si>
    <t>ORD-10677</t>
  </si>
  <si>
    <t>ORD-10678</t>
  </si>
  <si>
    <t>Customer 1183</t>
  </si>
  <si>
    <t>ORD-10679</t>
  </si>
  <si>
    <t>ORD-10680</t>
  </si>
  <si>
    <t>ORD-10681</t>
  </si>
  <si>
    <t>CUST-1230</t>
  </si>
  <si>
    <t>ORD-10682</t>
  </si>
  <si>
    <t>ORD-10683</t>
  </si>
  <si>
    <t>ORD-10684</t>
  </si>
  <si>
    <t>ORD-10685</t>
  </si>
  <si>
    <t>ORD-10686</t>
  </si>
  <si>
    <t>ORD-10687</t>
  </si>
  <si>
    <t>ORD-10688</t>
  </si>
  <si>
    <t>CUST-1222</t>
  </si>
  <si>
    <t>Customer 1080</t>
  </si>
  <si>
    <t>ORD-10689</t>
  </si>
  <si>
    <t>ORD-10690</t>
  </si>
  <si>
    <t>ORD-10691</t>
  </si>
  <si>
    <t>ORD-10692</t>
  </si>
  <si>
    <t>Customer 1189</t>
  </si>
  <si>
    <t>ORD-10693</t>
  </si>
  <si>
    <t>ORD-10694</t>
  </si>
  <si>
    <t>ORD-10695</t>
  </si>
  <si>
    <t>ORD-10696</t>
  </si>
  <si>
    <t>ORD-10697</t>
  </si>
  <si>
    <t>ORD-10698</t>
  </si>
  <si>
    <t>ORD-10699</t>
  </si>
  <si>
    <t>ORD-10700</t>
  </si>
  <si>
    <t>ORD-10701</t>
  </si>
  <si>
    <t>ORD-10702</t>
  </si>
  <si>
    <t>ORD-10703</t>
  </si>
  <si>
    <t>ORD-10704</t>
  </si>
  <si>
    <t>ORD-10705</t>
  </si>
  <si>
    <t>ORD-10706</t>
  </si>
  <si>
    <t>Customer 1144</t>
  </si>
  <si>
    <t>ORD-10707</t>
  </si>
  <si>
    <t>ORD-10708</t>
  </si>
  <si>
    <t>ORD-10709</t>
  </si>
  <si>
    <t>ORD-10710</t>
  </si>
  <si>
    <t>ORD-10711</t>
  </si>
  <si>
    <t>ORD-10712</t>
  </si>
  <si>
    <t>Customer 1108</t>
  </si>
  <si>
    <t>ORD-10713</t>
  </si>
  <si>
    <t>ORD-10714</t>
  </si>
  <si>
    <t>ORD-10715</t>
  </si>
  <si>
    <t>ORD-10716</t>
  </si>
  <si>
    <t>ORD-10717</t>
  </si>
  <si>
    <t>CUST-1018</t>
  </si>
  <si>
    <t>ORD-10718</t>
  </si>
  <si>
    <t>ORD-10719</t>
  </si>
  <si>
    <t>ORD-10720</t>
  </si>
  <si>
    <t>ORD-10721</t>
  </si>
  <si>
    <t>ORD-10722</t>
  </si>
  <si>
    <t>CUST-1045</t>
  </si>
  <si>
    <t>ORD-10723</t>
  </si>
  <si>
    <t>ORD-10724</t>
  </si>
  <si>
    <t>ORD-10725</t>
  </si>
  <si>
    <t>CUST-1111</t>
  </si>
  <si>
    <t>ORD-10726</t>
  </si>
  <si>
    <t>ORD-10727</t>
  </si>
  <si>
    <t>ORD-10728</t>
  </si>
  <si>
    <t>CUST-1281</t>
  </si>
  <si>
    <t>ORD-10729</t>
  </si>
  <si>
    <t>ORD-10730</t>
  </si>
  <si>
    <t>ORD-10731</t>
  </si>
  <si>
    <t>ORD-10732</t>
  </si>
  <si>
    <t>ORD-10733</t>
  </si>
  <si>
    <t>ORD-10734</t>
  </si>
  <si>
    <t>ORD-10735</t>
  </si>
  <si>
    <t>ORD-10736</t>
  </si>
  <si>
    <t>ORD-10737</t>
  </si>
  <si>
    <t>ORD-10738</t>
  </si>
  <si>
    <t>ORD-10739</t>
  </si>
  <si>
    <t>ORD-10740</t>
  </si>
  <si>
    <t>ORD-10741</t>
  </si>
  <si>
    <t>ORD-10742</t>
  </si>
  <si>
    <t>ORD-10743</t>
  </si>
  <si>
    <t>CUST-1282</t>
  </si>
  <si>
    <t>ORD-10744</t>
  </si>
  <si>
    <t>Customer 1027</t>
  </si>
  <si>
    <t>ORD-10745</t>
  </si>
  <si>
    <t>Customer 1096</t>
  </si>
  <si>
    <t>ORD-10746</t>
  </si>
  <si>
    <t>ORD-10747</t>
  </si>
  <si>
    <t>ORD-10748</t>
  </si>
  <si>
    <t>ORD-10749</t>
  </si>
  <si>
    <t>ORD-10750</t>
  </si>
  <si>
    <t>Customer 1007</t>
  </si>
  <si>
    <t>ORD-10751</t>
  </si>
  <si>
    <t>ORD-10752</t>
  </si>
  <si>
    <t>CUST-1155</t>
  </si>
  <si>
    <t>ORD-10753</t>
  </si>
  <si>
    <t>CUST-1224</t>
  </si>
  <si>
    <t>ORD-10754</t>
  </si>
  <si>
    <t>CUST-1098</t>
  </si>
  <si>
    <t>ORD-10755</t>
  </si>
  <si>
    <t>ORD-10756</t>
  </si>
  <si>
    <t>Customer 1133</t>
  </si>
  <si>
    <t>ORD-10757</t>
  </si>
  <si>
    <t>ORD-10758</t>
  </si>
  <si>
    <t>ORD-10759</t>
  </si>
  <si>
    <t>ORD-10760</t>
  </si>
  <si>
    <t>ORD-10761</t>
  </si>
  <si>
    <t>ORD-10762</t>
  </si>
  <si>
    <t>ORD-10763</t>
  </si>
  <si>
    <t>CUST-1207</t>
  </si>
  <si>
    <t>ORD-10764</t>
  </si>
  <si>
    <t>ORD-10765</t>
  </si>
  <si>
    <t>ORD-10766</t>
  </si>
  <si>
    <t>Customer 1279</t>
  </si>
  <si>
    <t>ORD-10767</t>
  </si>
  <si>
    <t>ORD-10768</t>
  </si>
  <si>
    <t>ORD-10769</t>
  </si>
  <si>
    <t>ORD-10770</t>
  </si>
  <si>
    <t>ORD-10771</t>
  </si>
  <si>
    <t>ORD-10772</t>
  </si>
  <si>
    <t>ORD-10773</t>
  </si>
  <si>
    <t>ORD-10774</t>
  </si>
  <si>
    <t>ORD-10775</t>
  </si>
  <si>
    <t>ORD-10776</t>
  </si>
  <si>
    <t>ORD-10777</t>
  </si>
  <si>
    <t>ORD-10778</t>
  </si>
  <si>
    <t>ORD-10779</t>
  </si>
  <si>
    <t>ORD-10780</t>
  </si>
  <si>
    <t>Customer 1287</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</si>
  <si>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</si>
  <si>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</si>
  <si>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</si>
  <si>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</si>
  <si>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</si>
  <si>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</si>
  <si>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</si>
  <si>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</si>
  <si>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</si>
  <si>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</si>
  <si>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</si>
  <si>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</si>
  <si>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</si>
  <si>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</si>
  <si>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</si>
  <si>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</si>
  <si>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</si>
  <si>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</si>
  <si>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</si>
  <si>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CUST-1002</t>
  </si>
  <si>
    <t>ORD-10800</t>
  </si>
  <si>
    <t>ORD-10801</t>
  </si>
  <si>
    <t>CUST-1256</t>
  </si>
  <si>
    <t>ORD-10802</t>
  </si>
  <si>
    <t>ORD-10803</t>
  </si>
  <si>
    <t>ORD-10804</t>
  </si>
  <si>
    <t>ORD-10805</t>
  </si>
  <si>
    <t>ORD-10806</t>
  </si>
  <si>
    <t>ORD-10807</t>
  </si>
  <si>
    <t>ORD-10808</t>
  </si>
  <si>
    <t>ORD-10809</t>
  </si>
  <si>
    <t>ORD-10810</t>
  </si>
  <si>
    <t>ORD-10811</t>
  </si>
  <si>
    <t>ORD-10812</t>
  </si>
  <si>
    <t>ORD-10813</t>
  </si>
  <si>
    <t>CUST-1291</t>
  </si>
  <si>
    <t>ORD-10814</t>
  </si>
  <si>
    <t>Customer 1063</t>
  </si>
  <si>
    <t>ORD-10815</t>
  </si>
  <si>
    <t>ORD-10816</t>
  </si>
  <si>
    <t>ORD-10817</t>
  </si>
  <si>
    <t>ORD-10818</t>
  </si>
  <si>
    <t>ORD-10819</t>
  </si>
  <si>
    <t>CUST-1272</t>
  </si>
  <si>
    <t>ORD-10820</t>
  </si>
  <si>
    <t>CUST-1191</t>
  </si>
  <si>
    <t>ORD-10821</t>
  </si>
  <si>
    <t>ORD-10822</t>
  </si>
  <si>
    <t>ORD-10823</t>
  </si>
  <si>
    <t>ORD-10824</t>
  </si>
  <si>
    <t>CUST-1019</t>
  </si>
  <si>
    <t>ORD-10825</t>
  </si>
  <si>
    <t>ORD-10826</t>
  </si>
  <si>
    <t>ORD-10827</t>
  </si>
  <si>
    <t>ORD-10828</t>
  </si>
  <si>
    <t>ORD-10829</t>
  </si>
  <si>
    <t>ORD-10830</t>
  </si>
  <si>
    <t>ORD-10831</t>
  </si>
  <si>
    <t>ORD-10832</t>
  </si>
  <si>
    <t>ORD-10833</t>
  </si>
  <si>
    <t>ORD-10834</t>
  </si>
  <si>
    <t>Customer 1221</t>
  </si>
  <si>
    <t>ORD-10835</t>
  </si>
  <si>
    <t>ORD-10836</t>
  </si>
  <si>
    <t>ORD-10837</t>
  </si>
  <si>
    <t>CUST-1116</t>
  </si>
  <si>
    <t>ORD-10838</t>
  </si>
  <si>
    <t>ORD-10839</t>
  </si>
  <si>
    <t>ORD-10840</t>
  </si>
  <si>
    <t>ORD-10841</t>
  </si>
  <si>
    <t>CUST-1076</t>
  </si>
  <si>
    <t>ORD-10842</t>
  </si>
  <si>
    <t>ORD-10843</t>
  </si>
  <si>
    <t>ORD-10844</t>
  </si>
  <si>
    <t>ORD-10845</t>
  </si>
  <si>
    <t>ORD-10846</t>
  </si>
  <si>
    <t>ORD-10847</t>
  </si>
  <si>
    <t>ORD-10848</t>
  </si>
  <si>
    <t>ORD-10849</t>
  </si>
  <si>
    <t>Customer 1051</t>
  </si>
  <si>
    <t>ORD-10850</t>
  </si>
  <si>
    <t>ORD-10851</t>
  </si>
  <si>
    <t>ORD-10852</t>
  </si>
  <si>
    <t>ORD-10853</t>
  </si>
  <si>
    <t>ORD-10854</t>
  </si>
  <si>
    <t>ORD-10855</t>
  </si>
  <si>
    <t>ORD-10856</t>
  </si>
  <si>
    <t>ORD-10857</t>
  </si>
  <si>
    <t>ORD-10858</t>
  </si>
  <si>
    <t>ORD-10859</t>
  </si>
  <si>
    <t>ORD-10860</t>
  </si>
  <si>
    <t>ORD-10861</t>
  </si>
  <si>
    <t>ORD-10862</t>
  </si>
  <si>
    <t>ORD-10863</t>
  </si>
  <si>
    <t>ORD-10864</t>
  </si>
  <si>
    <t>CUST-1133</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</si>
  <si>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</si>
  <si>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</si>
  <si>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</si>
  <si>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</si>
  <si>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</si>
  <si>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</si>
  <si>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</si>
  <si>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</si>
  <si>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</si>
  <si>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</si>
  <si>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</si>
  <si>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</si>
  <si>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</si>
  <si>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</si>
  <si>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</si>
  <si>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</si>
  <si>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</si>
  <si>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</si>
  <si>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</si>
  <si>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</si>
  <si>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</si>
  <si>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</si>
  <si>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</si>
  <si>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</si>
  <si>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</si>
  <si>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</si>
  <si>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</si>
  <si>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</si>
  <si>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</si>
  <si>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</si>
  <si>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</si>
  <si>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</si>
  <si>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</si>
  <si>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</si>
  <si>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</si>
  <si>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</si>
  <si>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</si>
  <si>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</si>
  <si>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</si>
  <si>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</si>
  <si>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</si>
  <si>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</si>
  <si>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</si>
  <si>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</si>
  <si>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</si>
  <si>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</si>
  <si>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</si>
  <si>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</si>
  <si>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</si>
  <si>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</si>
  <si>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</si>
  <si>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</si>
  <si>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</si>
  <si>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</si>
  <si>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</si>
  <si>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</si>
  <si>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</si>
  <si>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</si>
  <si>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CUST-1011</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</si>
  <si>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</si>
  <si>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</si>
  <si>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</si>
  <si>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</si>
  <si>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</si>
  <si>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</si>
  <si>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</si>
  <si>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</si>
  <si>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</si>
  <si>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</si>
  <si>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</si>
  <si>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</si>
  <si>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</si>
  <si>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</si>
  <si>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</si>
  <si>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</si>
  <si>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</si>
  <si>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</si>
  <si>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</si>
  <si>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</si>
  <si>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</si>
  <si>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</si>
  <si>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CUST-1068</t>
  </si>
  <si>
    <t>ORD-10945</t>
  </si>
  <si>
    <t>ORD-10946</t>
  </si>
  <si>
    <t>ORD-10947</t>
  </si>
  <si>
    <t>ORD-10948</t>
  </si>
  <si>
    <t>ORD-10949</t>
  </si>
  <si>
    <t>ORD-10950</t>
  </si>
  <si>
    <t>ORD-10951</t>
  </si>
  <si>
    <t>ORD-10952</t>
  </si>
  <si>
    <t>ORD-10953</t>
  </si>
  <si>
    <t>ORD-10954</t>
  </si>
  <si>
    <t>ORD-10955</t>
  </si>
  <si>
    <t>ORD-10956</t>
  </si>
  <si>
    <t>ORD-10957</t>
  </si>
  <si>
    <t>ORD-10958</t>
  </si>
  <si>
    <t>ORD-10959</t>
  </si>
  <si>
    <t>CUST-1285</t>
  </si>
  <si>
    <t>ORD-10960</t>
  </si>
  <si>
    <t>ORD-10961</t>
  </si>
  <si>
    <t>ORD-10962</t>
  </si>
  <si>
    <t>ORD-10963</t>
  </si>
  <si>
    <t>ORD-10964</t>
  </si>
  <si>
    <t>ORD-10965</t>
  </si>
  <si>
    <t>ORD-10966</t>
  </si>
  <si>
    <t>ORD-10967</t>
  </si>
  <si>
    <t>ORD-10968</t>
  </si>
  <si>
    <t>ORD-10969</t>
  </si>
  <si>
    <t>ORD-10970</t>
  </si>
  <si>
    <t>ORD-10971</t>
  </si>
  <si>
    <t>ORD-10972</t>
  </si>
  <si>
    <t>ORD-10973</t>
  </si>
  <si>
    <t>CUST-1257</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</si>
  <si>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</si>
  <si>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</si>
  <si>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</si>
  <si>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</si>
  <si>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</si>
  <si>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</si>
  <si>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</si>
  <si>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</si>
  <si>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</si>
  <si>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</si>
  <si>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</si>
  <si>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</si>
  <si>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</si>
  <si>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</si>
  <si>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</si>
  <si>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</si>
  <si>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</si>
  <si>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</si>
  <si>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</si>
  <si>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</si>
  <si>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</si>
  <si>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</si>
  <si>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</si>
  <si>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</si>
  <si>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</si>
  <si>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</si>
  <si>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</si>
  <si>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Gross Sales</t>
  </si>
  <si>
    <t>Discount Amount</t>
  </si>
  <si>
    <t>Net Sales</t>
  </si>
  <si>
    <t>Delivery Days</t>
  </si>
  <si>
    <t>Delivery Status</t>
  </si>
  <si>
    <t>Month</t>
  </si>
  <si>
    <t>Month Start</t>
  </si>
  <si>
    <t>Row Labels</t>
  </si>
  <si>
    <t>Grand Total</t>
  </si>
  <si>
    <t>Sum of Net Sales</t>
  </si>
  <si>
    <t>Count of Order ID</t>
  </si>
  <si>
    <t>Late</t>
  </si>
  <si>
    <t>On Time</t>
  </si>
  <si>
    <t>Average of Net Sales</t>
  </si>
  <si>
    <t>Completed Orders</t>
  </si>
  <si>
    <t>On-Time Orders</t>
  </si>
  <si>
    <t>On-Time Delivery %</t>
  </si>
  <si>
    <t>Sum of Delivery Days</t>
  </si>
  <si>
    <t>Average Delivery Days</t>
  </si>
  <si>
    <t>Total Delivery Days</t>
  </si>
  <si>
    <t>Average of Delivery Days</t>
  </si>
  <si>
    <t>Column Labels</t>
  </si>
  <si>
    <t>Total Count of Order ID</t>
  </si>
  <si>
    <t>Total Average of Delivery Days</t>
  </si>
  <si>
    <t>Late Orders</t>
  </si>
  <si>
    <t>Overall On-Time Delivery %</t>
  </si>
  <si>
    <t>Sum of Quantity</t>
  </si>
  <si>
    <t>Cancellation Rate</t>
  </si>
  <si>
    <t>Total Orders</t>
  </si>
  <si>
    <t>Cancelled Sales</t>
  </si>
  <si>
    <t>Sum of Cancelled Sales</t>
  </si>
  <si>
    <t>TOTAL REVENUE</t>
  </si>
  <si>
    <t>TOTAL ORDERS</t>
  </si>
  <si>
    <t>AVERAGE ORDER VALUE</t>
  </si>
  <si>
    <t>ON TIME DELIVERY</t>
  </si>
  <si>
    <t>CANCELLATION RATE</t>
  </si>
  <si>
    <t>AVERAGE DELIVERY DAYS</t>
  </si>
  <si>
    <t>SALES AND OPERATIONS DATA 2026</t>
  </si>
  <si>
    <t>South Percentage</t>
  </si>
  <si>
    <t>West and North</t>
  </si>
  <si>
    <t>Coffee Maker %</t>
  </si>
  <si>
    <t>Order fulfillment</t>
  </si>
  <si>
    <t>KEY BUSINESS INSIGHTS</t>
  </si>
  <si>
    <t>● South leads regional sales, contributing 26.43% of total revenue.</t>
  </si>
  <si>
    <t>● Delivery performance is relatively consistent across regions;</t>
  </si>
  <si>
    <t xml:space="preserve">  the West–North gap is only 1.56 percentage points.</t>
  </si>
  <si>
    <t>● Sneakers have ₹40.2K in cancelled sales, equal to 20.23%</t>
  </si>
  <si>
    <t xml:space="preserve">  of their net sales — a potential area for investigation.</t>
  </si>
  <si>
    <t>● Coffee Maker is the top-revenue product, contributing 10.88%</t>
  </si>
  <si>
    <t xml:space="preserve">  of total net sales.</t>
  </si>
  <si>
    <t>● 15.30% of orders remain pending, indicating a significant</t>
  </si>
  <si>
    <t xml:space="preserve">  fulfillment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</si>
</sst>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dd\-mmm\-yyyy"/>
    <numFmt numFmtId="165" formatCode="&quot;₹&quot;\ #,##0.00"/>
    <numFmt numFmtId="166" formatCode="[$-14009]dd/mm/yyyy;@"/>
  </numFmts>
  <fonts count="7"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4"/>
      <color theme="1"/>
      <name val="Calibri"/>
      <family val="2"/>
      <scheme val="minor"/>
    </font>
    <font>
      <b/>
      <sz val="12"/>
      <color theme="0"/>
      <name val="Calibri"/>
      <family val="2"/>
      <scheme val="minor"/>
    </font>
    <font>
      <b/>
      <sz val="16"/>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rgb="FFFFFF00"/>
        <bgColor indexed="64"/>
      </patternFill>
    </fill>
  </fills>
  <borders count="8">
    <border>
      <left/>
      <right/>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164" fontId="0" fillId="0" borderId="0" xfId="0" applyNumberFormat="1"/>
    <xf numFmtId="9"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7" fontId="0" fillId="0" borderId="0" xfId="0" applyNumberFormat="1"/>
    <xf numFmtId="17"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7" fontId="0" fillId="0" borderId="0" xfId="0" applyNumberFormat="1" applyAlignment="1">
      <alignment horizontal="left"/>
    </xf>
    <xf numFmtId="9" fontId="0" fillId="0" borderId="0" xfId="1" applyFont="1"/>
    <xf numFmtId="10" fontId="0" fillId="0" borderId="0" xfId="1" applyNumberFormat="1" applyFont="1"/>
    <xf numFmtId="0" fontId="3" fillId="0" borderId="0" xfId="0" applyFont="1" applyAlignment="1">
      <alignment horizontal="left"/>
    </xf>
    <xf numFmtId="0" fontId="3" fillId="0" borderId="0" xfId="0" applyFont="1"/>
    <xf numFmtId="10" fontId="3" fillId="0" borderId="0" xfId="1" applyNumberFormat="1" applyFont="1"/>
    <xf numFmtId="2" fontId="3" fillId="0" borderId="0" xfId="0" applyNumberFormat="1" applyFont="1"/>
    <xf numFmtId="0" fontId="3" fillId="0" borderId="0" xfId="0" applyFont="1" applyAlignment="1">
      <alignment horizontal="center"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165" fontId="0" fillId="0" borderId="0" xfId="0" applyNumberFormat="1" applyAlignment="1">
      <alignment horizontal="right" vertical="center" wrapText="1"/>
    </xf>
    <xf numFmtId="0" fontId="5" fillId="2" borderId="2" xfId="0" applyFont="1" applyFill="1" applyBorder="1" applyAlignment="1">
      <alignment horizontal="center"/>
    </xf>
    <xf numFmtId="0" fontId="5" fillId="2" borderId="3" xfId="0" applyFont="1" applyFill="1" applyBorder="1" applyAlignment="1">
      <alignment horizontal="center"/>
    </xf>
    <xf numFmtId="10" fontId="4" fillId="3" borderId="4" xfId="1" applyNumberFormat="1" applyFont="1" applyFill="1" applyBorder="1" applyAlignment="1">
      <alignment horizontal="center"/>
    </xf>
    <xf numFmtId="10" fontId="4" fillId="3" borderId="5" xfId="1" applyNumberFormat="1" applyFont="1" applyFill="1" applyBorder="1" applyAlignment="1">
      <alignment horizontal="center"/>
    </xf>
    <xf numFmtId="10" fontId="4" fillId="3" borderId="6" xfId="1" applyNumberFormat="1" applyFont="1" applyFill="1" applyBorder="1" applyAlignment="1">
      <alignment horizontal="center"/>
    </xf>
    <xf numFmtId="10" fontId="4" fillId="3" borderId="7" xfId="1" applyNumberFormat="1" applyFont="1" applyFill="1" applyBorder="1" applyAlignment="1">
      <alignment horizontal="center"/>
    </xf>
    <xf numFmtId="2" fontId="4" fillId="3" borderId="4" xfId="0" applyNumberFormat="1" applyFont="1" applyFill="1" applyBorder="1" applyAlignment="1">
      <alignment horizontal="center"/>
    </xf>
    <xf numFmtId="2" fontId="4" fillId="3" borderId="5" xfId="0" applyNumberFormat="1" applyFont="1" applyFill="1" applyBorder="1" applyAlignment="1">
      <alignment horizontal="center"/>
    </xf>
    <xf numFmtId="2" fontId="4" fillId="3" borderId="6" xfId="0" applyNumberFormat="1" applyFont="1" applyFill="1" applyBorder="1" applyAlignment="1">
      <alignment horizontal="center"/>
    </xf>
    <xf numFmtId="2" fontId="4" fillId="3" borderId="7" xfId="0" applyNumberFormat="1" applyFont="1" applyFill="1" applyBorder="1" applyAlignment="1">
      <alignment horizontal="center"/>
    </xf>
    <xf numFmtId="8" fontId="4" fillId="3" borderId="4" xfId="0" applyNumberFormat="1"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0" xfId="0" applyNumberFormat="1"/>
    <xf numFmtId="10" fontId="0" fillId="0" borderId="0" xfId="0" applyNumberFormat="1"/>
    <xf numFmtId="0" fontId="3" fillId="0" borderId="0" xfId="0" applyFont="1" applyAlignment="1">
      <alignment horizontal="center"/>
    </xf>
    <xf numFmtId="0" fontId="6" fillId="4" borderId="0" xfId="0" applyFont="1" applyFill="1" applyAlignment="1">
      <alignment horizontal="center"/>
    </xf>
  </cellXfs>
  <cellStyles count="2">
    <cellStyle name="Normal" xfId="0" builtinId="0"/>
    <cellStyle name="Percent" xfId="1" builtinId="5"/>
  </cellStyles>
  <dxfs count="16">
    <dxf>
      <numFmt numFmtId="165" formatCode="&quot;₹&quot;\ #,##0.00"/>
    </dxf>
    <dxf>
      <numFmt numFmtId="22" formatCode="mmm/yy"/>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164" formatCode="dd\-mmm\-yyyy"/>
    </dxf>
    <dxf>
      <numFmt numFmtId="164" formatCode="dd\-mmm\-yyyy"/>
    </dxf>
    <dxf>
      <numFmt numFmtId="13" formatCode="0%"/>
    </dxf>
    <dxf>
      <numFmt numFmtId="165" formatCode="&quot;₹&quot;\ #,##0.00"/>
    </dxf>
    <dxf>
      <numFmt numFmtId="166"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[Sales_Operations_Dashboard_Raw_Data.xlsx]Analysis!Revenue by Month</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Analysis!$E$17</c:f>
              <c:strCache>
                <c:ptCount val="1"/>
                <c:pt idx="0">
                  <c:v>Total</c:v>
                </c:pt>
              </c:strCache>
            </c:strRef>
          </c:tx>
          <c:spPr>
            <a:ln w="28575" cap="rnd">
              <a:solidFill>
                <a:schemeClr val="accent1"/>
              </a:solidFill>
              <a:round/>
            </a:ln>
            <a:effectLst/>
          </c:spPr>
          <c:marker>
            <c:symbol val="none"/>
          </c:marker>
          <c:cat>
            <c:strRef>
              <c:f>Analysis!$D$18:$D$30</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Analysis!$E$18:$E$30</c:f>
              <c:numCache>
                <c:formatCode>"₹"\ #,##0.00</c:formatCode>
                <c:ptCount val="12"/>
                <c:pt idx="0">
                  <c:v>209922.65</c:v>
                </c:pt>
                <c:pt idx="1">
                  <c:v>156080.85000000006</c:v>
                </c:pt>
                <c:pt idx="2">
                  <c:v>185487.95</c:v>
                </c:pt>
                <c:pt idx="3">
                  <c:v>240356.69999999998</c:v>
                </c:pt>
                <c:pt idx="4">
                  <c:v>181337.1999999999</c:v>
                </c:pt>
                <c:pt idx="5">
                  <c:v>162697.19999999998</c:v>
                </c:pt>
                <c:pt idx="6">
                  <c:v>231115.5</c:v>
                </c:pt>
                <c:pt idx="7">
                  <c:v>259695.65000000011</c:v>
                </c:pt>
                <c:pt idx="8">
                  <c:v>175760.1</c:v>
                </c:pt>
                <c:pt idx="9">
                  <c:v>195569.44999999995</c:v>
                </c:pt>
                <c:pt idx="10">
                  <c:v>181070.40000000002</c:v>
                </c:pt>
                <c:pt idx="11">
                  <c:v>252983.49999999991</c:v>
                </c:pt>
              </c:numCache>
            </c:numRef>
          </c:val>
          <c:smooth val="0"/>
          <c:extLst>
            <c:ext xmlns:c16="http://schemas.microsoft.com/office/drawing/2014/chart" uri="{C3380CC4-5D6E-409C-BE32-E72D297353CC}">
              <c16:uniqueId val="{00000000-E18A-45F6-AF07-884F30AF350D}"/>
            </c:ext>
          </c:extLst>
        </c:ser>
        <c:dLbls>
          <c:showLegendKey val="0"/>
          <c:showVal val="0"/>
          <c:showCatName val="0"/>
          <c:showSerName val="0"/>
          <c:showPercent val="0"/>
          <c:showBubbleSize val="0"/>
        </c:dLbls>
        <c:smooth val="0"/>
        <c:axId val="596133791"/>
        <c:axId val="596131871"/>
      </c:lineChart>
      <c:catAx>
        <c:axId val="59613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31871"/>
        <c:crosses val="autoZero"/>
        <c:auto val="1"/>
        <c:lblAlgn val="ctr"/>
        <c:lblOffset val="100"/>
        <c:noMultiLvlLbl val="0"/>
      </c:catAx>
      <c:valAx>
        <c:axId val="59613187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3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[Sales_Operations_Dashboard_Raw_Data.xlsx]Analysis!Revenue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Analysis!$D$10:$D$15</c:f>
              <c:strCache>
                <c:ptCount val="5"/>
                <c:pt idx="0">
                  <c:v>Beauty</c:v>
                </c:pt>
                <c:pt idx="1">
                  <c:v>Electronics</c:v>
                </c:pt>
                <c:pt idx="2">
                  <c:v>Fashion</c:v>
                </c:pt>
                <c:pt idx="3">
                  <c:v>Home</c:v>
                </c:pt>
                <c:pt idx="4">
                  <c:v>Sports</c:v>
                </c:pt>
              </c:strCache>
            </c:strRef>
          </c:cat>
          <c:val>
            <c:numRef>
              <c:f>Analysis!$E$10:$E$15</c:f>
              <c:numCache>
                <c:formatCode>"₹"\ #,##0.00</c:formatCode>
                <c:ptCount val="5"/>
                <c:pt idx="0">
                  <c:v>239520.05</c:v>
                </c:pt>
                <c:pt idx="1">
                  <c:v>505171.39999999991</c:v>
                </c:pt>
                <c:pt idx="2">
                  <c:v>583358.30000000016</c:v>
                </c:pt>
                <c:pt idx="3">
                  <c:v>552275.50000000023</c:v>
                </c:pt>
                <c:pt idx="4">
                  <c:v>551751.90000000026</c:v>
                </c:pt>
              </c:numCache>
            </c:numRef>
          </c:val>
          <c:extLst>
            <c:ext xmlns:c16="http://schemas.microsoft.com/office/drawing/2014/chart" uri="{C3380CC4-5D6E-409C-BE32-E72D297353CC}">
              <c16:uniqueId val="{00000000-2C85-4718-93A6-8A33C61FF478}"/>
            </c:ext>
          </c:extLst>
        </c:ser>
        <c:dLbls>
          <c:dLblPos val="outEnd"/>
          <c:showLegendKey val="0"/>
          <c:showVal val="1"/>
          <c:showCatName val="0"/>
          <c:showSerName val="0"/>
          <c:showPercent val="0"/>
          <c:showBubbleSize val="0"/>
        </c:dLbls>
        <c:gapWidth val="182"/>
        <c:axId val="596141471"/>
        <c:axId val="596158751"/>
      </c:barChart>
      <c:catAx>
        <c:axId val="59614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58751"/>
        <c:crosses val="autoZero"/>
        <c:auto val="1"/>
        <c:lblAlgn val="ctr"/>
        <c:lblOffset val="100"/>
        <c:noMultiLvlLbl val="0"/>
      </c:catAx>
      <c:valAx>
        <c:axId val="596158751"/>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4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[Sales_Operations_Dashboard_Raw_Data.xlsx]Analysis!Revenue per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Analysis!$A$3:$A$7</c:f>
              <c:strCache>
                <c:ptCount val="4"/>
                <c:pt idx="0">
                  <c:v>East</c:v>
                </c:pt>
                <c:pt idx="1">
                  <c:v>North</c:v>
                </c:pt>
                <c:pt idx="2">
                  <c:v>South</c:v>
                </c:pt>
                <c:pt idx="3">
                  <c:v>West</c:v>
                </c:pt>
              </c:strCache>
            </c:strRef>
          </c:cat>
          <c:val>
            <c:numRef>
              <c:f>Analysis!$B$3:$B$7</c:f>
              <c:numCache>
                <c:formatCode>"₹"\ #,##0.00</c:formatCode>
                <c:ptCount val="4"/>
                <c:pt idx="0">
                  <c:v>614373.15000000014</c:v>
                </c:pt>
                <c:pt idx="1">
                  <c:v>630957.89999999991</c:v>
                </c:pt>
                <c:pt idx="2">
                  <c:v>642685.75000000023</c:v>
                </c:pt>
                <c:pt idx="3">
                  <c:v>544060.35000000009</c:v>
                </c:pt>
              </c:numCache>
            </c:numRef>
          </c:val>
          <c:extLst>
            <c:ext xmlns:c16="http://schemas.microsoft.com/office/drawing/2014/chart" uri="{C3380CC4-5D6E-409C-BE32-E72D297353CC}">
              <c16:uniqueId val="{00000000-E5FB-44D5-BCC6-3E29A93A52AE}"/>
            </c:ext>
          </c:extLst>
        </c:ser>
        <c:dLbls>
          <c:dLblPos val="outEnd"/>
          <c:showLegendKey val="0"/>
          <c:showVal val="1"/>
          <c:showCatName val="0"/>
          <c:showSerName val="0"/>
          <c:showPercent val="0"/>
          <c:showBubbleSize val="0"/>
        </c:dLbls>
        <c:gapWidth val="219"/>
        <c:overlap val="-27"/>
        <c:axId val="596165951"/>
        <c:axId val="596157791"/>
      </c:barChart>
      <c:catAx>
        <c:axId val="59616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57791"/>
        <c:crosses val="autoZero"/>
        <c:auto val="1"/>
        <c:lblAlgn val="ctr"/>
        <c:lblOffset val="100"/>
        <c:noMultiLvlLbl val="0"/>
      </c:catAx>
      <c:valAx>
        <c:axId val="5961577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6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[Sales_Operations_Dashboard_Raw_Data.xlsx]Analysis!Order Status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layout>
        <c:manualLayout>
          <c:xMode val="edge"/>
          <c:yMode val="edge"/>
          <c:x val="0.4321448375291117"/>
          <c:y val="6.5584071317768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9290845686542705"/>
          <c:y val="0.18649013948069459"/>
          <c:w val="0.3378921604869814"/>
          <c:h val="0.71791551305463375"/>
        </c:manualLayout>
      </c:layout>
      <c:doughnutChart>
        <c:varyColors val="1"/>
        <c:ser>
          <c:idx val="0"/>
          <c:order val="0"/>
          <c:tx>
            <c:strRef>
              <c:f>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EA-4903-BBFA-D811DB2AC7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EA-4903-BBFA-D811DB2AC7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EA-4903-BBFA-D811DB2AC7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EA-4903-BBFA-D811DB2AC7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Analysis!$D$3:$D$4</c:f>
              <c:strCache>
                <c:ptCount val="1"/>
                <c:pt idx="0">
                  <c:v>Returned</c:v>
                </c:pt>
              </c:strCache>
            </c:strRef>
          </c:cat>
          <c:val>
            <c:numRef>
              <c:f>Analysis!$E$3:$E$4</c:f>
              <c:numCache>
                <c:formatCode>General</c:formatCode>
                <c:ptCount val="1"/>
                <c:pt idx="0">
                  <c:v>133</c:v>
                </c:pt>
              </c:numCache>
            </c:numRef>
          </c:val>
          <c:extLst>
            <c:ext xmlns:c16="http://schemas.microsoft.com/office/drawing/2014/chart" uri="{C3380CC4-5D6E-409C-BE32-E72D297353CC}">
              <c16:uniqueId val="{00000008-29EA-4903-BBFA-D811DB2AC7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Analysis!$K$30</c:f>
              <c:strCache>
                <c:ptCount val="1"/>
                <c:pt idx="0">
                  <c:v>On-Time Delivery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Analysis!$G$31:$G$34</c:f>
              <c:strCache>
                <c:ptCount val="4"/>
                <c:pt idx="0">
                  <c:v>East</c:v>
                </c:pt>
                <c:pt idx="1">
                  <c:v>North</c:v>
                </c:pt>
                <c:pt idx="2">
                  <c:v>South</c:v>
                </c:pt>
                <c:pt idx="3">
                  <c:v>West</c:v>
                </c:pt>
              </c:strCache>
            </c:strRef>
          </c:cat>
          <c:val>
            <c:numRef>
              <c:f>Analysis!$K$31:$K$34</c:f>
              <c:numCache>
                <c:formatCode>0.00%</c:formatCode>
                <c:ptCount val="4"/>
                <c:pt idx="0">
                  <c:v>0.88940092165898621</c:v>
                </c:pt>
                <c:pt idx="1">
                  <c:v>0.88181818181818183</c:v>
                </c:pt>
                <c:pt idx="2">
                  <c:v>0.88372093023255816</c:v>
                </c:pt>
                <c:pt idx="3">
                  <c:v>0.89743589743589747</c:v>
                </c:pt>
              </c:numCache>
            </c:numRef>
          </c:val>
          <c:extLst>
            <c:ext xmlns:c16="http://schemas.microsoft.com/office/drawing/2014/chart" uri="{C3380CC4-5D6E-409C-BE32-E72D297353CC}">
              <c16:uniqueId val="{00000000-5231-4C24-9B65-183972D0356C}"/>
            </c:ext>
          </c:extLst>
        </c:ser>
        <c:dLbls>
          <c:dLblPos val="outEnd"/>
          <c:showLegendKey val="0"/>
          <c:showVal val="1"/>
          <c:showCatName val="0"/>
          <c:showSerName val="0"/>
          <c:showPercent val="0"/>
          <c:showBubbleSize val="0"/>
        </c:dLbls>
        <c:gapWidth val="219"/>
        <c:overlap val="-27"/>
        <c:axId val="609863023"/>
        <c:axId val="609872143"/>
      </c:barChart>
      <c:catAx>
        <c:axId val="6098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872143"/>
        <c:crosses val="autoZero"/>
        <c:auto val="1"/>
        <c:lblAlgn val="ctr"/>
        <c:lblOffset val="100"/>
        <c:noMultiLvlLbl val="0"/>
      </c:catAx>
      <c:valAx>
        <c:axId val="609872143"/>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8630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[Sales_Operations_Dashboard_Raw_Data.xlsx]Analysis!PivotTable11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Analysis!$B$36</c:f>
              <c:strCache>
                <c:ptCount val="1"/>
                <c:pt idx="0">
                  <c:v>Total</c:v>
                </c:pt>
              </c:strCache>
            </c:strRef>
          </c:tx>
          <c:spPr>
            <a:solidFill>
              <a:schemeClr val="accent1"/>
            </a:solidFill>
            <a:ln>
              <a:noFill/>
            </a:ln>
            <a:effectLst/>
          </c:spPr>
          <c:invertIfNegative val="0"/>
          <c:cat>
            <c:strRef>
              <c:f>Analysis!$A$37:$A$62</c:f>
              <c:strCache>
                <c:ptCount val="25"/>
                <c:pt idx="0">
                  <c:v>Coffee Maker</c:v>
                </c:pt>
                <c:pt idx="1">
                  <c:v>Running Shoes</c:v>
                </c:pt>
                <c:pt idx="2">
                  <c:v>Sneakers</c:v>
                </c:pt>
                <c:pt idx="3">
                  <c:v>Cricket Bat</c:v>
                </c:pt>
                <c:pt idx="4">
                  <c:v>Bluetooth Speaker</c:v>
                </c:pt>
                <c:pt idx="5">
                  <c:v>Hoodie</c:v>
                </c:pt>
                <c:pt idx="6">
                  <c:v>USB-C Hub</c:v>
                </c:pt>
                <c:pt idx="7">
                  <c:v>Keyboard</c:v>
                </c:pt>
                <c:pt idx="8">
                  <c:v>Jeans</c:v>
                </c:pt>
                <c:pt idx="9">
                  <c:v>Backpack</c:v>
                </c:pt>
                <c:pt idx="10">
                  <c:v>Bedsheet Set</c:v>
                </c:pt>
                <c:pt idx="11">
                  <c:v>Perfume</c:v>
                </c:pt>
                <c:pt idx="12">
                  <c:v>Desk Lamp</c:v>
                </c:pt>
                <c:pt idx="13">
                  <c:v>Storage Box</c:v>
                </c:pt>
                <c:pt idx="14">
                  <c:v>Power Bank</c:v>
                </c:pt>
                <c:pt idx="15">
                  <c:v>Yoga Mat</c:v>
                </c:pt>
                <c:pt idx="16">
                  <c:v>T-Shirt</c:v>
                </c:pt>
                <c:pt idx="17">
                  <c:v>Football</c:v>
                </c:pt>
                <c:pt idx="18">
                  <c:v>Sunscreen</c:v>
                </c:pt>
                <c:pt idx="19">
                  <c:v>Wireless Mouse</c:v>
                </c:pt>
                <c:pt idx="20">
                  <c:v>Water Bottle</c:v>
                </c:pt>
                <c:pt idx="21">
                  <c:v>Shampoo</c:v>
                </c:pt>
                <c:pt idx="22">
                  <c:v>Moisturizer</c:v>
                </c:pt>
                <c:pt idx="23">
                  <c:v>Resistance Bands</c:v>
                </c:pt>
                <c:pt idx="24">
                  <c:v>Face Wash</c:v>
                </c:pt>
              </c:strCache>
            </c:strRef>
          </c:cat>
          <c:val>
            <c:numRef>
              <c:f>Analysis!$B$37:$B$62</c:f>
              <c:numCache>
                <c:formatCode>"₹"\ #,##0.00</c:formatCode>
                <c:ptCount val="25"/>
                <c:pt idx="0">
                  <c:v>264524.40000000002</c:v>
                </c:pt>
                <c:pt idx="1">
                  <c:v>221692.80000000002</c:v>
                </c:pt>
                <c:pt idx="2">
                  <c:v>198683.75000000006</c:v>
                </c:pt>
                <c:pt idx="3">
                  <c:v>174305.24999999997</c:v>
                </c:pt>
                <c:pt idx="4">
                  <c:v>160019.94999999995</c:v>
                </c:pt>
                <c:pt idx="5">
                  <c:v>125037.45000000001</c:v>
                </c:pt>
                <c:pt idx="6">
                  <c:v>119633.5</c:v>
                </c:pt>
                <c:pt idx="7">
                  <c:v>106582.95000000001</c:v>
                </c:pt>
                <c:pt idx="8">
                  <c:v>101733.44999999998</c:v>
                </c:pt>
                <c:pt idx="9">
                  <c:v>93525.749999999985</c:v>
                </c:pt>
                <c:pt idx="10">
                  <c:v>88744.499999999985</c:v>
                </c:pt>
                <c:pt idx="11">
                  <c:v>76748.800000000003</c:v>
                </c:pt>
                <c:pt idx="12">
                  <c:v>76673.250000000015</c:v>
                </c:pt>
                <c:pt idx="13">
                  <c:v>73403.350000000006</c:v>
                </c:pt>
                <c:pt idx="14">
                  <c:v>66480.650000000009</c:v>
                </c:pt>
                <c:pt idx="15">
                  <c:v>65312.350000000006</c:v>
                </c:pt>
                <c:pt idx="16">
                  <c:v>64377.9</c:v>
                </c:pt>
                <c:pt idx="17">
                  <c:v>62827.599999999991</c:v>
                </c:pt>
                <c:pt idx="18">
                  <c:v>59433.150000000016</c:v>
                </c:pt>
                <c:pt idx="19">
                  <c:v>52454.349999999991</c:v>
                </c:pt>
                <c:pt idx="20">
                  <c:v>48930.000000000007</c:v>
                </c:pt>
                <c:pt idx="21">
                  <c:v>44635.55</c:v>
                </c:pt>
                <c:pt idx="22">
                  <c:v>35460.800000000003</c:v>
                </c:pt>
                <c:pt idx="23">
                  <c:v>27613.900000000005</c:v>
                </c:pt>
                <c:pt idx="24">
                  <c:v>23241.75</c:v>
                </c:pt>
              </c:numCache>
            </c:numRef>
          </c:val>
          <c:extLst>
            <c:ext xmlns:c16="http://schemas.microsoft.com/office/drawing/2014/chart" uri="{C3380CC4-5D6E-409C-BE32-E72D297353CC}">
              <c16:uniqueId val="{00000000-2E5F-4594-86B2-1F290EF23351}"/>
            </c:ext>
          </c:extLst>
        </c:ser>
        <c:dLbls>
          <c:showLegendKey val="0"/>
          <c:showVal val="0"/>
          <c:showCatName val="0"/>
          <c:showSerName val="0"/>
          <c:showPercent val="0"/>
          <c:showBubbleSize val="0"/>
        </c:dLbls>
        <c:gapWidth val="182"/>
        <c:axId val="208529119"/>
        <c:axId val="208529599"/>
      </c:barChart>
      <c:catAx>
        <c:axId val="20852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29599"/>
        <c:crosses val="autoZero"/>
        <c:auto val="1"/>
        <c:lblAlgn val="ctr"/>
        <c:lblOffset val="100"/>
        <c:noMultiLvlLbl val="0"/>
      </c:catAx>
      <c:valAx>
        <c:axId val="208529599"/>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2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5</xdr:row>
      <xdr:rowOff>30480</xdr:rowOff>
    </xdr:from>
    <xdr:to>
      <xdr:col>4</xdr:col>
      <xdr:colOff>449580</xdr:colOff>
      <xdr:row>20</xdr:row>
      <xdr:rowOff>30480</xdr:rowOff>
    </xdr:to>
    <xdr:graphicFrame macro="">
      <xdr:nvGraphicFramePr>
        <xdr:cNvPr id="2" name="Chart 1">
          <a:extLst>
            <a:ext uri="{FF2B5EF4-FFF2-40B4-BE49-F238E27FC236}">
              <a16:creationId xmlns:a16="http://schemas.microsoft.com/office/drawing/2014/main" id="{2A734658-07E9-1EBA-AF00-B890C4A1B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449580</xdr:colOff>
      <xdr:row>20</xdr:row>
      <xdr:rowOff>137160</xdr:rowOff>
    </xdr:from>
    <xdr:to>
      <xdr:col>8</xdr:col>
      <xdr:colOff>601980</xdr:colOff>
      <xdr:row>38</xdr:row>
      <xdr:rowOff>38100</xdr:rowOff>
    </xdr:to>
    <xdr:graphicFrame macro="">
      <xdr:nvGraphicFramePr>
        <xdr:cNvPr id="3" name="Chart 2">
          <a:extLst>
            <a:ext uri="{FF2B5EF4-FFF2-40B4-BE49-F238E27FC236}">
              <a16:creationId xmlns:a16="http://schemas.microsoft.com/office/drawing/2014/main" id="{61E8314D-15CF-D928-7F67-4047E1CDF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21</xdr:row>
      <xdr:rowOff>60960</xdr:rowOff>
    </xdr:from>
    <xdr:to>
      <xdr:col>18</xdr:col>
      <xdr:colOff>76200</xdr:colOff>
      <xdr:row>38</xdr:row>
      <xdr:rowOff>129540</xdr:rowOff>
    </xdr:to>
    <xdr:graphicFrame macro="">
      <xdr:nvGraphicFramePr>
        <xdr:cNvPr id="4" name="Chart 3">
          <a:extLst>
            <a:ext uri="{FF2B5EF4-FFF2-40B4-BE49-F238E27FC236}">
              <a16:creationId xmlns:a16="http://schemas.microsoft.com/office/drawing/2014/main" id="{0BCA5411-D559-90E9-C52C-F0A68E9AD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441960</xdr:colOff>
      <xdr:row>39</xdr:row>
      <xdr:rowOff>91440</xdr:rowOff>
    </xdr:from>
    <xdr:to>
      <xdr:col>8</xdr:col>
      <xdr:colOff>594360</xdr:colOff>
      <xdr:row>56</xdr:row>
      <xdr:rowOff>38100</xdr:rowOff>
    </xdr:to>
    <xdr:graphicFrame macro="">
      <xdr:nvGraphicFramePr>
        <xdr:cNvPr id="5" name="Chart 4">
          <a:extLst>
            <a:ext uri="{FF2B5EF4-FFF2-40B4-BE49-F238E27FC236}">
              <a16:creationId xmlns:a16="http://schemas.microsoft.com/office/drawing/2014/main" id="{54D8F455-5D0F-F2BD-350F-C3C1B7F2E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335280</xdr:colOff>
      <xdr:row>39</xdr:row>
      <xdr:rowOff>99060</xdr:rowOff>
    </xdr:from>
    <xdr:to>
      <xdr:col>18</xdr:col>
      <xdr:colOff>289560</xdr:colOff>
      <xdr:row>56</xdr:row>
      <xdr:rowOff>121920</xdr:rowOff>
    </xdr:to>
    <xdr:graphicFrame macro="">
      <xdr:nvGraphicFramePr>
        <xdr:cNvPr id="6" name="Chart 5">
          <a:extLst>
            <a:ext uri="{FF2B5EF4-FFF2-40B4-BE49-F238E27FC236}">
              <a16:creationId xmlns:a16="http://schemas.microsoft.com/office/drawing/2014/main" id="{B0B6BE5A-2969-3D7E-0C2C-A0774A9BA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571500</xdr:colOff>
      <xdr:row>56</xdr:row>
      <xdr:rowOff>160020</xdr:rowOff>
    </xdr:from>
    <xdr:to>
      <xdr:col>14</xdr:col>
      <xdr:colOff>411480</xdr:colOff>
      <xdr:row>79</xdr:row>
      <xdr:rowOff>160020</xdr:rowOff>
    </xdr:to>
    <xdr:graphicFrame macro="">
      <xdr:nvGraphicFramePr>
        <xdr:cNvPr id="8" name="Chart 7">
          <a:extLst>
            <a:ext uri="{FF2B5EF4-FFF2-40B4-BE49-F238E27FC236}">
              <a16:creationId xmlns:a16="http://schemas.microsoft.com/office/drawing/2014/main" id="{4386E055-4FAF-D9C9-5D58-D0BD0891B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350520</xdr:colOff>
      <xdr:row>5</xdr:row>
      <xdr:rowOff>53340</xdr:rowOff>
    </xdr:from>
    <xdr:to>
      <xdr:col>7</xdr:col>
      <xdr:colOff>419100</xdr:colOff>
      <xdr:row>18</xdr:row>
      <xdr:rowOff>142875</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BA76BC1F-E46E-457A-8AE6-90F54140D8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80660" y="1066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822960</xdr:colOff>
      <xdr:row>5</xdr:row>
      <xdr:rowOff>83820</xdr:rowOff>
    </xdr:from>
    <xdr:to>
      <xdr:col>10</xdr:col>
      <xdr:colOff>289560</xdr:colOff>
      <xdr:row>18</xdr:row>
      <xdr:rowOff>173355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FF9D0103-195C-4674-8CC1-3AF89C7614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1332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5</xdr:row>
      <xdr:rowOff>68580</xdr:rowOff>
    </xdr:from>
    <xdr:to>
      <xdr:col>13</xdr:col>
      <xdr:colOff>30480</xdr:colOff>
      <xdr:row>18</xdr:row>
      <xdr:rowOff>158115</xdr:rowOff>
    </xdr:to>
    <mc:AlternateContent xmlns:mc="http://schemas.openxmlformats.org/markup-compatibility/2006">
      <mc:Choice xmlns:a14="http://schemas.microsoft.com/office/drawing/2010/main" Requires="a14">
        <xdr:graphicFrame macro="">
          <xdr:nvGraphicFramePr>
            <xdr:cNvPr id="7" name="Order Status">
              <a:extLst>
                <a:ext uri="{FF2B5EF4-FFF2-40B4-BE49-F238E27FC236}">
                  <a16:creationId xmlns:a16="http://schemas.microsoft.com/office/drawing/2014/main" id="{791B8609-BF94-4B80-84F7-B40C1C48D962}"/>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964692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sh Viraktamath" refreshedDate="46259.506851967592" createdVersion="8" refreshedVersion="8" minRefreshableVersion="3" recordCount="1000" xr:uid="{0A2DA407-9D4C-49AD-AC69-2BF6D809722D}">
  <cacheSource type="worksheet">
    <worksheetSource name="Orders"/>
  </cacheSource>
  <cacheFields count="25">
    <cacheField name="Order ID" numFmtId="0">
      <sharedItems/>
    </cacheField>
    <cacheField name="Order Date" numFmtId="166">
      <sharedItems containsSemiMixedTypes="0" containsNonDate="0" containsDate="1" containsString="0" minDate="2026-01-01T00:00:00" maxDate="2027-01-01T00:00:00"/>
    </cacheField>
    <cacheField name="Customer ID" numFmtId="0">
      <sharedItems/>
    </cacheField>
    <cacheField name="Customer Name" numFmtId="0">
      <sharedItems/>
    </cacheField>
    <cacheField name="Region" numFmtId="0">
      <sharedItems count="4">
        <s v="South"/>
        <s v="West"/>
        <s v="North"/>
        <s v="East"/>
      </sharedItems>
    </cacheField>
    <cacheField name="City" numFmtId="0">
      <sharedItems/>
    </cacheField>
    <cacheField name="Product" numFmtId="0">
      <sharedItems count="25">
        <s v="Jeans"/>
        <s v="Resistance Bands"/>
        <s v="Water Bottle"/>
        <s v="USB-C Hub"/>
        <s v="Keyboard"/>
        <s v="Shampoo"/>
        <s v="T-Shirt"/>
        <s v="Coffee Maker"/>
        <s v="Wireless Mouse"/>
        <s v="Yoga Mat"/>
        <s v="Backpack"/>
        <s v="Running Shoes"/>
        <s v="Bedsheet Set"/>
        <s v="Cricket Bat"/>
        <s v="Desk Lamp"/>
        <s v="Sunscreen"/>
        <s v="Storage Box"/>
        <s v="Face Wash"/>
        <s v="Bluetooth Speaker"/>
        <s v="Power Bank"/>
        <s v="Moisturizer"/>
        <s v="Hoodie"/>
        <s v="Football"/>
        <s v="Sneakers"/>
        <s v="Perfume"/>
      </sharedItems>
    </cacheField>
    <cacheField name="Category" numFmtId="0">
      <sharedItems count="5">
        <s v="Fashion"/>
        <s v="Sports"/>
        <s v="Home"/>
        <s v="Electronics"/>
        <s v="Beauty"/>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containsInteger="1" minValue="399" maxValue="3499"/>
    </cacheField>
    <cacheField name="Discount %" numFmtId="9">
      <sharedItems containsSemiMixedTypes="0" containsString="0" containsNumber="1" minValue="0" maxValue="0.2"/>
    </cacheField>
    <cacheField name="Payment Method" numFmtId="0">
      <sharedItems/>
    </cacheField>
    <cacheField name="Order Status" numFmtId="0">
      <sharedItems count="4">
        <s v="Delivered"/>
        <s v="Pending"/>
        <s v="Cancelled"/>
        <s v="Returned"/>
      </sharedItems>
    </cacheField>
    <cacheField name="Expected Delivery Date" numFmtId="164">
      <sharedItems containsSemiMixedTypes="0" containsNonDate="0" containsDate="1" containsString="0" minDate="2026-01-05T00:00:00" maxDate="2027-01-08T00:00:00"/>
    </cacheField>
    <cacheField name="Actual Delivery Date" numFmtId="164">
      <sharedItems containsNonDate="0" containsDate="1" containsString="0" containsBlank="1" minDate="2026-01-03T00:00:00" maxDate="2027-01-10T00:00:00"/>
    </cacheField>
    <cacheField name="Gross Sales" numFmtId="165">
      <sharedItems containsSemiMixedTypes="0" containsString="0" containsNumber="1" containsInteger="1" minValue="399" maxValue="17495"/>
    </cacheField>
    <cacheField name="Discount Amount" numFmtId="165">
      <sharedItems containsSemiMixedTypes="0" containsString="0" containsNumber="1" minValue="0" maxValue="3499"/>
    </cacheField>
    <cacheField name="Net Sales" numFmtId="165">
      <sharedItems containsSemiMixedTypes="0" containsString="0" containsNumber="1" minValue="319.2" maxValue="16620.25"/>
    </cacheField>
    <cacheField name="Delivery Days" numFmtId="0">
      <sharedItems containsMixedTypes="1" containsNumber="1" containsInteger="1" minValue="1" maxValue="11"/>
    </cacheField>
    <cacheField name="Delivery Status" numFmtId="0">
      <sharedItems count="3">
        <s v="On Time"/>
        <s v="Pending"/>
        <s v="Late"/>
      </sharedItems>
    </cacheField>
    <cacheField name="Month" numFmtId="0">
      <sharedItems/>
    </cacheField>
    <cacheField name="Month Start" numFmtId="17">
      <sharedItems containsSemiMixedTypes="0" containsNonDate="0" containsDate="1" containsString="0" minDate="2026-01-01T00:00:00" maxDate="2026-12-02T00:00:00" count="12">
        <d v="2026-04-01T00:00:00"/>
        <d v="2026-11-01T00:00:00"/>
        <d v="2026-06-01T00:00:00"/>
        <d v="2026-05-01T00:00:00"/>
        <d v="2026-02-01T00:00:00"/>
        <d v="2026-10-01T00:00:00"/>
        <d v="2026-12-01T00:00:00"/>
        <d v="2026-09-01T00:00:00"/>
        <d v="2026-03-01T00:00:00"/>
        <d v="2026-01-01T00:00:00"/>
        <d v="2026-08-01T00:00:00"/>
        <d v="2026-07-01T00:00:00"/>
      </sharedItems>
      <fieldGroup par="24"/>
    </cacheField>
    <cacheField name="Cancelled Sales" numFmtId="165">
      <sharedItems containsSemiMixedTypes="0" containsString="0" containsNumber="1" minValue="0" maxValue="7197.6"/>
    </cacheField>
    <cacheField name="Days (Month Start)" numFmtId="0" databaseField="0">
      <fieldGroup base="21">
        <rangePr groupBy="days" startDate="2026-01-01T00:00:00" endDate="2026-12-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6"/>
        </groupItems>
      </fieldGroup>
    </cacheField>
    <cacheField name="Months (Month Start)" numFmtId="0" databaseField="0">
      <fieldGroup base="21">
        <rangePr groupBy="months" startDate="2026-01-01T00:00:00" endDate="2026-12-02T00:00:00"/>
        <groupItems count="14">
          <s v="&lt;01-01-2026"/>
          <s v="Jan"/>
          <s v="Feb"/>
          <s v="Mar"/>
          <s v="Apr"/>
          <s v="May"/>
          <s v="Jun"/>
          <s v="Jul"/>
          <s v="Aug"/>
          <s v="Sep"/>
          <s v="Oct"/>
          <s v="Nov"/>
          <s v="Dec"/>
          <s v="&gt;02-12-2026"/>
        </groupItems>
      </fieldGroup>
    </cacheField>
  </cacheFields>
  <extLst>
    <ext xmlns:x14="http://schemas.microsoft.com/office/spreadsheetml/2009/9/main" uri="{725AE2AE-9491-48be-B2B4-4EB974FC3084}">
      <x14:pivotCacheDefinition pivotCacheId="1203295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1"/>
    <d v="2026-04-25T00:00:00"/>
    <s v="CUST-1048"/>
    <s v="Customer 1112"/>
    <x v="0"/>
    <s v="Bengaluru"/>
    <x v="0"/>
    <x v="0"/>
    <n v="1"/>
    <n v="1799"/>
    <n v="0"/>
    <s v="COD"/>
    <x v="0"/>
    <d v="2026-05-01T00:00:00"/>
    <d v="2026-04-26T00:00:00"/>
    <n v="1799"/>
    <n v="0"/>
    <n v="1799"/>
    <n v="1"/>
    <x v="0"/>
    <s v="Apr"/>
    <x v="0"/>
    <n v="0"/>
  </r>
  <r>
    <s v="ORD-10002"/>
    <d v="2026-11-29T00:00:00"/>
    <s v="CUST-1082"/>
    <s v="Customer 1217"/>
    <x v="1"/>
    <s v="Mumbai"/>
    <x v="1"/>
    <x v="1"/>
    <n v="2"/>
    <n v="599"/>
    <n v="0.15"/>
    <s v="Credit Card"/>
    <x v="0"/>
    <d v="2026-12-05T00:00:00"/>
    <d v="2026-11-30T00:00:00"/>
    <n v="1198"/>
    <n v="179.7"/>
    <n v="1018.3"/>
    <n v="1"/>
    <x v="0"/>
    <s v="Nov"/>
    <x v="1"/>
    <n v="0"/>
  </r>
  <r>
    <s v="ORD-10003"/>
    <d v="2026-06-22T00:00:00"/>
    <s v="CUST-1236"/>
    <s v="Customer 1275"/>
    <x v="2"/>
    <s v="Lucknow"/>
    <x v="2"/>
    <x v="2"/>
    <n v="1"/>
    <n v="699"/>
    <n v="0.15"/>
    <s v="UPI"/>
    <x v="0"/>
    <d v="2026-06-26T00:00:00"/>
    <d v="2026-06-23T00:00:00"/>
    <n v="699"/>
    <n v="104.85"/>
    <n v="594.15"/>
    <n v="1"/>
    <x v="0"/>
    <s v="Jun"/>
    <x v="2"/>
    <n v="0"/>
  </r>
  <r>
    <s v="ORD-10004"/>
    <d v="2026-05-31T00:00:00"/>
    <s v="CUST-1036"/>
    <s v="Customer 1024"/>
    <x v="0"/>
    <s v="Kochi"/>
    <x v="3"/>
    <x v="3"/>
    <n v="3"/>
    <n v="1799"/>
    <n v="0.2"/>
    <s v="Debit Card"/>
    <x v="1"/>
    <d v="2026-06-03T00:00:00"/>
    <m/>
    <n v="5397"/>
    <n v="1079.4000000000001"/>
    <n v="4317.6000000000004"/>
    <s v=""/>
    <x v="1"/>
    <s v="May"/>
    <x v="3"/>
    <n v="0"/>
  </r>
  <r>
    <s v="ORD-10005"/>
    <d v="2026-02-21T00:00:00"/>
    <s v="CUST-1037"/>
    <s v="Customer 1088"/>
    <x v="1"/>
    <s v="Ahmedabad"/>
    <x v="4"/>
    <x v="3"/>
    <n v="1"/>
    <n v="1299"/>
    <n v="0.15"/>
    <s v="Debit Card"/>
    <x v="0"/>
    <d v="2026-02-25T00:00:00"/>
    <d v="2026-02-24T00:00:00"/>
    <n v="1299"/>
    <n v="194.85"/>
    <n v="1104.1500000000001"/>
    <n v="3"/>
    <x v="0"/>
    <s v="Feb"/>
    <x v="4"/>
    <n v="0"/>
  </r>
  <r>
    <s v="ORD-10006"/>
    <d v="2026-05-19T00:00:00"/>
    <s v="CUST-1118"/>
    <s v="Customer 1017"/>
    <x v="1"/>
    <s v="Pune"/>
    <x v="5"/>
    <x v="4"/>
    <n v="5"/>
    <n v="499"/>
    <n v="0.2"/>
    <s v="Credit Card"/>
    <x v="2"/>
    <d v="2026-05-23T00:00:00"/>
    <d v="2026-05-20T00:00:00"/>
    <n v="2495"/>
    <n v="499"/>
    <n v="1996"/>
    <n v="1"/>
    <x v="0"/>
    <s v="May"/>
    <x v="3"/>
    <n v="1996"/>
  </r>
  <r>
    <s v="ORD-10007"/>
    <d v="2026-04-19T00:00:00"/>
    <s v="CUST-1235"/>
    <s v="Customer 1074"/>
    <x v="2"/>
    <s v="Chandigarh"/>
    <x v="6"/>
    <x v="0"/>
    <n v="4"/>
    <n v="699"/>
    <n v="0.2"/>
    <s v="Debit Card"/>
    <x v="0"/>
    <d v="2026-04-26T00:00:00"/>
    <d v="2026-04-25T00:00:00"/>
    <n v="2796"/>
    <n v="559.20000000000005"/>
    <n v="2236.8000000000002"/>
    <n v="6"/>
    <x v="0"/>
    <s v="Apr"/>
    <x v="0"/>
    <n v="0"/>
  </r>
  <r>
    <s v="ORD-10008"/>
    <d v="2026-10-03T00:00:00"/>
    <s v="CUST-1186"/>
    <s v="Customer 1113"/>
    <x v="2"/>
    <s v="Jaipur"/>
    <x v="7"/>
    <x v="2"/>
    <n v="1"/>
    <n v="3499"/>
    <n v="0.2"/>
    <s v="Net Banking"/>
    <x v="1"/>
    <d v="2026-10-08T00:00:00"/>
    <m/>
    <n v="3499"/>
    <n v="699.80000000000007"/>
    <n v="2799.2"/>
    <s v=""/>
    <x v="1"/>
    <s v="Oct"/>
    <x v="5"/>
    <n v="0"/>
  </r>
  <r>
    <s v="ORD-10009"/>
    <d v="2026-02-26T00:00:00"/>
    <s v="CUST-1198"/>
    <s v="Customer 1196"/>
    <x v="1"/>
    <s v="Goa"/>
    <x v="8"/>
    <x v="3"/>
    <n v="1"/>
    <n v="799"/>
    <n v="0.05"/>
    <s v="Net Banking"/>
    <x v="1"/>
    <d v="2026-02-28T00:00:00"/>
    <m/>
    <n v="799"/>
    <n v="39.950000000000003"/>
    <n v="759.05"/>
    <s v=""/>
    <x v="1"/>
    <s v="Feb"/>
    <x v="4"/>
    <n v="0"/>
  </r>
  <r>
    <s v="ORD-10010"/>
    <d v="2026-12-15T00:00:00"/>
    <s v="CUST-1223"/>
    <s v="Customer 1081"/>
    <x v="3"/>
    <s v="Patna"/>
    <x v="9"/>
    <x v="1"/>
    <n v="2"/>
    <n v="899"/>
    <n v="0.2"/>
    <s v="Debit Card"/>
    <x v="3"/>
    <d v="2026-12-22T00:00:00"/>
    <d v="2026-12-18T00:00:00"/>
    <n v="1798"/>
    <n v="359.6"/>
    <n v="1438.4"/>
    <n v="3"/>
    <x v="0"/>
    <s v="Dec"/>
    <x v="6"/>
    <n v="0"/>
  </r>
  <r>
    <s v="ORD-10011"/>
    <d v="2026-04-02T00:00:00"/>
    <s v="CUST-1079"/>
    <s v="Customer 1192"/>
    <x v="3"/>
    <s v="Kolkata"/>
    <x v="10"/>
    <x v="0"/>
    <n v="2"/>
    <n v="1899"/>
    <n v="0"/>
    <s v="Debit Card"/>
    <x v="3"/>
    <d v="2026-04-09T00:00:00"/>
    <d v="2026-04-04T00:00:00"/>
    <n v="3798"/>
    <n v="0"/>
    <n v="3798"/>
    <n v="2"/>
    <x v="0"/>
    <s v="Apr"/>
    <x v="0"/>
    <n v="0"/>
  </r>
  <r>
    <s v="ORD-10012"/>
    <d v="2026-09-08T00:00:00"/>
    <s v="CUST-1044"/>
    <s v="Customer 1249"/>
    <x v="1"/>
    <s v="Mumbai"/>
    <x v="11"/>
    <x v="1"/>
    <n v="1"/>
    <n v="3299"/>
    <n v="0.1"/>
    <s v="Debit Card"/>
    <x v="0"/>
    <d v="2026-09-10T00:00:00"/>
    <d v="2026-09-09T00:00:00"/>
    <n v="3299"/>
    <n v="329.90000000000003"/>
    <n v="2969.1"/>
    <n v="1"/>
    <x v="0"/>
    <s v="Sep"/>
    <x v="7"/>
    <n v="0"/>
  </r>
  <r>
    <s v="ORD-10013"/>
    <d v="2026-10-09T00:00:00"/>
    <s v="CUST-1160"/>
    <s v="Customer 1205"/>
    <x v="0"/>
    <s v="Chennai"/>
    <x v="12"/>
    <x v="2"/>
    <n v="1"/>
    <n v="1599"/>
    <n v="0.2"/>
    <s v="COD"/>
    <x v="0"/>
    <d v="2026-10-12T00:00:00"/>
    <d v="2026-10-14T00:00:00"/>
    <n v="1599"/>
    <n v="319.8"/>
    <n v="1279.2"/>
    <n v="5"/>
    <x v="2"/>
    <s v="Oct"/>
    <x v="5"/>
    <n v="0"/>
  </r>
  <r>
    <s v="ORD-10014"/>
    <d v="2026-03-03T00:00:00"/>
    <s v="CUST-1113"/>
    <s v="Customer 1004"/>
    <x v="2"/>
    <s v="Chandigarh"/>
    <x v="13"/>
    <x v="1"/>
    <n v="1"/>
    <n v="2499"/>
    <n v="0"/>
    <s v="Debit Card"/>
    <x v="0"/>
    <d v="2026-03-09T00:00:00"/>
    <d v="2026-03-08T00:00:00"/>
    <n v="2499"/>
    <n v="0"/>
    <n v="2499"/>
    <n v="5"/>
    <x v="0"/>
    <s v="Mar"/>
    <x v="8"/>
    <n v="0"/>
  </r>
  <r>
    <s v="ORD-10015"/>
    <d v="2026-01-17T00:00:00"/>
    <s v="CUST-1277"/>
    <s v="Customer 1068"/>
    <x v="0"/>
    <s v="Bengaluru"/>
    <x v="14"/>
    <x v="2"/>
    <n v="3"/>
    <n v="999"/>
    <n v="0"/>
    <s v="COD"/>
    <x v="0"/>
    <d v="2026-01-21T00:00:00"/>
    <d v="2026-01-19T00:00:00"/>
    <n v="2997"/>
    <n v="0"/>
    <n v="2997"/>
    <n v="2"/>
    <x v="0"/>
    <s v="Jan"/>
    <x v="9"/>
    <n v="0"/>
  </r>
  <r>
    <s v="ORD-10016"/>
    <d v="2026-04-08T00:00:00"/>
    <s v="CUST-1051"/>
    <s v="Customer 1032"/>
    <x v="3"/>
    <s v="Bhubaneswar"/>
    <x v="5"/>
    <x v="4"/>
    <n v="1"/>
    <n v="499"/>
    <n v="0.15"/>
    <s v="Debit Card"/>
    <x v="0"/>
    <d v="2026-04-13T00:00:00"/>
    <d v="2026-04-09T00:00:00"/>
    <n v="499"/>
    <n v="74.849999999999994"/>
    <n v="424.15"/>
    <n v="1"/>
    <x v="0"/>
    <s v="Apr"/>
    <x v="0"/>
    <n v="0"/>
  </r>
  <r>
    <s v="ORD-10017"/>
    <d v="2026-04-09T00:00:00"/>
    <s v="CUST-1039"/>
    <s v="Customer 1227"/>
    <x v="3"/>
    <s v="Patna"/>
    <x v="4"/>
    <x v="3"/>
    <n v="1"/>
    <n v="1299"/>
    <n v="0.15"/>
    <s v="Credit Card"/>
    <x v="0"/>
    <d v="2026-04-12T00:00:00"/>
    <d v="2026-04-10T00:00:00"/>
    <n v="1299"/>
    <n v="194.85"/>
    <n v="1104.1500000000001"/>
    <n v="1"/>
    <x v="0"/>
    <s v="Apr"/>
    <x v="0"/>
    <n v="0"/>
  </r>
  <r>
    <s v="ORD-10018"/>
    <d v="2026-02-17T00:00:00"/>
    <s v="CUST-1031"/>
    <s v="Customer 1085"/>
    <x v="0"/>
    <s v="Bengaluru"/>
    <x v="9"/>
    <x v="1"/>
    <n v="4"/>
    <n v="899"/>
    <n v="0.05"/>
    <s v="Credit Card"/>
    <x v="0"/>
    <d v="2026-02-22T00:00:00"/>
    <d v="2026-02-21T00:00:00"/>
    <n v="3596"/>
    <n v="179.8"/>
    <n v="3416.2"/>
    <n v="4"/>
    <x v="0"/>
    <s v="Feb"/>
    <x v="4"/>
    <n v="0"/>
  </r>
  <r>
    <s v="ORD-10019"/>
    <d v="2026-08-21T00:00:00"/>
    <s v="CUST-1297"/>
    <s v="Customer 1278"/>
    <x v="3"/>
    <s v="Kolkata"/>
    <x v="15"/>
    <x v="4"/>
    <n v="1"/>
    <n v="749"/>
    <n v="0.2"/>
    <s v="Net Banking"/>
    <x v="0"/>
    <d v="2026-08-24T00:00:00"/>
    <d v="2026-08-22T00:00:00"/>
    <n v="749"/>
    <n v="149.80000000000001"/>
    <n v="599.20000000000005"/>
    <n v="1"/>
    <x v="0"/>
    <s v="Aug"/>
    <x v="10"/>
    <n v="0"/>
  </r>
  <r>
    <s v="ORD-10020"/>
    <d v="2026-10-27T00:00:00"/>
    <s v="CUST-1036"/>
    <s v="Customer 1035"/>
    <x v="0"/>
    <s v="Hyderabad"/>
    <x v="8"/>
    <x v="3"/>
    <n v="2"/>
    <n v="799"/>
    <n v="0.2"/>
    <s v="Credit Card"/>
    <x v="0"/>
    <d v="2026-11-02T00:00:00"/>
    <d v="2026-10-29T00:00:00"/>
    <n v="1598"/>
    <n v="319.60000000000002"/>
    <n v="1278.4000000000001"/>
    <n v="2"/>
    <x v="0"/>
    <s v="Oct"/>
    <x v="5"/>
    <n v="0"/>
  </r>
  <r>
    <s v="ORD-10021"/>
    <d v="2026-05-07T00:00:00"/>
    <s v="CUST-1268"/>
    <s v="Customer 1162"/>
    <x v="1"/>
    <s v="Goa"/>
    <x v="3"/>
    <x v="3"/>
    <n v="2"/>
    <n v="1799"/>
    <n v="0"/>
    <s v="COD"/>
    <x v="0"/>
    <d v="2026-05-12T00:00:00"/>
    <d v="2026-05-12T00:00:00"/>
    <n v="3598"/>
    <n v="0"/>
    <n v="3598"/>
    <n v="5"/>
    <x v="0"/>
    <s v="May"/>
    <x v="3"/>
    <n v="0"/>
  </r>
  <r>
    <s v="ORD-10022"/>
    <d v="2026-05-16T00:00:00"/>
    <s v="CUST-1038"/>
    <s v="Customer 1276"/>
    <x v="2"/>
    <s v="Jaipur"/>
    <x v="0"/>
    <x v="0"/>
    <n v="1"/>
    <n v="1799"/>
    <n v="0.1"/>
    <s v="Net Banking"/>
    <x v="0"/>
    <d v="2026-05-18T00:00:00"/>
    <d v="2026-05-17T00:00:00"/>
    <n v="1799"/>
    <n v="179.9"/>
    <n v="1619.1"/>
    <n v="1"/>
    <x v="0"/>
    <s v="May"/>
    <x v="3"/>
    <n v="0"/>
  </r>
  <r>
    <s v="ORD-10023"/>
    <d v="2026-02-05T00:00:00"/>
    <s v="CUST-1271"/>
    <s v="Customer 1005"/>
    <x v="1"/>
    <s v="Ahmedabad"/>
    <x v="16"/>
    <x v="2"/>
    <n v="3"/>
    <n v="899"/>
    <n v="0.1"/>
    <s v="Debit Card"/>
    <x v="0"/>
    <d v="2026-02-10T00:00:00"/>
    <d v="2026-02-08T00:00:00"/>
    <n v="2697"/>
    <n v="269.7"/>
    <n v="2427.3000000000002"/>
    <n v="3"/>
    <x v="0"/>
    <s v="Feb"/>
    <x v="4"/>
    <n v="0"/>
  </r>
  <r>
    <s v="ORD-10024"/>
    <d v="2026-03-01T00:00:00"/>
    <s v="CUST-1105"/>
    <s v="Customer 1136"/>
    <x v="2"/>
    <s v="Delhi"/>
    <x v="16"/>
    <x v="2"/>
    <n v="3"/>
    <n v="899"/>
    <n v="0.2"/>
    <s v="Credit Card"/>
    <x v="0"/>
    <d v="2026-03-05T00:00:00"/>
    <d v="2026-03-04T00:00:00"/>
    <n v="2697"/>
    <n v="539.4"/>
    <n v="2157.6"/>
    <n v="3"/>
    <x v="0"/>
    <s v="Mar"/>
    <x v="8"/>
    <n v="0"/>
  </r>
  <r>
    <s v="ORD-10025"/>
    <d v="2026-11-21T00:00:00"/>
    <s v="CUST-1083"/>
    <s v="Customer 1227"/>
    <x v="3"/>
    <s v="Patna"/>
    <x v="8"/>
    <x v="3"/>
    <n v="1"/>
    <n v="799"/>
    <n v="0.1"/>
    <s v="UPI"/>
    <x v="0"/>
    <d v="2026-11-25T00:00:00"/>
    <d v="2026-11-24T00:00:00"/>
    <n v="799"/>
    <n v="79.900000000000006"/>
    <n v="719.1"/>
    <n v="3"/>
    <x v="0"/>
    <s v="Nov"/>
    <x v="1"/>
    <n v="0"/>
  </r>
  <r>
    <s v="ORD-10026"/>
    <d v="2026-12-20T00:00:00"/>
    <s v="CUST-1221"/>
    <s v="Customer 1066"/>
    <x v="3"/>
    <s v="Kolkata"/>
    <x v="8"/>
    <x v="3"/>
    <n v="4"/>
    <n v="799"/>
    <n v="0.2"/>
    <s v="UPI"/>
    <x v="3"/>
    <d v="2026-12-24T00:00:00"/>
    <d v="2026-12-22T00:00:00"/>
    <n v="3196"/>
    <n v="639.20000000000005"/>
    <n v="2556.8000000000002"/>
    <n v="2"/>
    <x v="0"/>
    <s v="Dec"/>
    <x v="6"/>
    <n v="0"/>
  </r>
  <r>
    <s v="ORD-10027"/>
    <d v="2026-07-03T00:00:00"/>
    <s v="CUST-1080"/>
    <s v="Customer 1122"/>
    <x v="0"/>
    <s v="Hyderabad"/>
    <x v="6"/>
    <x v="0"/>
    <n v="1"/>
    <n v="699"/>
    <n v="0.05"/>
    <s v="UPI"/>
    <x v="0"/>
    <d v="2026-07-09T00:00:00"/>
    <d v="2026-07-13T00:00:00"/>
    <n v="699"/>
    <n v="34.950000000000003"/>
    <n v="664.05"/>
    <n v="10"/>
    <x v="2"/>
    <s v="Jul"/>
    <x v="11"/>
    <n v="0"/>
  </r>
  <r>
    <s v="ORD-10028"/>
    <d v="2026-04-02T00:00:00"/>
    <s v="CUST-1128"/>
    <s v="Customer 1137"/>
    <x v="1"/>
    <s v="Pune"/>
    <x v="17"/>
    <x v="4"/>
    <n v="2"/>
    <n v="399"/>
    <n v="0.1"/>
    <s v="Net Banking"/>
    <x v="3"/>
    <d v="2026-04-09T00:00:00"/>
    <d v="2026-04-09T00:00:00"/>
    <n v="798"/>
    <n v="79.800000000000011"/>
    <n v="718.2"/>
    <n v="7"/>
    <x v="0"/>
    <s v="Apr"/>
    <x v="0"/>
    <n v="0"/>
  </r>
  <r>
    <s v="ORD-10029"/>
    <d v="2026-08-29T00:00:00"/>
    <s v="CUST-1099"/>
    <s v="Customer 1205"/>
    <x v="1"/>
    <s v="Mumbai"/>
    <x v="17"/>
    <x v="4"/>
    <n v="1"/>
    <n v="399"/>
    <n v="0.15"/>
    <s v="Debit Card"/>
    <x v="0"/>
    <d v="2026-09-01T00:00:00"/>
    <d v="2026-09-01T00:00:00"/>
    <n v="399"/>
    <n v="59.849999999999994"/>
    <n v="339.15"/>
    <n v="3"/>
    <x v="0"/>
    <s v="Aug"/>
    <x v="10"/>
    <n v="0"/>
  </r>
  <r>
    <s v="ORD-10030"/>
    <d v="2026-06-29T00:00:00"/>
    <s v="CUST-1092"/>
    <s v="Customer 1298"/>
    <x v="2"/>
    <s v="Lucknow"/>
    <x v="18"/>
    <x v="3"/>
    <n v="2"/>
    <n v="1999"/>
    <n v="0.15"/>
    <s v="COD"/>
    <x v="0"/>
    <d v="2026-07-01T00:00:00"/>
    <d v="2026-07-01T00:00:00"/>
    <n v="3998"/>
    <n v="599.69999999999993"/>
    <n v="3398.3"/>
    <n v="2"/>
    <x v="0"/>
    <s v="Jun"/>
    <x v="2"/>
    <n v="0"/>
  </r>
  <r>
    <s v="ORD-10031"/>
    <d v="2026-08-11T00:00:00"/>
    <s v="CUST-1060"/>
    <s v="Customer 1198"/>
    <x v="2"/>
    <s v="Delhi"/>
    <x v="3"/>
    <x v="3"/>
    <n v="1"/>
    <n v="1799"/>
    <n v="0.1"/>
    <s v="Net Banking"/>
    <x v="1"/>
    <d v="2026-08-17T00:00:00"/>
    <m/>
    <n v="1799"/>
    <n v="179.9"/>
    <n v="1619.1"/>
    <s v=""/>
    <x v="1"/>
    <s v="Aug"/>
    <x v="10"/>
    <n v="0"/>
  </r>
  <r>
    <s v="ORD-10032"/>
    <d v="2026-01-01T00:00:00"/>
    <s v="CUST-1161"/>
    <s v="Customer 1064"/>
    <x v="1"/>
    <s v="Ahmedabad"/>
    <x v="19"/>
    <x v="3"/>
    <n v="2"/>
    <n v="1499"/>
    <n v="0.2"/>
    <s v="Credit Card"/>
    <x v="0"/>
    <d v="2026-01-06T00:00:00"/>
    <d v="2026-01-04T00:00:00"/>
    <n v="2998"/>
    <n v="599.6"/>
    <n v="2398.4"/>
    <n v="3"/>
    <x v="0"/>
    <s v="Jan"/>
    <x v="9"/>
    <n v="0"/>
  </r>
  <r>
    <s v="ORD-10033"/>
    <d v="2026-07-26T00:00:00"/>
    <s v="CUST-1090"/>
    <s v="Customer 1292"/>
    <x v="2"/>
    <s v="Lucknow"/>
    <x v="15"/>
    <x v="4"/>
    <n v="2"/>
    <n v="749"/>
    <n v="0.2"/>
    <s v="Credit Card"/>
    <x v="0"/>
    <d v="2026-07-31T00:00:00"/>
    <d v="2026-07-30T00:00:00"/>
    <n v="1498"/>
    <n v="299.60000000000002"/>
    <n v="1198.4000000000001"/>
    <n v="4"/>
    <x v="0"/>
    <s v="Jul"/>
    <x v="11"/>
    <n v="0"/>
  </r>
  <r>
    <s v="ORD-10034"/>
    <d v="2026-06-05T00:00:00"/>
    <s v="CUST-1165"/>
    <s v="Customer 1239"/>
    <x v="2"/>
    <s v="Chandigarh"/>
    <x v="9"/>
    <x v="1"/>
    <n v="1"/>
    <n v="899"/>
    <n v="0.15"/>
    <s v="COD"/>
    <x v="1"/>
    <d v="2026-06-12T00:00:00"/>
    <m/>
    <n v="899"/>
    <n v="134.85"/>
    <n v="764.15"/>
    <s v=""/>
    <x v="1"/>
    <s v="Jun"/>
    <x v="2"/>
    <n v="0"/>
  </r>
  <r>
    <s v="ORD-10035"/>
    <d v="2026-08-31T00:00:00"/>
    <s v="CUST-1172"/>
    <s v="Customer 1048"/>
    <x v="3"/>
    <s v="Guwahati"/>
    <x v="7"/>
    <x v="2"/>
    <n v="3"/>
    <n v="3499"/>
    <n v="0.05"/>
    <s v="UPI"/>
    <x v="0"/>
    <d v="2026-09-06T00:00:00"/>
    <d v="2026-09-05T00:00:00"/>
    <n v="10497"/>
    <n v="524.85"/>
    <n v="9972.15"/>
    <n v="5"/>
    <x v="0"/>
    <s v="Aug"/>
    <x v="10"/>
    <n v="0"/>
  </r>
  <r>
    <s v="ORD-10036"/>
    <d v="2026-03-17T00:00:00"/>
    <s v="CUST-1234"/>
    <s v="Customer 1213"/>
    <x v="1"/>
    <s v="Ahmedabad"/>
    <x v="2"/>
    <x v="2"/>
    <n v="1"/>
    <n v="699"/>
    <n v="0.05"/>
    <s v="Net Banking"/>
    <x v="1"/>
    <d v="2026-03-19T00:00:00"/>
    <m/>
    <n v="699"/>
    <n v="34.950000000000003"/>
    <n v="664.05"/>
    <s v=""/>
    <x v="1"/>
    <s v="Mar"/>
    <x v="8"/>
    <n v="0"/>
  </r>
  <r>
    <s v="ORD-10037"/>
    <d v="2026-05-05T00:00:00"/>
    <s v="CUST-1238"/>
    <s v="Customer 1026"/>
    <x v="1"/>
    <s v="Goa"/>
    <x v="5"/>
    <x v="4"/>
    <n v="1"/>
    <n v="499"/>
    <n v="0"/>
    <s v="UPI"/>
    <x v="3"/>
    <d v="2026-05-10T00:00:00"/>
    <d v="2026-05-10T00:00:00"/>
    <n v="499"/>
    <n v="0"/>
    <n v="499"/>
    <n v="5"/>
    <x v="0"/>
    <s v="May"/>
    <x v="3"/>
    <n v="0"/>
  </r>
  <r>
    <s v="ORD-10038"/>
    <d v="2026-08-26T00:00:00"/>
    <s v="CUST-1219"/>
    <s v="Customer 1281"/>
    <x v="1"/>
    <s v="Mumbai"/>
    <x v="20"/>
    <x v="4"/>
    <n v="2"/>
    <n v="599"/>
    <n v="0.2"/>
    <s v="COD"/>
    <x v="0"/>
    <d v="2026-08-31T00:00:00"/>
    <d v="2026-08-31T00:00:00"/>
    <n v="1198"/>
    <n v="239.60000000000002"/>
    <n v="958.4"/>
    <n v="5"/>
    <x v="0"/>
    <s v="Aug"/>
    <x v="10"/>
    <n v="0"/>
  </r>
  <r>
    <s v="ORD-10039"/>
    <d v="2026-05-13T00:00:00"/>
    <s v="CUST-1040"/>
    <s v="Customer 1147"/>
    <x v="3"/>
    <s v="Bhubaneswar"/>
    <x v="5"/>
    <x v="4"/>
    <n v="3"/>
    <n v="499"/>
    <n v="0.1"/>
    <s v="COD"/>
    <x v="0"/>
    <d v="2026-05-20T00:00:00"/>
    <d v="2026-05-17T00:00:00"/>
    <n v="1497"/>
    <n v="149.70000000000002"/>
    <n v="1347.3"/>
    <n v="4"/>
    <x v="0"/>
    <s v="May"/>
    <x v="3"/>
    <n v="0"/>
  </r>
  <r>
    <s v="ORD-10040"/>
    <d v="2026-10-04T00:00:00"/>
    <s v="CUST-1033"/>
    <s v="Customer 1213"/>
    <x v="1"/>
    <s v="Ahmedabad"/>
    <x v="21"/>
    <x v="0"/>
    <n v="1"/>
    <n v="1999"/>
    <n v="0.05"/>
    <s v="Credit Card"/>
    <x v="0"/>
    <d v="2026-10-11T00:00:00"/>
    <d v="2026-10-06T00:00:00"/>
    <n v="1999"/>
    <n v="99.95"/>
    <n v="1899.05"/>
    <n v="2"/>
    <x v="0"/>
    <s v="Oct"/>
    <x v="5"/>
    <n v="0"/>
  </r>
  <r>
    <s v="ORD-10041"/>
    <d v="2026-08-01T00:00:00"/>
    <s v="CUST-1295"/>
    <s v="Customer 1195"/>
    <x v="3"/>
    <s v="Patna"/>
    <x v="13"/>
    <x v="1"/>
    <n v="1"/>
    <n v="2499"/>
    <n v="0.15"/>
    <s v="Net Banking"/>
    <x v="3"/>
    <d v="2026-08-07T00:00:00"/>
    <d v="2026-08-08T00:00:00"/>
    <n v="2499"/>
    <n v="374.84999999999997"/>
    <n v="2124.15"/>
    <n v="7"/>
    <x v="2"/>
    <s v="Aug"/>
    <x v="10"/>
    <n v="0"/>
  </r>
  <r>
    <s v="ORD-10042"/>
    <d v="2026-07-19T00:00:00"/>
    <s v="CUST-1113"/>
    <s v="Customer 1250"/>
    <x v="3"/>
    <s v="Kolkata"/>
    <x v="21"/>
    <x v="0"/>
    <n v="3"/>
    <n v="1999"/>
    <n v="0.15"/>
    <s v="COD"/>
    <x v="2"/>
    <d v="2026-07-26T00:00:00"/>
    <d v="2026-07-24T00:00:00"/>
    <n v="5997"/>
    <n v="899.55"/>
    <n v="5097.45"/>
    <n v="5"/>
    <x v="0"/>
    <s v="Jul"/>
    <x v="11"/>
    <n v="5097.45"/>
  </r>
  <r>
    <s v="ORD-10043"/>
    <d v="2026-01-15T00:00:00"/>
    <s v="CUST-1202"/>
    <s v="Customer 1289"/>
    <x v="1"/>
    <s v="Ahmedabad"/>
    <x v="5"/>
    <x v="4"/>
    <n v="1"/>
    <n v="499"/>
    <n v="0.15"/>
    <s v="Credit Card"/>
    <x v="3"/>
    <d v="2026-01-20T00:00:00"/>
    <d v="2026-01-21T00:00:00"/>
    <n v="499"/>
    <n v="74.849999999999994"/>
    <n v="424.15"/>
    <n v="6"/>
    <x v="2"/>
    <s v="Jan"/>
    <x v="9"/>
    <n v="0"/>
  </r>
  <r>
    <s v="ORD-10044"/>
    <d v="2026-08-25T00:00:00"/>
    <s v="CUST-1195"/>
    <s v="Customer 1143"/>
    <x v="0"/>
    <s v="Bengaluru"/>
    <x v="20"/>
    <x v="4"/>
    <n v="1"/>
    <n v="599"/>
    <n v="0.1"/>
    <s v="Net Banking"/>
    <x v="0"/>
    <d v="2026-08-28T00:00:00"/>
    <d v="2026-08-27T00:00:00"/>
    <n v="599"/>
    <n v="59.900000000000006"/>
    <n v="539.1"/>
    <n v="2"/>
    <x v="0"/>
    <s v="Aug"/>
    <x v="10"/>
    <n v="0"/>
  </r>
  <r>
    <s v="ORD-10045"/>
    <d v="2026-01-10T00:00:00"/>
    <s v="CUST-1021"/>
    <s v="Customer 1016"/>
    <x v="3"/>
    <s v="Patna"/>
    <x v="19"/>
    <x v="3"/>
    <n v="2"/>
    <n v="1499"/>
    <n v="0"/>
    <s v="Debit Card"/>
    <x v="0"/>
    <d v="2026-01-17T00:00:00"/>
    <d v="2026-01-16T00:00:00"/>
    <n v="2998"/>
    <n v="0"/>
    <n v="2998"/>
    <n v="6"/>
    <x v="0"/>
    <s v="Jan"/>
    <x v="9"/>
    <n v="0"/>
  </r>
  <r>
    <s v="ORD-10046"/>
    <d v="2026-03-20T00:00:00"/>
    <s v="CUST-1239"/>
    <s v="Customer 1132"/>
    <x v="1"/>
    <s v="Pune"/>
    <x v="3"/>
    <x v="3"/>
    <n v="1"/>
    <n v="1799"/>
    <n v="0.15"/>
    <s v="UPI"/>
    <x v="1"/>
    <d v="2026-03-23T00:00:00"/>
    <m/>
    <n v="1799"/>
    <n v="269.84999999999997"/>
    <n v="1529.15"/>
    <s v=""/>
    <x v="1"/>
    <s v="Mar"/>
    <x v="8"/>
    <n v="0"/>
  </r>
  <r>
    <s v="ORD-10047"/>
    <d v="2026-02-28T00:00:00"/>
    <s v="CUST-1295"/>
    <s v="Customer 1193"/>
    <x v="2"/>
    <s v="Jaipur"/>
    <x v="22"/>
    <x v="1"/>
    <n v="3"/>
    <n v="1199"/>
    <n v="0.05"/>
    <s v="Debit Card"/>
    <x v="0"/>
    <d v="2026-03-06T00:00:00"/>
    <d v="2026-03-03T00:00:00"/>
    <n v="3597"/>
    <n v="179.85000000000002"/>
    <n v="3417.15"/>
    <n v="3"/>
    <x v="0"/>
    <s v="Feb"/>
    <x v="4"/>
    <n v="0"/>
  </r>
  <r>
    <s v="ORD-10048"/>
    <d v="2026-12-20T00:00:00"/>
    <s v="CUST-1290"/>
    <s v="Customer 1022"/>
    <x v="3"/>
    <s v="Bhubaneswar"/>
    <x v="3"/>
    <x v="3"/>
    <n v="3"/>
    <n v="1799"/>
    <n v="0.05"/>
    <s v="UPI"/>
    <x v="2"/>
    <d v="2026-12-24T00:00:00"/>
    <d v="2026-12-21T00:00:00"/>
    <n v="5397"/>
    <n v="269.85000000000002"/>
    <n v="5127.1499999999996"/>
    <n v="1"/>
    <x v="0"/>
    <s v="Dec"/>
    <x v="6"/>
    <n v="5127.1499999999996"/>
  </r>
  <r>
    <s v="ORD-10049"/>
    <d v="2026-09-17T00:00:00"/>
    <s v="CUST-1236"/>
    <s v="Customer 1079"/>
    <x v="2"/>
    <s v="Chandigarh"/>
    <x v="6"/>
    <x v="0"/>
    <n v="2"/>
    <n v="699"/>
    <n v="0"/>
    <s v="Net Banking"/>
    <x v="3"/>
    <d v="2026-09-22T00:00:00"/>
    <d v="2026-09-20T00:00:00"/>
    <n v="1398"/>
    <n v="0"/>
    <n v="1398"/>
    <n v="3"/>
    <x v="0"/>
    <s v="Sep"/>
    <x v="7"/>
    <n v="0"/>
  </r>
  <r>
    <s v="ORD-10050"/>
    <d v="2026-11-12T00:00:00"/>
    <s v="CUST-1138"/>
    <s v="Customer 1166"/>
    <x v="3"/>
    <s v="Bhubaneswar"/>
    <x v="11"/>
    <x v="1"/>
    <n v="3"/>
    <n v="3299"/>
    <n v="0.2"/>
    <s v="Net Banking"/>
    <x v="0"/>
    <d v="2026-11-17T00:00:00"/>
    <d v="2026-11-17T00:00:00"/>
    <n v="9897"/>
    <n v="1979.4"/>
    <n v="7917.6"/>
    <n v="5"/>
    <x v="0"/>
    <s v="Nov"/>
    <x v="1"/>
    <n v="0"/>
  </r>
  <r>
    <s v="ORD-10051"/>
    <d v="2026-05-05T00:00:00"/>
    <s v="CUST-1167"/>
    <s v="Customer 1094"/>
    <x v="1"/>
    <s v="Mumbai"/>
    <x v="23"/>
    <x v="0"/>
    <n v="3"/>
    <n v="2999"/>
    <n v="0.2"/>
    <s v="COD"/>
    <x v="2"/>
    <d v="2026-05-10T00:00:00"/>
    <d v="2026-05-09T00:00:00"/>
    <n v="8997"/>
    <n v="1799.4"/>
    <n v="7197.6"/>
    <n v="4"/>
    <x v="0"/>
    <s v="May"/>
    <x v="3"/>
    <n v="7197.6"/>
  </r>
  <r>
    <s v="ORD-10052"/>
    <d v="2026-06-24T00:00:00"/>
    <s v="CUST-1265"/>
    <s v="Customer 1098"/>
    <x v="3"/>
    <s v="Bhubaneswar"/>
    <x v="21"/>
    <x v="0"/>
    <n v="1"/>
    <n v="1999"/>
    <n v="0.2"/>
    <s v="Debit Card"/>
    <x v="1"/>
    <d v="2026-06-26T00:00:00"/>
    <m/>
    <n v="1999"/>
    <n v="399.8"/>
    <n v="1599.2"/>
    <s v=""/>
    <x v="1"/>
    <s v="Jun"/>
    <x v="2"/>
    <n v="0"/>
  </r>
  <r>
    <s v="ORD-10053"/>
    <d v="2026-10-12T00:00:00"/>
    <s v="CUST-1208"/>
    <s v="Customer 1125"/>
    <x v="0"/>
    <s v="Chennai"/>
    <x v="5"/>
    <x v="4"/>
    <n v="3"/>
    <n v="499"/>
    <n v="0.15"/>
    <s v="Net Banking"/>
    <x v="0"/>
    <d v="2026-10-14T00:00:00"/>
    <d v="2026-10-13T00:00:00"/>
    <n v="1497"/>
    <n v="224.54999999999998"/>
    <n v="1272.45"/>
    <n v="1"/>
    <x v="0"/>
    <s v="Oct"/>
    <x v="5"/>
    <n v="0"/>
  </r>
  <r>
    <s v="ORD-10054"/>
    <d v="2026-09-29T00:00:00"/>
    <s v="CUST-1129"/>
    <s v="Customer 1119"/>
    <x v="2"/>
    <s v="Lucknow"/>
    <x v="24"/>
    <x v="4"/>
    <n v="1"/>
    <n v="1499"/>
    <n v="0.2"/>
    <s v="Debit Card"/>
    <x v="0"/>
    <d v="2026-10-06T00:00:00"/>
    <d v="2026-10-02T00:00:00"/>
    <n v="1499"/>
    <n v="299.8"/>
    <n v="1199.2"/>
    <n v="3"/>
    <x v="0"/>
    <s v="Sep"/>
    <x v="7"/>
    <n v="0"/>
  </r>
  <r>
    <s v="ORD-10055"/>
    <d v="2026-10-02T00:00:00"/>
    <s v="CUST-1269"/>
    <s v="Customer 1145"/>
    <x v="0"/>
    <s v="Chennai"/>
    <x v="6"/>
    <x v="0"/>
    <n v="4"/>
    <n v="699"/>
    <n v="0.05"/>
    <s v="Credit Card"/>
    <x v="0"/>
    <d v="2026-10-09T00:00:00"/>
    <d v="2026-10-08T00:00:00"/>
    <n v="2796"/>
    <n v="139.80000000000001"/>
    <n v="2656.2"/>
    <n v="6"/>
    <x v="0"/>
    <s v="Oct"/>
    <x v="5"/>
    <n v="0"/>
  </r>
  <r>
    <s v="ORD-10056"/>
    <d v="2026-07-04T00:00:00"/>
    <s v="CUST-1284"/>
    <s v="Customer 1150"/>
    <x v="0"/>
    <s v="Chennai"/>
    <x v="0"/>
    <x v="0"/>
    <n v="1"/>
    <n v="1799"/>
    <n v="0"/>
    <s v="COD"/>
    <x v="0"/>
    <d v="2026-07-08T00:00:00"/>
    <d v="2026-07-05T00:00:00"/>
    <n v="1799"/>
    <n v="0"/>
    <n v="1799"/>
    <n v="1"/>
    <x v="0"/>
    <s v="Jul"/>
    <x v="11"/>
    <n v="0"/>
  </r>
  <r>
    <s v="ORD-10057"/>
    <d v="2026-10-21T00:00:00"/>
    <s v="CUST-1245"/>
    <s v="Customer 1059"/>
    <x v="1"/>
    <s v="Goa"/>
    <x v="8"/>
    <x v="3"/>
    <n v="1"/>
    <n v="799"/>
    <n v="0.15"/>
    <s v="Net Banking"/>
    <x v="0"/>
    <d v="2026-10-24T00:00:00"/>
    <d v="2026-10-27T00:00:00"/>
    <n v="799"/>
    <n v="119.85"/>
    <n v="679.15"/>
    <n v="6"/>
    <x v="2"/>
    <s v="Oct"/>
    <x v="5"/>
    <n v="0"/>
  </r>
  <r>
    <s v="ORD-10058"/>
    <d v="2026-10-23T00:00:00"/>
    <s v="CUST-1128"/>
    <s v="Customer 1061"/>
    <x v="0"/>
    <s v="Kochi"/>
    <x v="17"/>
    <x v="4"/>
    <n v="2"/>
    <n v="399"/>
    <n v="0"/>
    <s v="Credit Card"/>
    <x v="0"/>
    <d v="2026-10-29T00:00:00"/>
    <d v="2026-10-30T00:00:00"/>
    <n v="798"/>
    <n v="0"/>
    <n v="798"/>
    <n v="7"/>
    <x v="2"/>
    <s v="Oct"/>
    <x v="5"/>
    <n v="0"/>
  </r>
  <r>
    <s v="ORD-10059"/>
    <d v="2026-08-19T00:00:00"/>
    <s v="CUST-1051"/>
    <s v="Customer 1107"/>
    <x v="3"/>
    <s v="Bhubaneswar"/>
    <x v="13"/>
    <x v="1"/>
    <n v="4"/>
    <n v="2499"/>
    <n v="0.1"/>
    <s v="COD"/>
    <x v="0"/>
    <d v="2026-08-23T00:00:00"/>
    <d v="2026-08-20T00:00:00"/>
    <n v="9996"/>
    <n v="999.6"/>
    <n v="8996.4"/>
    <n v="1"/>
    <x v="0"/>
    <s v="Aug"/>
    <x v="10"/>
    <n v="0"/>
  </r>
  <r>
    <s v="ORD-10060"/>
    <d v="2026-05-03T00:00:00"/>
    <s v="CUST-1241"/>
    <s v="Customer 1150"/>
    <x v="1"/>
    <s v="Ahmedabad"/>
    <x v="4"/>
    <x v="3"/>
    <n v="1"/>
    <n v="1299"/>
    <n v="0"/>
    <s v="Credit Card"/>
    <x v="0"/>
    <d v="2026-05-08T00:00:00"/>
    <d v="2026-05-08T00:00:00"/>
    <n v="1299"/>
    <n v="0"/>
    <n v="1299"/>
    <n v="5"/>
    <x v="0"/>
    <s v="May"/>
    <x v="3"/>
    <n v="0"/>
  </r>
  <r>
    <s v="ORD-10061"/>
    <d v="2026-12-26T00:00:00"/>
    <s v="CUST-1102"/>
    <s v="Customer 1218"/>
    <x v="0"/>
    <s v="Chennai"/>
    <x v="21"/>
    <x v="0"/>
    <n v="3"/>
    <n v="1999"/>
    <n v="0"/>
    <s v="Credit Card"/>
    <x v="0"/>
    <d v="2027-01-02T00:00:00"/>
    <d v="2027-01-02T00:00:00"/>
    <n v="5997"/>
    <n v="0"/>
    <n v="5997"/>
    <n v="7"/>
    <x v="0"/>
    <s v="Dec"/>
    <x v="6"/>
    <n v="0"/>
  </r>
  <r>
    <s v="ORD-10062"/>
    <d v="2026-03-14T00:00:00"/>
    <s v="CUST-1292"/>
    <s v="Customer 1148"/>
    <x v="0"/>
    <s v="Chennai"/>
    <x v="16"/>
    <x v="2"/>
    <n v="1"/>
    <n v="899"/>
    <n v="0.05"/>
    <s v="Debit Card"/>
    <x v="1"/>
    <d v="2026-03-21T00:00:00"/>
    <m/>
    <n v="899"/>
    <n v="44.95"/>
    <n v="854.05"/>
    <s v=""/>
    <x v="1"/>
    <s v="Mar"/>
    <x v="8"/>
    <n v="0"/>
  </r>
  <r>
    <s v="ORD-10063"/>
    <d v="2026-12-25T00:00:00"/>
    <s v="CUST-1225"/>
    <s v="Customer 1042"/>
    <x v="3"/>
    <s v="Kolkata"/>
    <x v="15"/>
    <x v="4"/>
    <n v="1"/>
    <n v="749"/>
    <n v="0.1"/>
    <s v="COD"/>
    <x v="1"/>
    <d v="2026-12-30T00:00:00"/>
    <m/>
    <n v="749"/>
    <n v="74.900000000000006"/>
    <n v="674.1"/>
    <s v=""/>
    <x v="1"/>
    <s v="Dec"/>
    <x v="6"/>
    <n v="0"/>
  </r>
  <r>
    <s v="ORD-10064"/>
    <d v="2026-05-09T00:00:00"/>
    <s v="CUST-1138"/>
    <s v="Customer 1296"/>
    <x v="0"/>
    <s v="Kochi"/>
    <x v="10"/>
    <x v="0"/>
    <n v="1"/>
    <n v="1899"/>
    <n v="0.05"/>
    <s v="COD"/>
    <x v="1"/>
    <d v="2026-05-11T00:00:00"/>
    <m/>
    <n v="1899"/>
    <n v="94.95"/>
    <n v="1804.05"/>
    <s v=""/>
    <x v="1"/>
    <s v="May"/>
    <x v="3"/>
    <n v="0"/>
  </r>
  <r>
    <s v="ORD-10065"/>
    <d v="2026-11-30T00:00:00"/>
    <s v="CUST-1252"/>
    <s v="Customer 1047"/>
    <x v="0"/>
    <s v="Chennai"/>
    <x v="24"/>
    <x v="4"/>
    <n v="1"/>
    <n v="1499"/>
    <n v="0.1"/>
    <s v="Credit Card"/>
    <x v="1"/>
    <d v="2026-12-05T00:00:00"/>
    <m/>
    <n v="1499"/>
    <n v="149.9"/>
    <n v="1349.1"/>
    <s v=""/>
    <x v="1"/>
    <s v="Nov"/>
    <x v="1"/>
    <n v="0"/>
  </r>
  <r>
    <s v="ORD-10066"/>
    <d v="2026-06-14T00:00:00"/>
    <s v="CUST-1206"/>
    <s v="Customer 1282"/>
    <x v="3"/>
    <s v="Patna"/>
    <x v="15"/>
    <x v="4"/>
    <n v="2"/>
    <n v="749"/>
    <n v="0.05"/>
    <s v="Debit Card"/>
    <x v="0"/>
    <d v="2026-06-21T00:00:00"/>
    <d v="2026-06-20T00:00:00"/>
    <n v="1498"/>
    <n v="74.900000000000006"/>
    <n v="1423.1"/>
    <n v="6"/>
    <x v="0"/>
    <s v="Jun"/>
    <x v="2"/>
    <n v="0"/>
  </r>
  <r>
    <s v="ORD-10067"/>
    <d v="2026-05-10T00:00:00"/>
    <s v="CUST-1212"/>
    <s v="Customer 1028"/>
    <x v="0"/>
    <s v="Kochi"/>
    <x v="18"/>
    <x v="3"/>
    <n v="1"/>
    <n v="1999"/>
    <n v="0.15"/>
    <s v="COD"/>
    <x v="3"/>
    <d v="2026-05-12T00:00:00"/>
    <d v="2026-05-12T00:00:00"/>
    <n v="1999"/>
    <n v="299.84999999999997"/>
    <n v="1699.15"/>
    <n v="2"/>
    <x v="0"/>
    <s v="May"/>
    <x v="3"/>
    <n v="0"/>
  </r>
  <r>
    <s v="ORD-10068"/>
    <d v="2026-11-17T00:00:00"/>
    <s v="CUST-1225"/>
    <s v="Customer 1249"/>
    <x v="1"/>
    <s v="Ahmedabad"/>
    <x v="13"/>
    <x v="1"/>
    <n v="1"/>
    <n v="2499"/>
    <n v="0"/>
    <s v="Credit Card"/>
    <x v="0"/>
    <d v="2026-11-23T00:00:00"/>
    <d v="2026-11-20T00:00:00"/>
    <n v="2499"/>
    <n v="0"/>
    <n v="2499"/>
    <n v="3"/>
    <x v="0"/>
    <s v="Nov"/>
    <x v="1"/>
    <n v="0"/>
  </r>
  <r>
    <s v="ORD-10069"/>
    <d v="2026-12-30T00:00:00"/>
    <s v="CUST-1048"/>
    <s v="Customer 1116"/>
    <x v="0"/>
    <s v="Bengaluru"/>
    <x v="1"/>
    <x v="1"/>
    <n v="1"/>
    <n v="599"/>
    <n v="0.2"/>
    <s v="UPI"/>
    <x v="1"/>
    <d v="2027-01-04T00:00:00"/>
    <m/>
    <n v="599"/>
    <n v="119.80000000000001"/>
    <n v="479.2"/>
    <s v=""/>
    <x v="1"/>
    <s v="Dec"/>
    <x v="6"/>
    <n v="0"/>
  </r>
  <r>
    <s v="ORD-10070"/>
    <d v="2026-09-13T00:00:00"/>
    <s v="CUST-1242"/>
    <s v="Customer 1125"/>
    <x v="0"/>
    <s v="Kochi"/>
    <x v="4"/>
    <x v="3"/>
    <n v="4"/>
    <n v="1299"/>
    <n v="0.1"/>
    <s v="COD"/>
    <x v="2"/>
    <d v="2026-09-17T00:00:00"/>
    <d v="2026-09-17T00:00:00"/>
    <n v="5196"/>
    <n v="519.6"/>
    <n v="4676.3999999999996"/>
    <n v="4"/>
    <x v="0"/>
    <s v="Sep"/>
    <x v="7"/>
    <n v="4676.3999999999996"/>
  </r>
  <r>
    <s v="ORD-10071"/>
    <d v="2026-11-03T00:00:00"/>
    <s v="CUST-1137"/>
    <s v="Customer 1002"/>
    <x v="3"/>
    <s v="Bhubaneswar"/>
    <x v="20"/>
    <x v="4"/>
    <n v="2"/>
    <n v="599"/>
    <n v="0.05"/>
    <s v="UPI"/>
    <x v="0"/>
    <d v="2026-11-08T00:00:00"/>
    <d v="2026-11-08T00:00:00"/>
    <n v="1198"/>
    <n v="59.900000000000006"/>
    <n v="1138.0999999999999"/>
    <n v="5"/>
    <x v="0"/>
    <s v="Nov"/>
    <x v="1"/>
    <n v="0"/>
  </r>
  <r>
    <s v="ORD-10072"/>
    <d v="2026-12-04T00:00:00"/>
    <s v="CUST-1177"/>
    <s v="Customer 1171"/>
    <x v="2"/>
    <s v="Lucknow"/>
    <x v="22"/>
    <x v="1"/>
    <n v="2"/>
    <n v="1199"/>
    <n v="0.05"/>
    <s v="Net Banking"/>
    <x v="1"/>
    <d v="2026-12-09T00:00:00"/>
    <m/>
    <n v="2398"/>
    <n v="119.9"/>
    <n v="2278.1"/>
    <s v=""/>
    <x v="1"/>
    <s v="Dec"/>
    <x v="6"/>
    <n v="0"/>
  </r>
  <r>
    <s v="ORD-10073"/>
    <d v="2026-12-24T00:00:00"/>
    <s v="CUST-1196"/>
    <s v="Customer 1198"/>
    <x v="3"/>
    <s v="Guwahati"/>
    <x v="0"/>
    <x v="0"/>
    <n v="1"/>
    <n v="1799"/>
    <n v="0.15"/>
    <s v="Credit Card"/>
    <x v="3"/>
    <d v="2026-12-29T00:00:00"/>
    <d v="2026-12-28T00:00:00"/>
    <n v="1799"/>
    <n v="269.84999999999997"/>
    <n v="1529.15"/>
    <n v="4"/>
    <x v="0"/>
    <s v="Dec"/>
    <x v="6"/>
    <n v="0"/>
  </r>
  <r>
    <s v="ORD-10074"/>
    <d v="2026-09-15T00:00:00"/>
    <s v="CUST-1008"/>
    <s v="Customer 1074"/>
    <x v="1"/>
    <s v="Goa"/>
    <x v="4"/>
    <x v="3"/>
    <n v="4"/>
    <n v="1299"/>
    <n v="0.1"/>
    <s v="UPI"/>
    <x v="3"/>
    <d v="2026-09-20T00:00:00"/>
    <d v="2026-09-19T00:00:00"/>
    <n v="5196"/>
    <n v="519.6"/>
    <n v="4676.3999999999996"/>
    <n v="4"/>
    <x v="0"/>
    <s v="Sep"/>
    <x v="7"/>
    <n v="0"/>
  </r>
  <r>
    <s v="ORD-10075"/>
    <d v="2026-05-16T00:00:00"/>
    <s v="CUST-1163"/>
    <s v="Customer 1250"/>
    <x v="3"/>
    <s v="Bhubaneswar"/>
    <x v="19"/>
    <x v="3"/>
    <n v="1"/>
    <n v="1499"/>
    <n v="0.15"/>
    <s v="UPI"/>
    <x v="3"/>
    <d v="2026-05-20T00:00:00"/>
    <d v="2026-05-20T00:00:00"/>
    <n v="1499"/>
    <n v="224.85"/>
    <n v="1274.1500000000001"/>
    <n v="4"/>
    <x v="0"/>
    <s v="May"/>
    <x v="3"/>
    <n v="0"/>
  </r>
  <r>
    <s v="ORD-10076"/>
    <d v="2026-04-27T00:00:00"/>
    <s v="CUST-1228"/>
    <s v="Customer 1086"/>
    <x v="0"/>
    <s v="Bengaluru"/>
    <x v="16"/>
    <x v="2"/>
    <n v="2"/>
    <n v="899"/>
    <n v="0.15"/>
    <s v="UPI"/>
    <x v="3"/>
    <d v="2026-05-04T00:00:00"/>
    <d v="2026-04-28T00:00:00"/>
    <n v="1798"/>
    <n v="269.7"/>
    <n v="1528.3"/>
    <n v="1"/>
    <x v="0"/>
    <s v="Apr"/>
    <x v="0"/>
    <n v="0"/>
  </r>
  <r>
    <s v="ORD-10077"/>
    <d v="2026-01-29T00:00:00"/>
    <s v="CUST-1093"/>
    <s v="Customer 1088"/>
    <x v="2"/>
    <s v="Delhi"/>
    <x v="18"/>
    <x v="3"/>
    <n v="1"/>
    <n v="1999"/>
    <n v="0.1"/>
    <s v="Net Banking"/>
    <x v="0"/>
    <d v="2026-02-01T00:00:00"/>
    <d v="2026-02-01T00:00:00"/>
    <n v="1999"/>
    <n v="199.9"/>
    <n v="1799.1"/>
    <n v="3"/>
    <x v="0"/>
    <s v="Jan"/>
    <x v="9"/>
    <n v="0"/>
  </r>
  <r>
    <s v="ORD-10078"/>
    <d v="2026-11-14T00:00:00"/>
    <s v="CUST-1236"/>
    <s v="Customer 1131"/>
    <x v="1"/>
    <s v="Mumbai"/>
    <x v="13"/>
    <x v="1"/>
    <n v="2"/>
    <n v="2499"/>
    <n v="0.15"/>
    <s v="COD"/>
    <x v="0"/>
    <d v="2026-11-17T00:00:00"/>
    <d v="2026-11-16T00:00:00"/>
    <n v="4998"/>
    <n v="749.69999999999993"/>
    <n v="4248.3"/>
    <n v="2"/>
    <x v="0"/>
    <s v="Nov"/>
    <x v="1"/>
    <n v="0"/>
  </r>
  <r>
    <s v="ORD-10079"/>
    <d v="2026-03-22T00:00:00"/>
    <s v="CUST-1234"/>
    <s v="Customer 1155"/>
    <x v="0"/>
    <s v="Kochi"/>
    <x v="10"/>
    <x v="0"/>
    <n v="1"/>
    <n v="1899"/>
    <n v="0.1"/>
    <s v="COD"/>
    <x v="0"/>
    <d v="2026-03-29T00:00:00"/>
    <d v="2026-04-01T00:00:00"/>
    <n v="1899"/>
    <n v="189.9"/>
    <n v="1709.1"/>
    <n v="10"/>
    <x v="2"/>
    <s v="Mar"/>
    <x v="8"/>
    <n v="0"/>
  </r>
  <r>
    <s v="ORD-10080"/>
    <d v="2026-05-02T00:00:00"/>
    <s v="CUST-1203"/>
    <s v="Customer 1141"/>
    <x v="1"/>
    <s v="Goa"/>
    <x v="17"/>
    <x v="4"/>
    <n v="1"/>
    <n v="399"/>
    <n v="0.1"/>
    <s v="COD"/>
    <x v="0"/>
    <d v="2026-05-09T00:00:00"/>
    <d v="2026-05-09T00:00:00"/>
    <n v="399"/>
    <n v="39.900000000000006"/>
    <n v="359.1"/>
    <n v="7"/>
    <x v="0"/>
    <s v="May"/>
    <x v="3"/>
    <n v="0"/>
  </r>
  <r>
    <s v="ORD-10081"/>
    <d v="2026-05-27T00:00:00"/>
    <s v="CUST-1129"/>
    <s v="Customer 1071"/>
    <x v="0"/>
    <s v="Bengaluru"/>
    <x v="13"/>
    <x v="1"/>
    <n v="3"/>
    <n v="2499"/>
    <n v="0.05"/>
    <s v="COD"/>
    <x v="3"/>
    <d v="2026-05-31T00:00:00"/>
    <d v="2026-05-29T00:00:00"/>
    <n v="7497"/>
    <n v="374.85"/>
    <n v="7122.15"/>
    <n v="2"/>
    <x v="0"/>
    <s v="May"/>
    <x v="3"/>
    <n v="0"/>
  </r>
  <r>
    <s v="ORD-10082"/>
    <d v="2026-01-18T00:00:00"/>
    <s v="CUST-1103"/>
    <s v="Customer 1068"/>
    <x v="0"/>
    <s v="Bengaluru"/>
    <x v="23"/>
    <x v="0"/>
    <n v="2"/>
    <n v="2999"/>
    <n v="0.05"/>
    <s v="UPI"/>
    <x v="0"/>
    <d v="2026-01-22T00:00:00"/>
    <d v="2026-01-20T00:00:00"/>
    <n v="5998"/>
    <n v="299.90000000000003"/>
    <n v="5698.1"/>
    <n v="2"/>
    <x v="0"/>
    <s v="Jan"/>
    <x v="9"/>
    <n v="0"/>
  </r>
  <r>
    <s v="ORD-10083"/>
    <d v="2026-09-04T00:00:00"/>
    <s v="CUST-1073"/>
    <s v="Customer 1116"/>
    <x v="2"/>
    <s v="Lucknow"/>
    <x v="16"/>
    <x v="2"/>
    <n v="4"/>
    <n v="899"/>
    <n v="0.1"/>
    <s v="Debit Card"/>
    <x v="3"/>
    <d v="2026-09-06T00:00:00"/>
    <d v="2026-09-05T00:00:00"/>
    <n v="3596"/>
    <n v="359.6"/>
    <n v="3236.4"/>
    <n v="1"/>
    <x v="0"/>
    <s v="Sep"/>
    <x v="7"/>
    <n v="0"/>
  </r>
  <r>
    <s v="ORD-10084"/>
    <d v="2026-01-08T00:00:00"/>
    <s v="CUST-1300"/>
    <s v="Customer 1196"/>
    <x v="3"/>
    <s v="Patna"/>
    <x v="19"/>
    <x v="3"/>
    <n v="1"/>
    <n v="1499"/>
    <n v="0"/>
    <s v="Net Banking"/>
    <x v="0"/>
    <d v="2026-01-15T00:00:00"/>
    <d v="2026-01-11T00:00:00"/>
    <n v="1499"/>
    <n v="0"/>
    <n v="1499"/>
    <n v="3"/>
    <x v="0"/>
    <s v="Jan"/>
    <x v="9"/>
    <n v="0"/>
  </r>
  <r>
    <s v="ORD-10085"/>
    <d v="2026-01-13T00:00:00"/>
    <s v="CUST-1033"/>
    <s v="Customer 1238"/>
    <x v="2"/>
    <s v="Delhi"/>
    <x v="12"/>
    <x v="2"/>
    <n v="2"/>
    <n v="1599"/>
    <n v="0.2"/>
    <s v="Debit Card"/>
    <x v="1"/>
    <d v="2026-01-16T00:00:00"/>
    <m/>
    <n v="3198"/>
    <n v="639.6"/>
    <n v="2558.4"/>
    <s v=""/>
    <x v="1"/>
    <s v="Jan"/>
    <x v="9"/>
    <n v="0"/>
  </r>
  <r>
    <s v="ORD-10086"/>
    <d v="2026-01-24T00:00:00"/>
    <s v="CUST-1199"/>
    <s v="Customer 1233"/>
    <x v="2"/>
    <s v="Chandigarh"/>
    <x v="4"/>
    <x v="3"/>
    <n v="4"/>
    <n v="1299"/>
    <n v="0.1"/>
    <s v="Net Banking"/>
    <x v="0"/>
    <d v="2026-01-26T00:00:00"/>
    <d v="2026-01-25T00:00:00"/>
    <n v="5196"/>
    <n v="519.6"/>
    <n v="4676.3999999999996"/>
    <n v="1"/>
    <x v="0"/>
    <s v="Jan"/>
    <x v="9"/>
    <n v="0"/>
  </r>
  <r>
    <s v="ORD-10087"/>
    <d v="2026-08-01T00:00:00"/>
    <s v="CUST-1112"/>
    <s v="Customer 1228"/>
    <x v="2"/>
    <s v="Chandigarh"/>
    <x v="1"/>
    <x v="1"/>
    <n v="2"/>
    <n v="599"/>
    <n v="0.15"/>
    <s v="COD"/>
    <x v="0"/>
    <d v="2026-08-05T00:00:00"/>
    <d v="2026-08-04T00:00:00"/>
    <n v="1198"/>
    <n v="179.7"/>
    <n v="1018.3"/>
    <n v="3"/>
    <x v="0"/>
    <s v="Aug"/>
    <x v="10"/>
    <n v="0"/>
  </r>
  <r>
    <s v="ORD-10088"/>
    <d v="2026-12-18T00:00:00"/>
    <s v="CUST-1233"/>
    <s v="Customer 1047"/>
    <x v="3"/>
    <s v="Bhubaneswar"/>
    <x v="6"/>
    <x v="0"/>
    <n v="1"/>
    <n v="699"/>
    <n v="0.1"/>
    <s v="UPI"/>
    <x v="0"/>
    <d v="2026-12-22T00:00:00"/>
    <d v="2026-12-19T00:00:00"/>
    <n v="699"/>
    <n v="69.900000000000006"/>
    <n v="629.1"/>
    <n v="1"/>
    <x v="0"/>
    <s v="Dec"/>
    <x v="6"/>
    <n v="0"/>
  </r>
  <r>
    <s v="ORD-10089"/>
    <d v="2026-05-05T00:00:00"/>
    <s v="CUST-1120"/>
    <s v="Customer 1169"/>
    <x v="1"/>
    <s v="Mumbai"/>
    <x v="18"/>
    <x v="3"/>
    <n v="5"/>
    <n v="1999"/>
    <n v="0.2"/>
    <s v="Credit Card"/>
    <x v="0"/>
    <d v="2026-05-11T00:00:00"/>
    <d v="2026-05-07T00:00:00"/>
    <n v="9995"/>
    <n v="1999"/>
    <n v="7996"/>
    <n v="2"/>
    <x v="0"/>
    <s v="May"/>
    <x v="3"/>
    <n v="0"/>
  </r>
  <r>
    <s v="ORD-10090"/>
    <d v="2026-03-08T00:00:00"/>
    <s v="CUST-1122"/>
    <s v="Customer 1166"/>
    <x v="1"/>
    <s v="Mumbai"/>
    <x v="0"/>
    <x v="0"/>
    <n v="2"/>
    <n v="1799"/>
    <n v="0.05"/>
    <s v="UPI"/>
    <x v="2"/>
    <d v="2026-03-10T00:00:00"/>
    <d v="2026-03-10T00:00:00"/>
    <n v="3598"/>
    <n v="179.9"/>
    <n v="3418.1"/>
    <n v="2"/>
    <x v="0"/>
    <s v="Mar"/>
    <x v="8"/>
    <n v="3418.1"/>
  </r>
  <r>
    <s v="ORD-10091"/>
    <d v="2026-03-06T00:00:00"/>
    <s v="CUST-1263"/>
    <s v="Customer 1056"/>
    <x v="0"/>
    <s v="Chennai"/>
    <x v="6"/>
    <x v="0"/>
    <n v="2"/>
    <n v="699"/>
    <n v="0.2"/>
    <s v="UPI"/>
    <x v="2"/>
    <d v="2026-03-08T00:00:00"/>
    <d v="2026-03-08T00:00:00"/>
    <n v="1398"/>
    <n v="279.60000000000002"/>
    <n v="1118.4000000000001"/>
    <n v="2"/>
    <x v="0"/>
    <s v="Mar"/>
    <x v="8"/>
    <n v="1118.4000000000001"/>
  </r>
  <r>
    <s v="ORD-10092"/>
    <d v="2026-12-04T00:00:00"/>
    <s v="CUST-1056"/>
    <s v="Customer 1252"/>
    <x v="3"/>
    <s v="Bhubaneswar"/>
    <x v="9"/>
    <x v="1"/>
    <n v="2"/>
    <n v="899"/>
    <n v="0.15"/>
    <s v="UPI"/>
    <x v="0"/>
    <d v="2026-12-09T00:00:00"/>
    <d v="2026-12-08T00:00:00"/>
    <n v="1798"/>
    <n v="269.7"/>
    <n v="1528.3"/>
    <n v="4"/>
    <x v="0"/>
    <s v="Dec"/>
    <x v="6"/>
    <n v="0"/>
  </r>
  <r>
    <s v="ORD-10093"/>
    <d v="2026-11-08T00:00:00"/>
    <s v="CUST-1300"/>
    <s v="Customer 1281"/>
    <x v="3"/>
    <s v="Kolkata"/>
    <x v="18"/>
    <x v="3"/>
    <n v="1"/>
    <n v="1999"/>
    <n v="0.05"/>
    <s v="Debit Card"/>
    <x v="1"/>
    <d v="2026-11-15T00:00:00"/>
    <m/>
    <n v="1999"/>
    <n v="99.95"/>
    <n v="1899.05"/>
    <s v=""/>
    <x v="1"/>
    <s v="Nov"/>
    <x v="1"/>
    <n v="0"/>
  </r>
  <r>
    <s v="ORD-10094"/>
    <d v="2026-05-31T00:00:00"/>
    <s v="CUST-1283"/>
    <s v="Customer 1111"/>
    <x v="2"/>
    <s v="Chandigarh"/>
    <x v="22"/>
    <x v="1"/>
    <n v="2"/>
    <n v="1199"/>
    <n v="0.2"/>
    <s v="Net Banking"/>
    <x v="0"/>
    <d v="2026-06-07T00:00:00"/>
    <d v="2026-06-06T00:00:00"/>
    <n v="2398"/>
    <n v="479.6"/>
    <n v="1918.4"/>
    <n v="6"/>
    <x v="0"/>
    <s v="May"/>
    <x v="3"/>
    <n v="0"/>
  </r>
  <r>
    <s v="ORD-10095"/>
    <d v="2026-06-23T00:00:00"/>
    <s v="CUST-1131"/>
    <s v="Customer 1192"/>
    <x v="3"/>
    <s v="Guwahati"/>
    <x v="12"/>
    <x v="2"/>
    <n v="3"/>
    <n v="1599"/>
    <n v="0.15"/>
    <s v="Net Banking"/>
    <x v="2"/>
    <d v="2026-06-25T00:00:00"/>
    <d v="2026-06-25T00:00:00"/>
    <n v="4797"/>
    <n v="719.55"/>
    <n v="4077.45"/>
    <n v="2"/>
    <x v="0"/>
    <s v="Jun"/>
    <x v="2"/>
    <n v="4077.45"/>
  </r>
  <r>
    <s v="ORD-10096"/>
    <d v="2026-02-13T00:00:00"/>
    <s v="CUST-1288"/>
    <s v="Customer 1288"/>
    <x v="1"/>
    <s v="Goa"/>
    <x v="8"/>
    <x v="3"/>
    <n v="1"/>
    <n v="799"/>
    <n v="0"/>
    <s v="Debit Card"/>
    <x v="3"/>
    <d v="2026-02-16T00:00:00"/>
    <d v="2026-02-16T00:00:00"/>
    <n v="799"/>
    <n v="0"/>
    <n v="799"/>
    <n v="3"/>
    <x v="0"/>
    <s v="Feb"/>
    <x v="4"/>
    <n v="0"/>
  </r>
  <r>
    <s v="ORD-10097"/>
    <d v="2026-12-07T00:00:00"/>
    <s v="CUST-1296"/>
    <s v="Customer 1260"/>
    <x v="2"/>
    <s v="Delhi"/>
    <x v="15"/>
    <x v="4"/>
    <n v="4"/>
    <n v="749"/>
    <n v="0.15"/>
    <s v="UPI"/>
    <x v="0"/>
    <d v="2026-12-13T00:00:00"/>
    <d v="2026-12-08T00:00:00"/>
    <n v="2996"/>
    <n v="449.4"/>
    <n v="2546.6"/>
    <n v="1"/>
    <x v="0"/>
    <s v="Dec"/>
    <x v="6"/>
    <n v="0"/>
  </r>
  <r>
    <s v="ORD-10098"/>
    <d v="2026-02-25T00:00:00"/>
    <s v="CUST-1288"/>
    <s v="Customer 1286"/>
    <x v="1"/>
    <s v="Pune"/>
    <x v="20"/>
    <x v="4"/>
    <n v="1"/>
    <n v="599"/>
    <n v="0.2"/>
    <s v="Debit Card"/>
    <x v="0"/>
    <d v="2026-03-01T00:00:00"/>
    <d v="2026-03-01T00:00:00"/>
    <n v="599"/>
    <n v="119.80000000000001"/>
    <n v="479.2"/>
    <n v="4"/>
    <x v="0"/>
    <s v="Feb"/>
    <x v="4"/>
    <n v="0"/>
  </r>
  <r>
    <s v="ORD-10099"/>
    <d v="2026-05-20T00:00:00"/>
    <s v="CUST-1290"/>
    <s v="Customer 1206"/>
    <x v="0"/>
    <s v="Hyderabad"/>
    <x v="4"/>
    <x v="3"/>
    <n v="2"/>
    <n v="1299"/>
    <n v="0.1"/>
    <s v="Debit Card"/>
    <x v="0"/>
    <d v="2026-05-22T00:00:00"/>
    <d v="2026-05-21T00:00:00"/>
    <n v="2598"/>
    <n v="259.8"/>
    <n v="2338.1999999999998"/>
    <n v="1"/>
    <x v="0"/>
    <s v="May"/>
    <x v="3"/>
    <n v="0"/>
  </r>
  <r>
    <s v="ORD-10100"/>
    <d v="2026-09-29T00:00:00"/>
    <s v="CUST-1167"/>
    <s v="Customer 1291"/>
    <x v="0"/>
    <s v="Chennai"/>
    <x v="8"/>
    <x v="3"/>
    <n v="1"/>
    <n v="799"/>
    <n v="0.15"/>
    <s v="Net Banking"/>
    <x v="0"/>
    <d v="2026-10-02T00:00:00"/>
    <d v="2026-10-02T00:00:00"/>
    <n v="799"/>
    <n v="119.85"/>
    <n v="679.15"/>
    <n v="3"/>
    <x v="0"/>
    <s v="Sep"/>
    <x v="7"/>
    <n v="0"/>
  </r>
  <r>
    <s v="ORD-10101"/>
    <d v="2026-11-13T00:00:00"/>
    <s v="CUST-1227"/>
    <s v="Customer 1213"/>
    <x v="0"/>
    <s v="Bengaluru"/>
    <x v="2"/>
    <x v="2"/>
    <n v="1"/>
    <n v="699"/>
    <n v="0"/>
    <s v="Debit Card"/>
    <x v="0"/>
    <d v="2026-11-20T00:00:00"/>
    <d v="2026-11-18T00:00:00"/>
    <n v="699"/>
    <n v="0"/>
    <n v="699"/>
    <n v="5"/>
    <x v="0"/>
    <s v="Nov"/>
    <x v="1"/>
    <n v="0"/>
  </r>
  <r>
    <s v="ORD-10102"/>
    <d v="2026-06-26T00:00:00"/>
    <s v="CUST-1113"/>
    <s v="Customer 1203"/>
    <x v="2"/>
    <s v="Jaipur"/>
    <x v="9"/>
    <x v="1"/>
    <n v="1"/>
    <n v="899"/>
    <n v="0.1"/>
    <s v="COD"/>
    <x v="0"/>
    <d v="2026-07-02T00:00:00"/>
    <d v="2026-06-27T00:00:00"/>
    <n v="899"/>
    <n v="89.9"/>
    <n v="809.1"/>
    <n v="1"/>
    <x v="0"/>
    <s v="Jun"/>
    <x v="2"/>
    <n v="0"/>
  </r>
  <r>
    <s v="ORD-10103"/>
    <d v="2026-04-19T00:00:00"/>
    <s v="CUST-1090"/>
    <s v="Customer 1067"/>
    <x v="0"/>
    <s v="Bengaluru"/>
    <x v="16"/>
    <x v="2"/>
    <n v="3"/>
    <n v="899"/>
    <n v="0.1"/>
    <s v="Debit Card"/>
    <x v="0"/>
    <d v="2026-04-21T00:00:00"/>
    <d v="2026-04-21T00:00:00"/>
    <n v="2697"/>
    <n v="269.7"/>
    <n v="2427.3000000000002"/>
    <n v="2"/>
    <x v="0"/>
    <s v="Apr"/>
    <x v="0"/>
    <n v="0"/>
  </r>
  <r>
    <s v="ORD-10104"/>
    <d v="2026-12-09T00:00:00"/>
    <s v="CUST-1236"/>
    <s v="Customer 1040"/>
    <x v="3"/>
    <s v="Bhubaneswar"/>
    <x v="22"/>
    <x v="1"/>
    <n v="3"/>
    <n v="1199"/>
    <n v="0"/>
    <s v="Net Banking"/>
    <x v="3"/>
    <d v="2026-12-16T00:00:00"/>
    <d v="2026-12-10T00:00:00"/>
    <n v="3597"/>
    <n v="0"/>
    <n v="3597"/>
    <n v="1"/>
    <x v="0"/>
    <s v="Dec"/>
    <x v="6"/>
    <n v="0"/>
  </r>
  <r>
    <s v="ORD-10105"/>
    <d v="2026-12-30T00:00:00"/>
    <s v="CUST-1236"/>
    <s v="Customer 1186"/>
    <x v="2"/>
    <s v="Chandigarh"/>
    <x v="13"/>
    <x v="1"/>
    <n v="2"/>
    <n v="2499"/>
    <n v="0.1"/>
    <s v="UPI"/>
    <x v="0"/>
    <d v="2027-01-01T00:00:00"/>
    <d v="2027-01-03T00:00:00"/>
    <n v="4998"/>
    <n v="499.8"/>
    <n v="4498.2"/>
    <n v="4"/>
    <x v="2"/>
    <s v="Dec"/>
    <x v="6"/>
    <n v="0"/>
  </r>
  <r>
    <s v="ORD-10106"/>
    <d v="2026-08-12T00:00:00"/>
    <s v="CUST-1171"/>
    <s v="Customer 1087"/>
    <x v="0"/>
    <s v="Kochi"/>
    <x v="4"/>
    <x v="3"/>
    <n v="2"/>
    <n v="1299"/>
    <n v="0.2"/>
    <s v="UPI"/>
    <x v="0"/>
    <d v="2026-08-16T00:00:00"/>
    <d v="2026-08-14T00:00:00"/>
    <n v="2598"/>
    <n v="519.6"/>
    <n v="2078.4"/>
    <n v="2"/>
    <x v="0"/>
    <s v="Aug"/>
    <x v="10"/>
    <n v="0"/>
  </r>
  <r>
    <s v="ORD-10107"/>
    <d v="2026-04-10T00:00:00"/>
    <s v="CUST-1053"/>
    <s v="Customer 1075"/>
    <x v="0"/>
    <s v="Bengaluru"/>
    <x v="22"/>
    <x v="1"/>
    <n v="4"/>
    <n v="1199"/>
    <n v="0.1"/>
    <s v="Debit Card"/>
    <x v="2"/>
    <d v="2026-04-17T00:00:00"/>
    <d v="2026-04-12T00:00:00"/>
    <n v="4796"/>
    <n v="479.6"/>
    <n v="4316.3999999999996"/>
    <n v="2"/>
    <x v="0"/>
    <s v="Apr"/>
    <x v="0"/>
    <n v="4316.3999999999996"/>
  </r>
  <r>
    <s v="ORD-10108"/>
    <d v="2026-03-20T00:00:00"/>
    <s v="CUST-1289"/>
    <s v="Customer 1297"/>
    <x v="2"/>
    <s v="Jaipur"/>
    <x v="7"/>
    <x v="2"/>
    <n v="3"/>
    <n v="3499"/>
    <n v="0"/>
    <s v="Credit Card"/>
    <x v="3"/>
    <d v="2026-03-27T00:00:00"/>
    <d v="2026-03-27T00:00:00"/>
    <n v="10497"/>
    <n v="0"/>
    <n v="10497"/>
    <n v="7"/>
    <x v="0"/>
    <s v="Mar"/>
    <x v="8"/>
    <n v="0"/>
  </r>
  <r>
    <s v="ORD-10109"/>
    <d v="2026-08-14T00:00:00"/>
    <s v="CUST-1260"/>
    <s v="Customer 1038"/>
    <x v="3"/>
    <s v="Patna"/>
    <x v="0"/>
    <x v="0"/>
    <n v="1"/>
    <n v="1799"/>
    <n v="0.15"/>
    <s v="Debit Card"/>
    <x v="3"/>
    <d v="2026-08-18T00:00:00"/>
    <d v="2026-08-17T00:00:00"/>
    <n v="1799"/>
    <n v="269.84999999999997"/>
    <n v="1529.15"/>
    <n v="3"/>
    <x v="0"/>
    <s v="Aug"/>
    <x v="10"/>
    <n v="0"/>
  </r>
  <r>
    <s v="ORD-10110"/>
    <d v="2026-01-30T00:00:00"/>
    <s v="CUST-1237"/>
    <s v="Customer 1298"/>
    <x v="2"/>
    <s v="Chandigarh"/>
    <x v="17"/>
    <x v="4"/>
    <n v="1"/>
    <n v="399"/>
    <n v="0.1"/>
    <s v="UPI"/>
    <x v="2"/>
    <d v="2026-02-01T00:00:00"/>
    <d v="2026-02-01T00:00:00"/>
    <n v="399"/>
    <n v="39.900000000000006"/>
    <n v="359.1"/>
    <n v="2"/>
    <x v="0"/>
    <s v="Jan"/>
    <x v="9"/>
    <n v="359.1"/>
  </r>
  <r>
    <s v="ORD-10111"/>
    <d v="2026-06-14T00:00:00"/>
    <s v="CUST-1044"/>
    <s v="Customer 1259"/>
    <x v="0"/>
    <s v="Kochi"/>
    <x v="1"/>
    <x v="1"/>
    <n v="2"/>
    <n v="599"/>
    <n v="0.2"/>
    <s v="Credit Card"/>
    <x v="0"/>
    <d v="2026-06-19T00:00:00"/>
    <d v="2026-06-17T00:00:00"/>
    <n v="1198"/>
    <n v="239.60000000000002"/>
    <n v="958.4"/>
    <n v="3"/>
    <x v="0"/>
    <s v="Jun"/>
    <x v="2"/>
    <n v="0"/>
  </r>
  <r>
    <s v="ORD-10112"/>
    <d v="2026-08-13T00:00:00"/>
    <s v="CUST-1210"/>
    <s v="Customer 1174"/>
    <x v="1"/>
    <s v="Mumbai"/>
    <x v="12"/>
    <x v="2"/>
    <n v="2"/>
    <n v="1599"/>
    <n v="0.2"/>
    <s v="Credit Card"/>
    <x v="0"/>
    <d v="2026-08-17T00:00:00"/>
    <d v="2026-08-21T00:00:00"/>
    <n v="3198"/>
    <n v="639.6"/>
    <n v="2558.4"/>
    <n v="8"/>
    <x v="2"/>
    <s v="Aug"/>
    <x v="10"/>
    <n v="0"/>
  </r>
  <r>
    <s v="ORD-10113"/>
    <d v="2026-02-18T00:00:00"/>
    <s v="CUST-1077"/>
    <s v="Customer 1171"/>
    <x v="0"/>
    <s v="Hyderabad"/>
    <x v="18"/>
    <x v="3"/>
    <n v="2"/>
    <n v="1999"/>
    <n v="0.15"/>
    <s v="Debit Card"/>
    <x v="0"/>
    <d v="2026-02-25T00:00:00"/>
    <d v="2026-02-23T00:00:00"/>
    <n v="3998"/>
    <n v="599.69999999999993"/>
    <n v="3398.3"/>
    <n v="5"/>
    <x v="0"/>
    <s v="Feb"/>
    <x v="4"/>
    <n v="0"/>
  </r>
  <r>
    <s v="ORD-10114"/>
    <d v="2026-12-02T00:00:00"/>
    <s v="CUST-1044"/>
    <s v="Customer 1159"/>
    <x v="0"/>
    <s v="Chennai"/>
    <x v="21"/>
    <x v="0"/>
    <n v="2"/>
    <n v="1999"/>
    <n v="0.15"/>
    <s v="Credit Card"/>
    <x v="1"/>
    <d v="2026-12-09T00:00:00"/>
    <m/>
    <n v="3998"/>
    <n v="599.69999999999993"/>
    <n v="3398.3"/>
    <s v=""/>
    <x v="1"/>
    <s v="Dec"/>
    <x v="6"/>
    <n v="0"/>
  </r>
  <r>
    <s v="ORD-10115"/>
    <d v="2026-02-17T00:00:00"/>
    <s v="CUST-1110"/>
    <s v="Customer 1175"/>
    <x v="3"/>
    <s v="Patna"/>
    <x v="7"/>
    <x v="2"/>
    <n v="2"/>
    <n v="3499"/>
    <n v="0.15"/>
    <s v="COD"/>
    <x v="0"/>
    <d v="2026-02-19T00:00:00"/>
    <d v="2026-02-18T00:00:00"/>
    <n v="6998"/>
    <n v="1049.7"/>
    <n v="5948.3"/>
    <n v="1"/>
    <x v="0"/>
    <s v="Feb"/>
    <x v="4"/>
    <n v="0"/>
  </r>
  <r>
    <s v="ORD-10116"/>
    <d v="2026-03-21T00:00:00"/>
    <s v="CUST-1020"/>
    <s v="Customer 1173"/>
    <x v="3"/>
    <s v="Bhubaneswar"/>
    <x v="2"/>
    <x v="2"/>
    <n v="1"/>
    <n v="699"/>
    <n v="0"/>
    <s v="COD"/>
    <x v="3"/>
    <d v="2026-03-27T00:00:00"/>
    <d v="2026-03-26T00:00:00"/>
    <n v="699"/>
    <n v="0"/>
    <n v="699"/>
    <n v="5"/>
    <x v="0"/>
    <s v="Mar"/>
    <x v="8"/>
    <n v="0"/>
  </r>
  <r>
    <s v="ORD-10117"/>
    <d v="2026-04-03T00:00:00"/>
    <s v="CUST-1122"/>
    <s v="Customer 1228"/>
    <x v="1"/>
    <s v="Goa"/>
    <x v="2"/>
    <x v="2"/>
    <n v="3"/>
    <n v="699"/>
    <n v="0.2"/>
    <s v="Credit Card"/>
    <x v="2"/>
    <d v="2026-04-08T00:00:00"/>
    <d v="2026-04-06T00:00:00"/>
    <n v="2097"/>
    <n v="419.40000000000003"/>
    <n v="1677.6"/>
    <n v="3"/>
    <x v="0"/>
    <s v="Apr"/>
    <x v="0"/>
    <n v="1677.6"/>
  </r>
  <r>
    <s v="ORD-10118"/>
    <d v="2026-05-03T00:00:00"/>
    <s v="CUST-1237"/>
    <s v="Customer 1145"/>
    <x v="2"/>
    <s v="Chandigarh"/>
    <x v="7"/>
    <x v="2"/>
    <n v="1"/>
    <n v="3499"/>
    <n v="0.15"/>
    <s v="Credit Card"/>
    <x v="0"/>
    <d v="2026-05-10T00:00:00"/>
    <d v="2026-05-14T00:00:00"/>
    <n v="3499"/>
    <n v="524.85"/>
    <n v="2974.15"/>
    <n v="11"/>
    <x v="2"/>
    <s v="May"/>
    <x v="3"/>
    <n v="0"/>
  </r>
  <r>
    <s v="ORD-10119"/>
    <d v="2026-11-06T00:00:00"/>
    <s v="CUST-1053"/>
    <s v="Customer 1265"/>
    <x v="3"/>
    <s v="Guwahati"/>
    <x v="2"/>
    <x v="2"/>
    <n v="1"/>
    <n v="699"/>
    <n v="0.1"/>
    <s v="UPI"/>
    <x v="2"/>
    <d v="2026-11-11T00:00:00"/>
    <d v="2026-11-11T00:00:00"/>
    <n v="699"/>
    <n v="69.900000000000006"/>
    <n v="629.1"/>
    <n v="5"/>
    <x v="0"/>
    <s v="Nov"/>
    <x v="1"/>
    <n v="629.1"/>
  </r>
  <r>
    <s v="ORD-10120"/>
    <d v="2026-05-20T00:00:00"/>
    <s v="CUST-1231"/>
    <s v="Customer 1179"/>
    <x v="0"/>
    <s v="Hyderabad"/>
    <x v="4"/>
    <x v="3"/>
    <n v="1"/>
    <n v="1299"/>
    <n v="0.2"/>
    <s v="Credit Card"/>
    <x v="3"/>
    <d v="2026-05-25T00:00:00"/>
    <d v="2026-05-22T00:00:00"/>
    <n v="1299"/>
    <n v="259.8"/>
    <n v="1039.2"/>
    <n v="2"/>
    <x v="0"/>
    <s v="May"/>
    <x v="3"/>
    <n v="0"/>
  </r>
  <r>
    <s v="ORD-10121"/>
    <d v="2026-09-15T00:00:00"/>
    <s v="CUST-1172"/>
    <s v="Customer 1075"/>
    <x v="0"/>
    <s v="Kochi"/>
    <x v="19"/>
    <x v="3"/>
    <n v="1"/>
    <n v="1499"/>
    <n v="0.15"/>
    <s v="UPI"/>
    <x v="0"/>
    <d v="2026-09-18T00:00:00"/>
    <d v="2026-09-16T00:00:00"/>
    <n v="1499"/>
    <n v="224.85"/>
    <n v="1274.1500000000001"/>
    <n v="1"/>
    <x v="0"/>
    <s v="Sep"/>
    <x v="7"/>
    <n v="0"/>
  </r>
  <r>
    <s v="ORD-10122"/>
    <d v="2026-12-23T00:00:00"/>
    <s v="CUST-1041"/>
    <s v="Customer 1010"/>
    <x v="1"/>
    <s v="Mumbai"/>
    <x v="23"/>
    <x v="0"/>
    <n v="3"/>
    <n v="2999"/>
    <n v="0.15"/>
    <s v="Net Banking"/>
    <x v="1"/>
    <d v="2026-12-25T00:00:00"/>
    <m/>
    <n v="8997"/>
    <n v="1349.55"/>
    <n v="7647.45"/>
    <s v=""/>
    <x v="1"/>
    <s v="Dec"/>
    <x v="6"/>
    <n v="0"/>
  </r>
  <r>
    <s v="ORD-10123"/>
    <d v="2026-11-08T00:00:00"/>
    <s v="CUST-1215"/>
    <s v="Customer 1235"/>
    <x v="2"/>
    <s v="Jaipur"/>
    <x v="7"/>
    <x v="2"/>
    <n v="2"/>
    <n v="3499"/>
    <n v="0"/>
    <s v="Debit Card"/>
    <x v="0"/>
    <d v="2026-11-12T00:00:00"/>
    <d v="2026-11-10T00:00:00"/>
    <n v="6998"/>
    <n v="0"/>
    <n v="6998"/>
    <n v="2"/>
    <x v="0"/>
    <s v="Nov"/>
    <x v="1"/>
    <n v="0"/>
  </r>
  <r>
    <s v="ORD-10124"/>
    <d v="2026-10-02T00:00:00"/>
    <s v="CUST-1001"/>
    <s v="Customer 1181"/>
    <x v="0"/>
    <s v="Bengaluru"/>
    <x v="24"/>
    <x v="4"/>
    <n v="1"/>
    <n v="1499"/>
    <n v="0.2"/>
    <s v="COD"/>
    <x v="0"/>
    <d v="2026-10-09T00:00:00"/>
    <d v="2026-10-06T00:00:00"/>
    <n v="1499"/>
    <n v="299.8"/>
    <n v="1199.2"/>
    <n v="4"/>
    <x v="0"/>
    <s v="Oct"/>
    <x v="5"/>
    <n v="0"/>
  </r>
  <r>
    <s v="ORD-10125"/>
    <d v="2026-09-26T00:00:00"/>
    <s v="CUST-1260"/>
    <s v="Customer 1284"/>
    <x v="1"/>
    <s v="Goa"/>
    <x v="14"/>
    <x v="2"/>
    <n v="5"/>
    <n v="999"/>
    <n v="0"/>
    <s v="COD"/>
    <x v="1"/>
    <d v="2026-10-02T00:00:00"/>
    <m/>
    <n v="4995"/>
    <n v="0"/>
    <n v="4995"/>
    <s v=""/>
    <x v="1"/>
    <s v="Sep"/>
    <x v="7"/>
    <n v="0"/>
  </r>
  <r>
    <s v="ORD-10126"/>
    <d v="2026-11-22T00:00:00"/>
    <s v="CUST-1177"/>
    <s v="Customer 1124"/>
    <x v="0"/>
    <s v="Kochi"/>
    <x v="17"/>
    <x v="4"/>
    <n v="1"/>
    <n v="399"/>
    <n v="0.1"/>
    <s v="Debit Card"/>
    <x v="2"/>
    <d v="2026-11-24T00:00:00"/>
    <d v="2026-11-23T00:00:00"/>
    <n v="399"/>
    <n v="39.900000000000006"/>
    <n v="359.1"/>
    <n v="1"/>
    <x v="0"/>
    <s v="Nov"/>
    <x v="1"/>
    <n v="359.1"/>
  </r>
  <r>
    <s v="ORD-10127"/>
    <d v="2026-06-30T00:00:00"/>
    <s v="CUST-1033"/>
    <s v="Customer 1235"/>
    <x v="0"/>
    <s v="Hyderabad"/>
    <x v="14"/>
    <x v="2"/>
    <n v="2"/>
    <n v="999"/>
    <n v="0.05"/>
    <s v="Net Banking"/>
    <x v="2"/>
    <d v="2026-07-05T00:00:00"/>
    <d v="2026-07-02T00:00:00"/>
    <n v="1998"/>
    <n v="99.9"/>
    <n v="1898.1"/>
    <n v="2"/>
    <x v="0"/>
    <s v="Jun"/>
    <x v="2"/>
    <n v="1898.1"/>
  </r>
  <r>
    <s v="ORD-10128"/>
    <d v="2026-04-13T00:00:00"/>
    <s v="CUST-1279"/>
    <s v="Customer 1243"/>
    <x v="0"/>
    <s v="Hyderabad"/>
    <x v="14"/>
    <x v="2"/>
    <n v="3"/>
    <n v="999"/>
    <n v="0.1"/>
    <s v="Debit Card"/>
    <x v="1"/>
    <d v="2026-04-18T00:00:00"/>
    <m/>
    <n v="2997"/>
    <n v="299.7"/>
    <n v="2697.3"/>
    <s v=""/>
    <x v="1"/>
    <s v="Apr"/>
    <x v="0"/>
    <n v="0"/>
  </r>
  <r>
    <s v="ORD-10129"/>
    <d v="2026-07-02T00:00:00"/>
    <s v="CUST-1205"/>
    <s v="Customer 1226"/>
    <x v="2"/>
    <s v="Delhi"/>
    <x v="16"/>
    <x v="2"/>
    <n v="3"/>
    <n v="899"/>
    <n v="0"/>
    <s v="Debit Card"/>
    <x v="0"/>
    <d v="2026-07-04T00:00:00"/>
    <d v="2026-07-04T00:00:00"/>
    <n v="2697"/>
    <n v="0"/>
    <n v="2697"/>
    <n v="2"/>
    <x v="0"/>
    <s v="Jul"/>
    <x v="11"/>
    <n v="0"/>
  </r>
  <r>
    <s v="ORD-10130"/>
    <d v="2026-12-21T00:00:00"/>
    <s v="CUST-1221"/>
    <s v="Customer 1093"/>
    <x v="3"/>
    <s v="Patna"/>
    <x v="12"/>
    <x v="2"/>
    <n v="2"/>
    <n v="1599"/>
    <n v="0.2"/>
    <s v="Debit Card"/>
    <x v="3"/>
    <d v="2026-12-23T00:00:00"/>
    <d v="2026-12-22T00:00:00"/>
    <n v="3198"/>
    <n v="639.6"/>
    <n v="2558.4"/>
    <n v="1"/>
    <x v="0"/>
    <s v="Dec"/>
    <x v="6"/>
    <n v="0"/>
  </r>
  <r>
    <s v="ORD-10131"/>
    <d v="2026-06-17T00:00:00"/>
    <s v="CUST-1219"/>
    <s v="Customer 1086"/>
    <x v="2"/>
    <s v="Lucknow"/>
    <x v="8"/>
    <x v="3"/>
    <n v="2"/>
    <n v="799"/>
    <n v="0.1"/>
    <s v="Net Banking"/>
    <x v="1"/>
    <d v="2026-06-24T00:00:00"/>
    <m/>
    <n v="1598"/>
    <n v="159.80000000000001"/>
    <n v="1438.2"/>
    <s v=""/>
    <x v="1"/>
    <s v="Jun"/>
    <x v="2"/>
    <n v="0"/>
  </r>
  <r>
    <s v="ORD-10132"/>
    <d v="2026-06-30T00:00:00"/>
    <s v="CUST-1187"/>
    <s v="Customer 1263"/>
    <x v="3"/>
    <s v="Patna"/>
    <x v="17"/>
    <x v="4"/>
    <n v="2"/>
    <n v="399"/>
    <n v="0.15"/>
    <s v="Debit Card"/>
    <x v="2"/>
    <d v="2026-07-02T00:00:00"/>
    <d v="2026-07-02T00:00:00"/>
    <n v="798"/>
    <n v="119.69999999999999"/>
    <n v="678.3"/>
    <n v="2"/>
    <x v="0"/>
    <s v="Jun"/>
    <x v="2"/>
    <n v="678.3"/>
  </r>
  <r>
    <s v="ORD-10133"/>
    <d v="2026-12-14T00:00:00"/>
    <s v="CUST-1186"/>
    <s v="Customer 1197"/>
    <x v="1"/>
    <s v="Mumbai"/>
    <x v="7"/>
    <x v="2"/>
    <n v="3"/>
    <n v="3499"/>
    <n v="0"/>
    <s v="Credit Card"/>
    <x v="0"/>
    <d v="2026-12-17T00:00:00"/>
    <d v="2026-12-16T00:00:00"/>
    <n v="10497"/>
    <n v="0"/>
    <n v="10497"/>
    <n v="2"/>
    <x v="0"/>
    <s v="Dec"/>
    <x v="6"/>
    <n v="0"/>
  </r>
  <r>
    <s v="ORD-10134"/>
    <d v="2026-07-10T00:00:00"/>
    <s v="CUST-1143"/>
    <s v="Customer 1128"/>
    <x v="0"/>
    <s v="Chennai"/>
    <x v="15"/>
    <x v="4"/>
    <n v="1"/>
    <n v="749"/>
    <n v="0"/>
    <s v="COD"/>
    <x v="0"/>
    <d v="2026-07-16T00:00:00"/>
    <d v="2026-07-13T00:00:00"/>
    <n v="749"/>
    <n v="0"/>
    <n v="749"/>
    <n v="3"/>
    <x v="0"/>
    <s v="Jul"/>
    <x v="11"/>
    <n v="0"/>
  </r>
  <r>
    <s v="ORD-10135"/>
    <d v="2026-09-23T00:00:00"/>
    <s v="CUST-1147"/>
    <s v="Customer 1252"/>
    <x v="0"/>
    <s v="Bengaluru"/>
    <x v="12"/>
    <x v="2"/>
    <n v="1"/>
    <n v="1599"/>
    <n v="0.2"/>
    <s v="UPI"/>
    <x v="0"/>
    <d v="2026-09-27T00:00:00"/>
    <d v="2026-09-25T00:00:00"/>
    <n v="1599"/>
    <n v="319.8"/>
    <n v="1279.2"/>
    <n v="2"/>
    <x v="0"/>
    <s v="Sep"/>
    <x v="7"/>
    <n v="0"/>
  </r>
  <r>
    <s v="ORD-10136"/>
    <d v="2026-08-20T00:00:00"/>
    <s v="CUST-1178"/>
    <s v="Customer 1034"/>
    <x v="1"/>
    <s v="Mumbai"/>
    <x v="14"/>
    <x v="2"/>
    <n v="1"/>
    <n v="999"/>
    <n v="0.15"/>
    <s v="UPI"/>
    <x v="3"/>
    <d v="2026-08-27T00:00:00"/>
    <d v="2026-08-30T00:00:00"/>
    <n v="999"/>
    <n v="149.85"/>
    <n v="849.15"/>
    <n v="10"/>
    <x v="2"/>
    <s v="Aug"/>
    <x v="10"/>
    <n v="0"/>
  </r>
  <r>
    <s v="ORD-10137"/>
    <d v="2026-07-05T00:00:00"/>
    <s v="CUST-1014"/>
    <s v="Customer 1185"/>
    <x v="2"/>
    <s v="Lucknow"/>
    <x v="2"/>
    <x v="2"/>
    <n v="2"/>
    <n v="699"/>
    <n v="0"/>
    <s v="Credit Card"/>
    <x v="3"/>
    <d v="2026-07-08T00:00:00"/>
    <d v="2026-07-07T00:00:00"/>
    <n v="1398"/>
    <n v="0"/>
    <n v="1398"/>
    <n v="2"/>
    <x v="0"/>
    <s v="Jul"/>
    <x v="11"/>
    <n v="0"/>
  </r>
  <r>
    <s v="ORD-10138"/>
    <d v="2026-11-10T00:00:00"/>
    <s v="CUST-1211"/>
    <s v="Customer 1210"/>
    <x v="2"/>
    <s v="Chandigarh"/>
    <x v="1"/>
    <x v="1"/>
    <n v="3"/>
    <n v="599"/>
    <n v="0"/>
    <s v="Debit Card"/>
    <x v="0"/>
    <d v="2026-11-17T00:00:00"/>
    <d v="2026-11-15T00:00:00"/>
    <n v="1797"/>
    <n v="0"/>
    <n v="1797"/>
    <n v="5"/>
    <x v="0"/>
    <s v="Nov"/>
    <x v="1"/>
    <n v="0"/>
  </r>
  <r>
    <s v="ORD-10139"/>
    <d v="2026-08-19T00:00:00"/>
    <s v="CUST-1067"/>
    <s v="Customer 1222"/>
    <x v="0"/>
    <s v="Chennai"/>
    <x v="6"/>
    <x v="0"/>
    <n v="2"/>
    <n v="699"/>
    <n v="0.2"/>
    <s v="Debit Card"/>
    <x v="0"/>
    <d v="2026-08-25T00:00:00"/>
    <d v="2026-08-21T00:00:00"/>
    <n v="1398"/>
    <n v="279.60000000000002"/>
    <n v="1118.4000000000001"/>
    <n v="2"/>
    <x v="0"/>
    <s v="Aug"/>
    <x v="10"/>
    <n v="0"/>
  </r>
  <r>
    <s v="ORD-10140"/>
    <d v="2026-06-05T00:00:00"/>
    <s v="CUST-1129"/>
    <s v="Customer 1101"/>
    <x v="0"/>
    <s v="Bengaluru"/>
    <x v="1"/>
    <x v="1"/>
    <n v="1"/>
    <n v="599"/>
    <n v="0.1"/>
    <s v="Credit Card"/>
    <x v="0"/>
    <d v="2026-06-11T00:00:00"/>
    <d v="2026-06-12T00:00:00"/>
    <n v="599"/>
    <n v="59.900000000000006"/>
    <n v="539.1"/>
    <n v="7"/>
    <x v="2"/>
    <s v="Jun"/>
    <x v="2"/>
    <n v="0"/>
  </r>
  <r>
    <s v="ORD-10141"/>
    <d v="2026-10-01T00:00:00"/>
    <s v="CUST-1088"/>
    <s v="Customer 1173"/>
    <x v="2"/>
    <s v="Jaipur"/>
    <x v="10"/>
    <x v="0"/>
    <n v="1"/>
    <n v="1899"/>
    <n v="0.05"/>
    <s v="COD"/>
    <x v="1"/>
    <d v="2026-10-04T00:00:00"/>
    <m/>
    <n v="1899"/>
    <n v="94.95"/>
    <n v="1804.05"/>
    <s v=""/>
    <x v="1"/>
    <s v="Oct"/>
    <x v="5"/>
    <n v="0"/>
  </r>
  <r>
    <s v="ORD-10142"/>
    <d v="2026-11-25T00:00:00"/>
    <s v="CUST-1016"/>
    <s v="Customer 1255"/>
    <x v="0"/>
    <s v="Bengaluru"/>
    <x v="8"/>
    <x v="3"/>
    <n v="3"/>
    <n v="799"/>
    <n v="0.1"/>
    <s v="Credit Card"/>
    <x v="3"/>
    <d v="2026-12-01T00:00:00"/>
    <d v="2026-12-01T00:00:00"/>
    <n v="2397"/>
    <n v="239.70000000000002"/>
    <n v="2157.3000000000002"/>
    <n v="6"/>
    <x v="0"/>
    <s v="Nov"/>
    <x v="1"/>
    <n v="0"/>
  </r>
  <r>
    <s v="ORD-10143"/>
    <d v="2026-12-17T00:00:00"/>
    <s v="CUST-1248"/>
    <s v="Customer 1238"/>
    <x v="2"/>
    <s v="Lucknow"/>
    <x v="20"/>
    <x v="4"/>
    <n v="1"/>
    <n v="599"/>
    <n v="0.15"/>
    <s v="UPI"/>
    <x v="2"/>
    <d v="2026-12-19T00:00:00"/>
    <d v="2026-12-19T00:00:00"/>
    <n v="599"/>
    <n v="89.85"/>
    <n v="509.15"/>
    <n v="2"/>
    <x v="0"/>
    <s v="Dec"/>
    <x v="6"/>
    <n v="509.15"/>
  </r>
  <r>
    <s v="ORD-10144"/>
    <d v="2026-06-10T00:00:00"/>
    <s v="CUST-1288"/>
    <s v="Customer 1055"/>
    <x v="1"/>
    <s v="Ahmedabad"/>
    <x v="1"/>
    <x v="1"/>
    <n v="3"/>
    <n v="599"/>
    <n v="0.1"/>
    <s v="Debit Card"/>
    <x v="0"/>
    <d v="2026-06-13T00:00:00"/>
    <d v="2026-06-13T00:00:00"/>
    <n v="1797"/>
    <n v="179.70000000000002"/>
    <n v="1617.3"/>
    <n v="3"/>
    <x v="0"/>
    <s v="Jun"/>
    <x v="2"/>
    <n v="0"/>
  </r>
  <r>
    <s v="ORD-10145"/>
    <d v="2026-05-17T00:00:00"/>
    <s v="CUST-1128"/>
    <s v="Customer 1082"/>
    <x v="2"/>
    <s v="Jaipur"/>
    <x v="17"/>
    <x v="4"/>
    <n v="1"/>
    <n v="399"/>
    <n v="0.05"/>
    <s v="UPI"/>
    <x v="0"/>
    <d v="2026-05-21T00:00:00"/>
    <d v="2026-05-25T00:00:00"/>
    <n v="399"/>
    <n v="19.950000000000003"/>
    <n v="379.05"/>
    <n v="8"/>
    <x v="2"/>
    <s v="May"/>
    <x v="3"/>
    <n v="0"/>
  </r>
  <r>
    <s v="ORD-10146"/>
    <d v="2026-09-13T00:00:00"/>
    <s v="CUST-1259"/>
    <s v="Customer 1235"/>
    <x v="2"/>
    <s v="Lucknow"/>
    <x v="2"/>
    <x v="2"/>
    <n v="5"/>
    <n v="699"/>
    <n v="0.15"/>
    <s v="Net Banking"/>
    <x v="0"/>
    <d v="2026-09-18T00:00:00"/>
    <d v="2026-09-17T00:00:00"/>
    <n v="3495"/>
    <n v="524.25"/>
    <n v="2970.75"/>
    <n v="4"/>
    <x v="0"/>
    <s v="Sep"/>
    <x v="7"/>
    <n v="0"/>
  </r>
  <r>
    <s v="ORD-10147"/>
    <d v="2026-01-25T00:00:00"/>
    <s v="CUST-1275"/>
    <s v="Customer 1005"/>
    <x v="1"/>
    <s v="Pune"/>
    <x v="11"/>
    <x v="1"/>
    <n v="1"/>
    <n v="3299"/>
    <n v="0.15"/>
    <s v="COD"/>
    <x v="3"/>
    <d v="2026-02-01T00:00:00"/>
    <d v="2026-01-28T00:00:00"/>
    <n v="3299"/>
    <n v="494.84999999999997"/>
    <n v="2804.15"/>
    <n v="3"/>
    <x v="0"/>
    <s v="Jan"/>
    <x v="9"/>
    <n v="0"/>
  </r>
  <r>
    <s v="ORD-10148"/>
    <d v="2026-07-07T00:00:00"/>
    <s v="CUST-1186"/>
    <s v="Customer 1284"/>
    <x v="0"/>
    <s v="Kochi"/>
    <x v="16"/>
    <x v="2"/>
    <n v="3"/>
    <n v="899"/>
    <n v="0.1"/>
    <s v="UPI"/>
    <x v="0"/>
    <d v="2026-07-09T00:00:00"/>
    <d v="2026-07-08T00:00:00"/>
    <n v="2697"/>
    <n v="269.7"/>
    <n v="2427.3000000000002"/>
    <n v="1"/>
    <x v="0"/>
    <s v="Jul"/>
    <x v="11"/>
    <n v="0"/>
  </r>
  <r>
    <s v="ORD-10149"/>
    <d v="2026-08-19T00:00:00"/>
    <s v="CUST-1202"/>
    <s v="Customer 1192"/>
    <x v="2"/>
    <s v="Delhi"/>
    <x v="24"/>
    <x v="4"/>
    <n v="3"/>
    <n v="1499"/>
    <n v="0.1"/>
    <s v="COD"/>
    <x v="2"/>
    <d v="2026-08-25T00:00:00"/>
    <d v="2026-08-20T00:00:00"/>
    <n v="4497"/>
    <n v="449.70000000000005"/>
    <n v="4047.3"/>
    <n v="1"/>
    <x v="0"/>
    <s v="Aug"/>
    <x v="10"/>
    <n v="4047.3"/>
  </r>
  <r>
    <s v="ORD-10150"/>
    <d v="2026-11-05T00:00:00"/>
    <s v="CUST-1243"/>
    <s v="Customer 1266"/>
    <x v="2"/>
    <s v="Lucknow"/>
    <x v="2"/>
    <x v="2"/>
    <n v="2"/>
    <n v="699"/>
    <n v="0.2"/>
    <s v="UPI"/>
    <x v="0"/>
    <d v="2026-11-07T00:00:00"/>
    <d v="2026-11-07T00:00:00"/>
    <n v="1398"/>
    <n v="279.60000000000002"/>
    <n v="1118.4000000000001"/>
    <n v="2"/>
    <x v="0"/>
    <s v="Nov"/>
    <x v="1"/>
    <n v="0"/>
  </r>
  <r>
    <s v="ORD-10151"/>
    <d v="2026-03-13T00:00:00"/>
    <s v="CUST-1173"/>
    <s v="Customer 1260"/>
    <x v="3"/>
    <s v="Bhubaneswar"/>
    <x v="22"/>
    <x v="1"/>
    <n v="1"/>
    <n v="1199"/>
    <n v="0.2"/>
    <s v="Debit Card"/>
    <x v="0"/>
    <d v="2026-03-18T00:00:00"/>
    <d v="2026-03-21T00:00:00"/>
    <n v="1199"/>
    <n v="239.8"/>
    <n v="959.2"/>
    <n v="8"/>
    <x v="2"/>
    <s v="Mar"/>
    <x v="8"/>
    <n v="0"/>
  </r>
  <r>
    <s v="ORD-10152"/>
    <d v="2026-07-08T00:00:00"/>
    <s v="CUST-1014"/>
    <s v="Customer 1243"/>
    <x v="3"/>
    <s v="Patna"/>
    <x v="17"/>
    <x v="4"/>
    <n v="1"/>
    <n v="399"/>
    <n v="0"/>
    <s v="Net Banking"/>
    <x v="1"/>
    <d v="2026-07-12T00:00:00"/>
    <m/>
    <n v="399"/>
    <n v="0"/>
    <n v="399"/>
    <s v=""/>
    <x v="1"/>
    <s v="Jul"/>
    <x v="11"/>
    <n v="0"/>
  </r>
  <r>
    <s v="ORD-10153"/>
    <d v="2026-09-03T00:00:00"/>
    <s v="CUST-1057"/>
    <s v="Customer 1098"/>
    <x v="2"/>
    <s v="Jaipur"/>
    <x v="3"/>
    <x v="3"/>
    <n v="1"/>
    <n v="1799"/>
    <n v="0.2"/>
    <s v="Net Banking"/>
    <x v="0"/>
    <d v="2026-09-10T00:00:00"/>
    <d v="2026-09-08T00:00:00"/>
    <n v="1799"/>
    <n v="359.8"/>
    <n v="1439.2"/>
    <n v="5"/>
    <x v="0"/>
    <s v="Sep"/>
    <x v="7"/>
    <n v="0"/>
  </r>
  <r>
    <s v="ORD-10154"/>
    <d v="2026-03-19T00:00:00"/>
    <s v="CUST-1242"/>
    <s v="Customer 1032"/>
    <x v="0"/>
    <s v="Kochi"/>
    <x v="23"/>
    <x v="0"/>
    <n v="1"/>
    <n v="2999"/>
    <n v="0.05"/>
    <s v="Net Banking"/>
    <x v="1"/>
    <d v="2026-03-25T00:00:00"/>
    <m/>
    <n v="2999"/>
    <n v="149.95000000000002"/>
    <n v="2849.05"/>
    <s v=""/>
    <x v="1"/>
    <s v="Mar"/>
    <x v="8"/>
    <n v="0"/>
  </r>
  <r>
    <s v="ORD-10155"/>
    <d v="2026-12-06T00:00:00"/>
    <s v="CUST-1280"/>
    <s v="Customer 1182"/>
    <x v="1"/>
    <s v="Pune"/>
    <x v="11"/>
    <x v="1"/>
    <n v="2"/>
    <n v="3299"/>
    <n v="0.15"/>
    <s v="Debit Card"/>
    <x v="0"/>
    <d v="2026-12-11T00:00:00"/>
    <d v="2026-12-14T00:00:00"/>
    <n v="6598"/>
    <n v="989.69999999999993"/>
    <n v="5608.3"/>
    <n v="8"/>
    <x v="2"/>
    <s v="Dec"/>
    <x v="6"/>
    <n v="0"/>
  </r>
  <r>
    <s v="ORD-10156"/>
    <d v="2026-05-23T00:00:00"/>
    <s v="CUST-1163"/>
    <s v="Customer 1246"/>
    <x v="2"/>
    <s v="Chandigarh"/>
    <x v="2"/>
    <x v="2"/>
    <n v="2"/>
    <n v="699"/>
    <n v="0.05"/>
    <s v="Debit Card"/>
    <x v="3"/>
    <d v="2026-05-27T00:00:00"/>
    <d v="2026-05-27T00:00:00"/>
    <n v="1398"/>
    <n v="69.900000000000006"/>
    <n v="1328.1"/>
    <n v="4"/>
    <x v="0"/>
    <s v="May"/>
    <x v="3"/>
    <n v="0"/>
  </r>
  <r>
    <s v="ORD-10157"/>
    <d v="2026-10-21T00:00:00"/>
    <s v="CUST-1149"/>
    <s v="Customer 1022"/>
    <x v="2"/>
    <s v="Lucknow"/>
    <x v="6"/>
    <x v="0"/>
    <n v="2"/>
    <n v="699"/>
    <n v="0.15"/>
    <s v="Net Banking"/>
    <x v="3"/>
    <d v="2026-10-25T00:00:00"/>
    <d v="2026-10-27T00:00:00"/>
    <n v="1398"/>
    <n v="209.7"/>
    <n v="1188.3"/>
    <n v="6"/>
    <x v="2"/>
    <s v="Oct"/>
    <x v="5"/>
    <n v="0"/>
  </r>
  <r>
    <s v="ORD-10158"/>
    <d v="2026-12-02T00:00:00"/>
    <s v="CUST-1140"/>
    <s v="Customer 1071"/>
    <x v="2"/>
    <s v="Delhi"/>
    <x v="23"/>
    <x v="0"/>
    <n v="1"/>
    <n v="2999"/>
    <n v="0.15"/>
    <s v="Credit Card"/>
    <x v="0"/>
    <d v="2026-12-08T00:00:00"/>
    <d v="2026-12-07T00:00:00"/>
    <n v="2999"/>
    <n v="449.84999999999997"/>
    <n v="2549.15"/>
    <n v="5"/>
    <x v="0"/>
    <s v="Dec"/>
    <x v="6"/>
    <n v="0"/>
  </r>
  <r>
    <s v="ORD-10159"/>
    <d v="2026-12-09T00:00:00"/>
    <s v="CUST-1052"/>
    <s v="Customer 1071"/>
    <x v="0"/>
    <s v="Chennai"/>
    <x v="14"/>
    <x v="2"/>
    <n v="4"/>
    <n v="999"/>
    <n v="0.05"/>
    <s v="Credit Card"/>
    <x v="0"/>
    <d v="2026-12-11T00:00:00"/>
    <d v="2026-12-11T00:00:00"/>
    <n v="3996"/>
    <n v="199.8"/>
    <n v="3796.2"/>
    <n v="2"/>
    <x v="0"/>
    <s v="Dec"/>
    <x v="6"/>
    <n v="0"/>
  </r>
  <r>
    <s v="ORD-10160"/>
    <d v="2026-09-02T00:00:00"/>
    <s v="CUST-1046"/>
    <s v="Customer 1294"/>
    <x v="0"/>
    <s v="Chennai"/>
    <x v="5"/>
    <x v="4"/>
    <n v="2"/>
    <n v="499"/>
    <n v="0.1"/>
    <s v="Debit Card"/>
    <x v="0"/>
    <d v="2026-09-09T00:00:00"/>
    <d v="2026-09-09T00:00:00"/>
    <n v="998"/>
    <n v="99.800000000000011"/>
    <n v="898.2"/>
    <n v="7"/>
    <x v="0"/>
    <s v="Sep"/>
    <x v="7"/>
    <n v="0"/>
  </r>
  <r>
    <s v="ORD-10161"/>
    <d v="2026-04-01T00:00:00"/>
    <s v="CUST-1020"/>
    <s v="Customer 1005"/>
    <x v="1"/>
    <s v="Mumbai"/>
    <x v="12"/>
    <x v="2"/>
    <n v="4"/>
    <n v="1599"/>
    <n v="0"/>
    <s v="Net Banking"/>
    <x v="3"/>
    <d v="2026-04-06T00:00:00"/>
    <d v="2026-04-04T00:00:00"/>
    <n v="6396"/>
    <n v="0"/>
    <n v="6396"/>
    <n v="3"/>
    <x v="0"/>
    <s v="Apr"/>
    <x v="0"/>
    <n v="0"/>
  </r>
  <r>
    <s v="ORD-10162"/>
    <d v="2026-08-21T00:00:00"/>
    <s v="CUST-1140"/>
    <s v="Customer 1099"/>
    <x v="2"/>
    <s v="Delhi"/>
    <x v="21"/>
    <x v="0"/>
    <n v="5"/>
    <n v="1999"/>
    <n v="0.2"/>
    <s v="COD"/>
    <x v="0"/>
    <d v="2026-08-24T00:00:00"/>
    <d v="2026-08-23T00:00:00"/>
    <n v="9995"/>
    <n v="1999"/>
    <n v="7996"/>
    <n v="2"/>
    <x v="0"/>
    <s v="Aug"/>
    <x v="10"/>
    <n v="0"/>
  </r>
  <r>
    <s v="ORD-10163"/>
    <d v="2026-11-28T00:00:00"/>
    <s v="CUST-1090"/>
    <s v="Customer 1208"/>
    <x v="0"/>
    <s v="Hyderabad"/>
    <x v="12"/>
    <x v="2"/>
    <n v="1"/>
    <n v="1599"/>
    <n v="0.05"/>
    <s v="UPI"/>
    <x v="2"/>
    <d v="2026-12-02T00:00:00"/>
    <d v="2026-11-30T00:00:00"/>
    <n v="1599"/>
    <n v="79.95"/>
    <n v="1519.05"/>
    <n v="2"/>
    <x v="0"/>
    <s v="Nov"/>
    <x v="1"/>
    <n v="1519.05"/>
  </r>
  <r>
    <s v="ORD-10164"/>
    <d v="2026-12-09T00:00:00"/>
    <s v="CUST-1121"/>
    <s v="Customer 1229"/>
    <x v="3"/>
    <s v="Patna"/>
    <x v="19"/>
    <x v="3"/>
    <n v="1"/>
    <n v="1499"/>
    <n v="0.05"/>
    <s v="Net Banking"/>
    <x v="0"/>
    <d v="2026-12-12T00:00:00"/>
    <d v="2026-12-11T00:00:00"/>
    <n v="1499"/>
    <n v="74.95"/>
    <n v="1424.05"/>
    <n v="2"/>
    <x v="0"/>
    <s v="Dec"/>
    <x v="6"/>
    <n v="0"/>
  </r>
  <r>
    <s v="ORD-10165"/>
    <d v="2026-10-21T00:00:00"/>
    <s v="CUST-1082"/>
    <s v="Customer 1208"/>
    <x v="2"/>
    <s v="Lucknow"/>
    <x v="10"/>
    <x v="0"/>
    <n v="1"/>
    <n v="1899"/>
    <n v="0.1"/>
    <s v="Credit Card"/>
    <x v="0"/>
    <d v="2026-10-28T00:00:00"/>
    <d v="2026-10-24T00:00:00"/>
    <n v="1899"/>
    <n v="189.9"/>
    <n v="1709.1"/>
    <n v="3"/>
    <x v="0"/>
    <s v="Oct"/>
    <x v="5"/>
    <n v="0"/>
  </r>
  <r>
    <s v="ORD-10166"/>
    <d v="2026-11-11T00:00:00"/>
    <s v="CUST-1192"/>
    <s v="Customer 1213"/>
    <x v="2"/>
    <s v="Delhi"/>
    <x v="21"/>
    <x v="0"/>
    <n v="1"/>
    <n v="1999"/>
    <n v="0.05"/>
    <s v="Net Banking"/>
    <x v="0"/>
    <d v="2026-11-16T00:00:00"/>
    <d v="2026-11-16T00:00:00"/>
    <n v="1999"/>
    <n v="99.95"/>
    <n v="1899.05"/>
    <n v="5"/>
    <x v="0"/>
    <s v="Nov"/>
    <x v="1"/>
    <n v="0"/>
  </r>
  <r>
    <s v="ORD-10167"/>
    <d v="2026-02-11T00:00:00"/>
    <s v="CUST-1259"/>
    <s v="Customer 1104"/>
    <x v="3"/>
    <s v="Bhubaneswar"/>
    <x v="7"/>
    <x v="2"/>
    <n v="2"/>
    <n v="3499"/>
    <n v="0.2"/>
    <s v="Debit Card"/>
    <x v="0"/>
    <d v="2026-02-17T00:00:00"/>
    <d v="2026-02-16T00:00:00"/>
    <n v="6998"/>
    <n v="1399.6000000000001"/>
    <n v="5598.4"/>
    <n v="5"/>
    <x v="0"/>
    <s v="Feb"/>
    <x v="4"/>
    <n v="0"/>
  </r>
  <r>
    <s v="ORD-10168"/>
    <d v="2026-08-15T00:00:00"/>
    <s v="CUST-1029"/>
    <s v="Customer 1233"/>
    <x v="1"/>
    <s v="Pune"/>
    <x v="10"/>
    <x v="0"/>
    <n v="1"/>
    <n v="1899"/>
    <n v="0.05"/>
    <s v="COD"/>
    <x v="0"/>
    <d v="2026-08-17T00:00:00"/>
    <d v="2026-08-21T00:00:00"/>
    <n v="1899"/>
    <n v="94.95"/>
    <n v="1804.05"/>
    <n v="6"/>
    <x v="2"/>
    <s v="Aug"/>
    <x v="10"/>
    <n v="0"/>
  </r>
  <r>
    <s v="ORD-10169"/>
    <d v="2026-01-30T00:00:00"/>
    <s v="CUST-1297"/>
    <s v="Customer 1038"/>
    <x v="1"/>
    <s v="Goa"/>
    <x v="24"/>
    <x v="4"/>
    <n v="2"/>
    <n v="1499"/>
    <n v="0.1"/>
    <s v="UPI"/>
    <x v="0"/>
    <d v="2026-02-03T00:00:00"/>
    <d v="2026-02-01T00:00:00"/>
    <n v="2998"/>
    <n v="299.8"/>
    <n v="2698.2"/>
    <n v="2"/>
    <x v="0"/>
    <s v="Jan"/>
    <x v="9"/>
    <n v="0"/>
  </r>
  <r>
    <s v="ORD-10170"/>
    <d v="2026-10-05T00:00:00"/>
    <s v="CUST-1216"/>
    <s v="Customer 1192"/>
    <x v="0"/>
    <s v="Kochi"/>
    <x v="6"/>
    <x v="0"/>
    <n v="5"/>
    <n v="699"/>
    <n v="0"/>
    <s v="Net Banking"/>
    <x v="0"/>
    <d v="2026-10-09T00:00:00"/>
    <d v="2026-10-07T00:00:00"/>
    <n v="3495"/>
    <n v="0"/>
    <n v="3495"/>
    <n v="2"/>
    <x v="0"/>
    <s v="Oct"/>
    <x v="5"/>
    <n v="0"/>
  </r>
  <r>
    <s v="ORD-10171"/>
    <d v="2026-02-11T00:00:00"/>
    <s v="CUST-1271"/>
    <s v="Customer 1066"/>
    <x v="3"/>
    <s v="Guwahati"/>
    <x v="5"/>
    <x v="4"/>
    <n v="2"/>
    <n v="499"/>
    <n v="0.2"/>
    <s v="Credit Card"/>
    <x v="2"/>
    <d v="2026-02-15T00:00:00"/>
    <d v="2026-02-15T00:00:00"/>
    <n v="998"/>
    <n v="199.60000000000002"/>
    <n v="798.4"/>
    <n v="4"/>
    <x v="0"/>
    <s v="Feb"/>
    <x v="4"/>
    <n v="798.4"/>
  </r>
  <r>
    <s v="ORD-10172"/>
    <d v="2026-08-26T00:00:00"/>
    <s v="CUST-1118"/>
    <s v="Customer 1127"/>
    <x v="1"/>
    <s v="Mumbai"/>
    <x v="18"/>
    <x v="3"/>
    <n v="2"/>
    <n v="1999"/>
    <n v="0.2"/>
    <s v="Net Banking"/>
    <x v="1"/>
    <d v="2026-08-31T00:00:00"/>
    <m/>
    <n v="3998"/>
    <n v="799.6"/>
    <n v="3198.4"/>
    <s v=""/>
    <x v="1"/>
    <s v="Aug"/>
    <x v="10"/>
    <n v="0"/>
  </r>
  <r>
    <s v="ORD-10173"/>
    <d v="2026-04-07T00:00:00"/>
    <s v="CUST-1009"/>
    <s v="Customer 1124"/>
    <x v="3"/>
    <s v="Patna"/>
    <x v="16"/>
    <x v="2"/>
    <n v="4"/>
    <n v="899"/>
    <n v="0"/>
    <s v="UPI"/>
    <x v="3"/>
    <d v="2026-04-14T00:00:00"/>
    <d v="2026-04-14T00:00:00"/>
    <n v="3596"/>
    <n v="0"/>
    <n v="3596"/>
    <n v="7"/>
    <x v="0"/>
    <s v="Apr"/>
    <x v="0"/>
    <n v="0"/>
  </r>
  <r>
    <s v="ORD-10174"/>
    <d v="2026-01-18T00:00:00"/>
    <s v="CUST-1277"/>
    <s v="Customer 1112"/>
    <x v="1"/>
    <s v="Mumbai"/>
    <x v="3"/>
    <x v="3"/>
    <n v="1"/>
    <n v="1799"/>
    <n v="0"/>
    <s v="Credit Card"/>
    <x v="2"/>
    <d v="2026-01-20T00:00:00"/>
    <d v="2026-01-19T00:00:00"/>
    <n v="1799"/>
    <n v="0"/>
    <n v="1799"/>
    <n v="1"/>
    <x v="0"/>
    <s v="Jan"/>
    <x v="9"/>
    <n v="1799"/>
  </r>
  <r>
    <s v="ORD-10175"/>
    <d v="2026-04-30T00:00:00"/>
    <s v="CUST-1165"/>
    <s v="Customer 1122"/>
    <x v="0"/>
    <s v="Chennai"/>
    <x v="11"/>
    <x v="1"/>
    <n v="3"/>
    <n v="3299"/>
    <n v="0.2"/>
    <s v="Debit Card"/>
    <x v="1"/>
    <d v="2026-05-06T00:00:00"/>
    <m/>
    <n v="9897"/>
    <n v="1979.4"/>
    <n v="7917.6"/>
    <s v=""/>
    <x v="1"/>
    <s v="Apr"/>
    <x v="0"/>
    <n v="0"/>
  </r>
  <r>
    <s v="ORD-10176"/>
    <d v="2026-07-31T00:00:00"/>
    <s v="CUST-1090"/>
    <s v="Customer 1219"/>
    <x v="2"/>
    <s v="Jaipur"/>
    <x v="1"/>
    <x v="1"/>
    <n v="1"/>
    <n v="599"/>
    <n v="0"/>
    <s v="COD"/>
    <x v="1"/>
    <d v="2026-08-07T00:00:00"/>
    <m/>
    <n v="599"/>
    <n v="0"/>
    <n v="599"/>
    <s v=""/>
    <x v="1"/>
    <s v="Jul"/>
    <x v="11"/>
    <n v="0"/>
  </r>
  <r>
    <s v="ORD-10177"/>
    <d v="2026-09-26T00:00:00"/>
    <s v="CUST-1124"/>
    <s v="Customer 1116"/>
    <x v="3"/>
    <s v="Kolkata"/>
    <x v="23"/>
    <x v="0"/>
    <n v="1"/>
    <n v="2999"/>
    <n v="0.15"/>
    <s v="Net Banking"/>
    <x v="0"/>
    <d v="2026-09-30T00:00:00"/>
    <d v="2026-09-30T00:00:00"/>
    <n v="2999"/>
    <n v="449.84999999999997"/>
    <n v="2549.15"/>
    <n v="4"/>
    <x v="0"/>
    <s v="Sep"/>
    <x v="7"/>
    <n v="0"/>
  </r>
  <r>
    <s v="ORD-10178"/>
    <d v="2026-10-15T00:00:00"/>
    <s v="CUST-1199"/>
    <s v="Customer 1125"/>
    <x v="2"/>
    <s v="Jaipur"/>
    <x v="17"/>
    <x v="4"/>
    <n v="1"/>
    <n v="399"/>
    <n v="0.15"/>
    <s v="COD"/>
    <x v="1"/>
    <d v="2026-10-18T00:00:00"/>
    <m/>
    <n v="399"/>
    <n v="59.849999999999994"/>
    <n v="339.15"/>
    <s v=""/>
    <x v="1"/>
    <s v="Oct"/>
    <x v="5"/>
    <n v="0"/>
  </r>
  <r>
    <s v="ORD-10179"/>
    <d v="2026-08-19T00:00:00"/>
    <s v="CUST-1021"/>
    <s v="Customer 1038"/>
    <x v="2"/>
    <s v="Jaipur"/>
    <x v="6"/>
    <x v="0"/>
    <n v="3"/>
    <n v="699"/>
    <n v="0"/>
    <s v="COD"/>
    <x v="2"/>
    <d v="2026-08-22T00:00:00"/>
    <d v="2026-08-21T00:00:00"/>
    <n v="2097"/>
    <n v="0"/>
    <n v="2097"/>
    <n v="2"/>
    <x v="0"/>
    <s v="Aug"/>
    <x v="10"/>
    <n v="2097"/>
  </r>
  <r>
    <s v="ORD-10180"/>
    <d v="2026-06-20T00:00:00"/>
    <s v="CUST-1246"/>
    <s v="Customer 1125"/>
    <x v="1"/>
    <s v="Pune"/>
    <x v="20"/>
    <x v="4"/>
    <n v="1"/>
    <n v="599"/>
    <n v="0"/>
    <s v="Credit Card"/>
    <x v="0"/>
    <d v="2026-06-27T00:00:00"/>
    <d v="2026-06-27T00:00:00"/>
    <n v="599"/>
    <n v="0"/>
    <n v="599"/>
    <n v="7"/>
    <x v="0"/>
    <s v="Jun"/>
    <x v="2"/>
    <n v="0"/>
  </r>
  <r>
    <s v="ORD-10181"/>
    <d v="2026-06-14T00:00:00"/>
    <s v="CUST-1184"/>
    <s v="Customer 1158"/>
    <x v="1"/>
    <s v="Goa"/>
    <x v="7"/>
    <x v="2"/>
    <n v="3"/>
    <n v="3499"/>
    <n v="0.15"/>
    <s v="Net Banking"/>
    <x v="1"/>
    <d v="2026-06-21T00:00:00"/>
    <m/>
    <n v="10497"/>
    <n v="1574.55"/>
    <n v="8922.4500000000007"/>
    <s v=""/>
    <x v="1"/>
    <s v="Jun"/>
    <x v="2"/>
    <n v="0"/>
  </r>
  <r>
    <s v="ORD-10182"/>
    <d v="2026-08-27T00:00:00"/>
    <s v="CUST-1289"/>
    <s v="Customer 1114"/>
    <x v="2"/>
    <s v="Lucknow"/>
    <x v="13"/>
    <x v="1"/>
    <n v="1"/>
    <n v="2499"/>
    <n v="0.15"/>
    <s v="Debit Card"/>
    <x v="0"/>
    <d v="2026-08-31T00:00:00"/>
    <d v="2026-08-28T00:00:00"/>
    <n v="2499"/>
    <n v="374.84999999999997"/>
    <n v="2124.15"/>
    <n v="1"/>
    <x v="0"/>
    <s v="Aug"/>
    <x v="10"/>
    <n v="0"/>
  </r>
  <r>
    <s v="ORD-10183"/>
    <d v="2026-10-27T00:00:00"/>
    <s v="CUST-1292"/>
    <s v="Customer 1126"/>
    <x v="1"/>
    <s v="Mumbai"/>
    <x v="10"/>
    <x v="0"/>
    <n v="2"/>
    <n v="1899"/>
    <n v="0.15"/>
    <s v="Debit Card"/>
    <x v="0"/>
    <d v="2026-10-30T00:00:00"/>
    <d v="2026-10-29T00:00:00"/>
    <n v="3798"/>
    <n v="569.69999999999993"/>
    <n v="3228.3"/>
    <n v="2"/>
    <x v="0"/>
    <s v="Oct"/>
    <x v="5"/>
    <n v="0"/>
  </r>
  <r>
    <s v="ORD-10184"/>
    <d v="2026-11-25T00:00:00"/>
    <s v="CUST-1095"/>
    <s v="Customer 1278"/>
    <x v="3"/>
    <s v="Patna"/>
    <x v="23"/>
    <x v="0"/>
    <n v="2"/>
    <n v="2999"/>
    <n v="0.15"/>
    <s v="Credit Card"/>
    <x v="2"/>
    <d v="2026-11-29T00:00:00"/>
    <d v="2026-11-29T00:00:00"/>
    <n v="5998"/>
    <n v="899.69999999999993"/>
    <n v="5098.3"/>
    <n v="4"/>
    <x v="0"/>
    <s v="Nov"/>
    <x v="1"/>
    <n v="5098.3"/>
  </r>
  <r>
    <s v="ORD-10185"/>
    <d v="2026-01-04T00:00:00"/>
    <s v="CUST-1234"/>
    <s v="Customer 1192"/>
    <x v="0"/>
    <s v="Bengaluru"/>
    <x v="8"/>
    <x v="3"/>
    <n v="1"/>
    <n v="799"/>
    <n v="0.05"/>
    <s v="UPI"/>
    <x v="2"/>
    <d v="2026-01-07T00:00:00"/>
    <d v="2026-01-07T00:00:00"/>
    <n v="799"/>
    <n v="39.950000000000003"/>
    <n v="759.05"/>
    <n v="3"/>
    <x v="0"/>
    <s v="Jan"/>
    <x v="9"/>
    <n v="759.05"/>
  </r>
  <r>
    <s v="ORD-10186"/>
    <d v="2026-01-04T00:00:00"/>
    <s v="CUST-1147"/>
    <s v="Customer 1009"/>
    <x v="0"/>
    <s v="Kochi"/>
    <x v="17"/>
    <x v="4"/>
    <n v="2"/>
    <n v="399"/>
    <n v="0.15"/>
    <s v="UPI"/>
    <x v="0"/>
    <d v="2026-01-10T00:00:00"/>
    <d v="2026-01-09T00:00:00"/>
    <n v="798"/>
    <n v="119.69999999999999"/>
    <n v="678.3"/>
    <n v="5"/>
    <x v="0"/>
    <s v="Jan"/>
    <x v="9"/>
    <n v="0"/>
  </r>
  <r>
    <s v="ORD-10187"/>
    <d v="2026-09-26T00:00:00"/>
    <s v="CUST-1182"/>
    <s v="Customer 1137"/>
    <x v="3"/>
    <s v="Bhubaneswar"/>
    <x v="8"/>
    <x v="3"/>
    <n v="1"/>
    <n v="799"/>
    <n v="0.05"/>
    <s v="COD"/>
    <x v="1"/>
    <d v="2026-09-30T00:00:00"/>
    <m/>
    <n v="799"/>
    <n v="39.950000000000003"/>
    <n v="759.05"/>
    <s v=""/>
    <x v="1"/>
    <s v="Sep"/>
    <x v="7"/>
    <n v="0"/>
  </r>
  <r>
    <s v="ORD-10188"/>
    <d v="2026-08-24T00:00:00"/>
    <s v="CUST-1048"/>
    <s v="Customer 1208"/>
    <x v="3"/>
    <s v="Kolkata"/>
    <x v="23"/>
    <x v="0"/>
    <n v="2"/>
    <n v="2999"/>
    <n v="0.05"/>
    <s v="Debit Card"/>
    <x v="2"/>
    <d v="2026-08-26T00:00:00"/>
    <d v="2026-08-25T00:00:00"/>
    <n v="5998"/>
    <n v="299.90000000000003"/>
    <n v="5698.1"/>
    <n v="1"/>
    <x v="0"/>
    <s v="Aug"/>
    <x v="10"/>
    <n v="5698.1"/>
  </r>
  <r>
    <s v="ORD-10189"/>
    <d v="2026-01-29T00:00:00"/>
    <s v="CUST-1290"/>
    <s v="Customer 1049"/>
    <x v="3"/>
    <s v="Guwahati"/>
    <x v="13"/>
    <x v="1"/>
    <n v="2"/>
    <n v="2499"/>
    <n v="0.05"/>
    <s v="UPI"/>
    <x v="0"/>
    <d v="2026-02-03T00:00:00"/>
    <d v="2026-02-01T00:00:00"/>
    <n v="4998"/>
    <n v="249.9"/>
    <n v="4748.1000000000004"/>
    <n v="3"/>
    <x v="0"/>
    <s v="Jan"/>
    <x v="9"/>
    <n v="0"/>
  </r>
  <r>
    <s v="ORD-10190"/>
    <d v="2026-09-01T00:00:00"/>
    <s v="CUST-1017"/>
    <s v="Customer 1092"/>
    <x v="0"/>
    <s v="Chennai"/>
    <x v="7"/>
    <x v="2"/>
    <n v="1"/>
    <n v="3499"/>
    <n v="0"/>
    <s v="Debit Card"/>
    <x v="1"/>
    <d v="2026-09-07T00:00:00"/>
    <m/>
    <n v="3499"/>
    <n v="0"/>
    <n v="3499"/>
    <s v=""/>
    <x v="1"/>
    <s v="Sep"/>
    <x v="7"/>
    <n v="0"/>
  </r>
  <r>
    <s v="ORD-10191"/>
    <d v="2026-03-15T00:00:00"/>
    <s v="CUST-1200"/>
    <s v="Customer 1277"/>
    <x v="2"/>
    <s v="Delhi"/>
    <x v="7"/>
    <x v="2"/>
    <n v="3"/>
    <n v="3499"/>
    <n v="0.15"/>
    <s v="UPI"/>
    <x v="0"/>
    <d v="2026-03-18T00:00:00"/>
    <d v="2026-03-18T00:00:00"/>
    <n v="10497"/>
    <n v="1574.55"/>
    <n v="8922.4500000000007"/>
    <n v="3"/>
    <x v="0"/>
    <s v="Mar"/>
    <x v="8"/>
    <n v="0"/>
  </r>
  <r>
    <s v="ORD-10192"/>
    <d v="2026-09-14T00:00:00"/>
    <s v="CUST-1175"/>
    <s v="Customer 1204"/>
    <x v="2"/>
    <s v="Chandigarh"/>
    <x v="14"/>
    <x v="2"/>
    <n v="2"/>
    <n v="999"/>
    <n v="0.1"/>
    <s v="UPI"/>
    <x v="0"/>
    <d v="2026-09-19T00:00:00"/>
    <d v="2026-09-15T00:00:00"/>
    <n v="1998"/>
    <n v="199.8"/>
    <n v="1798.2"/>
    <n v="1"/>
    <x v="0"/>
    <s v="Sep"/>
    <x v="7"/>
    <n v="0"/>
  </r>
  <r>
    <s v="ORD-10193"/>
    <d v="2026-09-09T00:00:00"/>
    <s v="CUST-1195"/>
    <s v="Customer 1044"/>
    <x v="2"/>
    <s v="Delhi"/>
    <x v="23"/>
    <x v="0"/>
    <n v="1"/>
    <n v="2999"/>
    <n v="0.2"/>
    <s v="Net Banking"/>
    <x v="0"/>
    <d v="2026-09-12T00:00:00"/>
    <d v="2026-09-12T00:00:00"/>
    <n v="2999"/>
    <n v="599.80000000000007"/>
    <n v="2399.1999999999998"/>
    <n v="3"/>
    <x v="0"/>
    <s v="Sep"/>
    <x v="7"/>
    <n v="0"/>
  </r>
  <r>
    <s v="ORD-10194"/>
    <d v="2026-05-18T00:00:00"/>
    <s v="CUST-1158"/>
    <s v="Customer 1228"/>
    <x v="2"/>
    <s v="Jaipur"/>
    <x v="8"/>
    <x v="3"/>
    <n v="1"/>
    <n v="799"/>
    <n v="0.05"/>
    <s v="Net Banking"/>
    <x v="0"/>
    <d v="2026-05-22T00:00:00"/>
    <d v="2026-05-19T00:00:00"/>
    <n v="799"/>
    <n v="39.950000000000003"/>
    <n v="759.05"/>
    <n v="1"/>
    <x v="0"/>
    <s v="May"/>
    <x v="3"/>
    <n v="0"/>
  </r>
  <r>
    <s v="ORD-10195"/>
    <d v="2026-02-14T00:00:00"/>
    <s v="CUST-1209"/>
    <s v="Customer 1053"/>
    <x v="2"/>
    <s v="Lucknow"/>
    <x v="4"/>
    <x v="3"/>
    <n v="1"/>
    <n v="1299"/>
    <n v="0.15"/>
    <s v="COD"/>
    <x v="1"/>
    <d v="2026-02-20T00:00:00"/>
    <m/>
    <n v="1299"/>
    <n v="194.85"/>
    <n v="1104.1500000000001"/>
    <s v=""/>
    <x v="1"/>
    <s v="Feb"/>
    <x v="4"/>
    <n v="0"/>
  </r>
  <r>
    <s v="ORD-10196"/>
    <d v="2026-02-17T00:00:00"/>
    <s v="CUST-1287"/>
    <s v="Customer 1125"/>
    <x v="0"/>
    <s v="Bengaluru"/>
    <x v="10"/>
    <x v="0"/>
    <n v="2"/>
    <n v="1899"/>
    <n v="0.1"/>
    <s v="Net Banking"/>
    <x v="0"/>
    <d v="2026-02-21T00:00:00"/>
    <d v="2026-02-18T00:00:00"/>
    <n v="3798"/>
    <n v="379.8"/>
    <n v="3418.2"/>
    <n v="1"/>
    <x v="0"/>
    <s v="Feb"/>
    <x v="4"/>
    <n v="0"/>
  </r>
  <r>
    <s v="ORD-10197"/>
    <d v="2026-05-18T00:00:00"/>
    <s v="CUST-1154"/>
    <s v="Customer 1248"/>
    <x v="1"/>
    <s v="Goa"/>
    <x v="2"/>
    <x v="2"/>
    <n v="1"/>
    <n v="699"/>
    <n v="0.15"/>
    <s v="Credit Card"/>
    <x v="0"/>
    <d v="2026-05-21T00:00:00"/>
    <d v="2026-05-20T00:00:00"/>
    <n v="699"/>
    <n v="104.85"/>
    <n v="594.15"/>
    <n v="2"/>
    <x v="0"/>
    <s v="May"/>
    <x v="3"/>
    <n v="0"/>
  </r>
  <r>
    <s v="ORD-10198"/>
    <d v="2026-11-17T00:00:00"/>
    <s v="CUST-1203"/>
    <s v="Customer 1171"/>
    <x v="0"/>
    <s v="Hyderabad"/>
    <x v="0"/>
    <x v="0"/>
    <n v="2"/>
    <n v="1799"/>
    <n v="0.2"/>
    <s v="Credit Card"/>
    <x v="0"/>
    <d v="2026-11-19T00:00:00"/>
    <d v="2026-11-18T00:00:00"/>
    <n v="3598"/>
    <n v="719.6"/>
    <n v="2878.4"/>
    <n v="1"/>
    <x v="0"/>
    <s v="Nov"/>
    <x v="1"/>
    <n v="0"/>
  </r>
  <r>
    <s v="ORD-10199"/>
    <d v="2026-08-09T00:00:00"/>
    <s v="CUST-1246"/>
    <s v="Customer 1161"/>
    <x v="3"/>
    <s v="Patna"/>
    <x v="15"/>
    <x v="4"/>
    <n v="3"/>
    <n v="749"/>
    <n v="0.2"/>
    <s v="Credit Card"/>
    <x v="0"/>
    <d v="2026-08-13T00:00:00"/>
    <d v="2026-08-11T00:00:00"/>
    <n v="2247"/>
    <n v="449.40000000000003"/>
    <n v="1797.6"/>
    <n v="2"/>
    <x v="0"/>
    <s v="Aug"/>
    <x v="10"/>
    <n v="0"/>
  </r>
  <r>
    <s v="ORD-10200"/>
    <d v="2026-12-22T00:00:00"/>
    <s v="CUST-1187"/>
    <s v="Customer 1059"/>
    <x v="1"/>
    <s v="Goa"/>
    <x v="21"/>
    <x v="0"/>
    <n v="2"/>
    <n v="1999"/>
    <n v="0.2"/>
    <s v="Credit Card"/>
    <x v="0"/>
    <d v="2026-12-27T00:00:00"/>
    <d v="2026-12-26T00:00:00"/>
    <n v="3998"/>
    <n v="799.6"/>
    <n v="3198.4"/>
    <n v="4"/>
    <x v="0"/>
    <s v="Dec"/>
    <x v="6"/>
    <n v="0"/>
  </r>
  <r>
    <s v="ORD-10201"/>
    <d v="2026-08-25T00:00:00"/>
    <s v="CUST-1210"/>
    <s v="Customer 1256"/>
    <x v="1"/>
    <s v="Pune"/>
    <x v="9"/>
    <x v="1"/>
    <n v="4"/>
    <n v="899"/>
    <n v="0.05"/>
    <s v="Net Banking"/>
    <x v="3"/>
    <d v="2026-08-29T00:00:00"/>
    <d v="2026-08-26T00:00:00"/>
    <n v="3596"/>
    <n v="179.8"/>
    <n v="3416.2"/>
    <n v="1"/>
    <x v="0"/>
    <s v="Aug"/>
    <x v="10"/>
    <n v="0"/>
  </r>
  <r>
    <s v="ORD-10202"/>
    <d v="2026-12-04T00:00:00"/>
    <s v="CUST-1299"/>
    <s v="Customer 1206"/>
    <x v="1"/>
    <s v="Ahmedabad"/>
    <x v="16"/>
    <x v="2"/>
    <n v="1"/>
    <n v="899"/>
    <n v="0.15"/>
    <s v="Net Banking"/>
    <x v="0"/>
    <d v="2026-12-09T00:00:00"/>
    <d v="2026-12-13T00:00:00"/>
    <n v="899"/>
    <n v="134.85"/>
    <n v="764.15"/>
    <n v="9"/>
    <x v="2"/>
    <s v="Dec"/>
    <x v="6"/>
    <n v="0"/>
  </r>
  <r>
    <s v="ORD-10203"/>
    <d v="2026-11-01T00:00:00"/>
    <s v="CUST-1086"/>
    <s v="Customer 1023"/>
    <x v="3"/>
    <s v="Kolkata"/>
    <x v="10"/>
    <x v="0"/>
    <n v="2"/>
    <n v="1899"/>
    <n v="0"/>
    <s v="UPI"/>
    <x v="3"/>
    <d v="2026-11-04T00:00:00"/>
    <d v="2026-11-03T00:00:00"/>
    <n v="3798"/>
    <n v="0"/>
    <n v="3798"/>
    <n v="2"/>
    <x v="0"/>
    <s v="Nov"/>
    <x v="1"/>
    <n v="0"/>
  </r>
  <r>
    <s v="ORD-10204"/>
    <d v="2026-01-06T00:00:00"/>
    <s v="CUST-1295"/>
    <s v="Customer 1114"/>
    <x v="3"/>
    <s v="Patna"/>
    <x v="17"/>
    <x v="4"/>
    <n v="1"/>
    <n v="399"/>
    <n v="0.05"/>
    <s v="COD"/>
    <x v="2"/>
    <d v="2026-01-12T00:00:00"/>
    <d v="2026-01-12T00:00:00"/>
    <n v="399"/>
    <n v="19.950000000000003"/>
    <n v="379.05"/>
    <n v="6"/>
    <x v="0"/>
    <s v="Jan"/>
    <x v="9"/>
    <n v="379.05"/>
  </r>
  <r>
    <s v="ORD-10205"/>
    <d v="2026-12-14T00:00:00"/>
    <s v="CUST-1213"/>
    <s v="Customer 1044"/>
    <x v="3"/>
    <s v="Patna"/>
    <x v="5"/>
    <x v="4"/>
    <n v="2"/>
    <n v="499"/>
    <n v="0.2"/>
    <s v="Credit Card"/>
    <x v="0"/>
    <d v="2026-12-16T00:00:00"/>
    <d v="2026-12-16T00:00:00"/>
    <n v="998"/>
    <n v="199.60000000000002"/>
    <n v="798.4"/>
    <n v="2"/>
    <x v="0"/>
    <s v="Dec"/>
    <x v="6"/>
    <n v="0"/>
  </r>
  <r>
    <s v="ORD-10206"/>
    <d v="2026-06-25T00:00:00"/>
    <s v="CUST-1232"/>
    <s v="Customer 1164"/>
    <x v="0"/>
    <s v="Chennai"/>
    <x v="21"/>
    <x v="0"/>
    <n v="2"/>
    <n v="1999"/>
    <n v="0.05"/>
    <s v="COD"/>
    <x v="0"/>
    <d v="2026-06-29T00:00:00"/>
    <d v="2026-06-29T00:00:00"/>
    <n v="3998"/>
    <n v="199.9"/>
    <n v="3798.1"/>
    <n v="4"/>
    <x v="0"/>
    <s v="Jun"/>
    <x v="2"/>
    <n v="0"/>
  </r>
  <r>
    <s v="ORD-10207"/>
    <d v="2026-01-12T00:00:00"/>
    <s v="CUST-1082"/>
    <s v="Customer 1170"/>
    <x v="0"/>
    <s v="Hyderabad"/>
    <x v="8"/>
    <x v="3"/>
    <n v="3"/>
    <n v="799"/>
    <n v="0"/>
    <s v="Credit Card"/>
    <x v="2"/>
    <d v="2026-01-15T00:00:00"/>
    <d v="2026-01-15T00:00:00"/>
    <n v="2397"/>
    <n v="0"/>
    <n v="2397"/>
    <n v="3"/>
    <x v="0"/>
    <s v="Jan"/>
    <x v="9"/>
    <n v="2397"/>
  </r>
  <r>
    <s v="ORD-10208"/>
    <d v="2026-11-19T00:00:00"/>
    <s v="CUST-1231"/>
    <s v="Customer 1220"/>
    <x v="3"/>
    <s v="Guwahati"/>
    <x v="12"/>
    <x v="2"/>
    <n v="1"/>
    <n v="1599"/>
    <n v="0.15"/>
    <s v="Net Banking"/>
    <x v="0"/>
    <d v="2026-11-26T00:00:00"/>
    <d v="2026-11-21T00:00:00"/>
    <n v="1599"/>
    <n v="239.85"/>
    <n v="1359.15"/>
    <n v="2"/>
    <x v="0"/>
    <s v="Nov"/>
    <x v="1"/>
    <n v="0"/>
  </r>
  <r>
    <s v="ORD-10209"/>
    <d v="2026-05-23T00:00:00"/>
    <s v="CUST-1101"/>
    <s v="Customer 1235"/>
    <x v="3"/>
    <s v="Kolkata"/>
    <x v="2"/>
    <x v="2"/>
    <n v="3"/>
    <n v="699"/>
    <n v="0"/>
    <s v="COD"/>
    <x v="0"/>
    <d v="2026-05-29T00:00:00"/>
    <d v="2026-05-26T00:00:00"/>
    <n v="2097"/>
    <n v="0"/>
    <n v="2097"/>
    <n v="3"/>
    <x v="0"/>
    <s v="May"/>
    <x v="3"/>
    <n v="0"/>
  </r>
  <r>
    <s v="ORD-10210"/>
    <d v="2026-11-24T00:00:00"/>
    <s v="CUST-1235"/>
    <s v="Customer 1089"/>
    <x v="0"/>
    <s v="Hyderabad"/>
    <x v="24"/>
    <x v="4"/>
    <n v="1"/>
    <n v="1499"/>
    <n v="0.15"/>
    <s v="COD"/>
    <x v="0"/>
    <d v="2026-11-30T00:00:00"/>
    <d v="2026-11-27T00:00:00"/>
    <n v="1499"/>
    <n v="224.85"/>
    <n v="1274.1500000000001"/>
    <n v="3"/>
    <x v="0"/>
    <s v="Nov"/>
    <x v="1"/>
    <n v="0"/>
  </r>
  <r>
    <s v="ORD-10211"/>
    <d v="2026-03-02T00:00:00"/>
    <s v="CUST-1215"/>
    <s v="Customer 1071"/>
    <x v="2"/>
    <s v="Delhi"/>
    <x v="16"/>
    <x v="2"/>
    <n v="1"/>
    <n v="899"/>
    <n v="0"/>
    <s v="Credit Card"/>
    <x v="0"/>
    <d v="2026-03-09T00:00:00"/>
    <d v="2026-03-06T00:00:00"/>
    <n v="899"/>
    <n v="0"/>
    <n v="899"/>
    <n v="4"/>
    <x v="0"/>
    <s v="Mar"/>
    <x v="8"/>
    <n v="0"/>
  </r>
  <r>
    <s v="ORD-10212"/>
    <d v="2026-11-22T00:00:00"/>
    <s v="CUST-1162"/>
    <s v="Customer 1231"/>
    <x v="3"/>
    <s v="Guwahati"/>
    <x v="12"/>
    <x v="2"/>
    <n v="2"/>
    <n v="1599"/>
    <n v="0.05"/>
    <s v="COD"/>
    <x v="0"/>
    <d v="2026-11-27T00:00:00"/>
    <d v="2026-11-24T00:00:00"/>
    <n v="3198"/>
    <n v="159.9"/>
    <n v="3038.1"/>
    <n v="2"/>
    <x v="0"/>
    <s v="Nov"/>
    <x v="1"/>
    <n v="0"/>
  </r>
  <r>
    <s v="ORD-10213"/>
    <d v="2026-03-11T00:00:00"/>
    <s v="CUST-1254"/>
    <s v="Customer 1210"/>
    <x v="0"/>
    <s v="Hyderabad"/>
    <x v="19"/>
    <x v="3"/>
    <n v="1"/>
    <n v="1499"/>
    <n v="0.15"/>
    <s v="COD"/>
    <x v="1"/>
    <d v="2026-03-18T00:00:00"/>
    <m/>
    <n v="1499"/>
    <n v="224.85"/>
    <n v="1274.1500000000001"/>
    <s v=""/>
    <x v="1"/>
    <s v="Mar"/>
    <x v="8"/>
    <n v="0"/>
  </r>
  <r>
    <s v="ORD-10214"/>
    <d v="2026-03-27T00:00:00"/>
    <s v="CUST-1087"/>
    <s v="Customer 1235"/>
    <x v="3"/>
    <s v="Guwahati"/>
    <x v="5"/>
    <x v="4"/>
    <n v="1"/>
    <n v="499"/>
    <n v="0"/>
    <s v="Credit Card"/>
    <x v="0"/>
    <d v="2026-03-29T00:00:00"/>
    <d v="2026-03-29T00:00:00"/>
    <n v="499"/>
    <n v="0"/>
    <n v="499"/>
    <n v="2"/>
    <x v="0"/>
    <s v="Mar"/>
    <x v="8"/>
    <n v="0"/>
  </r>
  <r>
    <s v="ORD-10215"/>
    <d v="2026-05-18T00:00:00"/>
    <s v="CUST-1280"/>
    <s v="Customer 1112"/>
    <x v="3"/>
    <s v="Kolkata"/>
    <x v="9"/>
    <x v="1"/>
    <n v="3"/>
    <n v="899"/>
    <n v="0.1"/>
    <s v="COD"/>
    <x v="3"/>
    <d v="2026-05-20T00:00:00"/>
    <d v="2026-05-20T00:00:00"/>
    <n v="2697"/>
    <n v="269.7"/>
    <n v="2427.3000000000002"/>
    <n v="2"/>
    <x v="0"/>
    <s v="May"/>
    <x v="3"/>
    <n v="0"/>
  </r>
  <r>
    <s v="ORD-10216"/>
    <d v="2026-01-17T00:00:00"/>
    <s v="CUST-1108"/>
    <s v="Customer 1180"/>
    <x v="3"/>
    <s v="Kolkata"/>
    <x v="16"/>
    <x v="2"/>
    <n v="1"/>
    <n v="899"/>
    <n v="0.1"/>
    <s v="UPI"/>
    <x v="0"/>
    <d v="2026-01-19T00:00:00"/>
    <d v="2026-01-18T00:00:00"/>
    <n v="899"/>
    <n v="89.9"/>
    <n v="809.1"/>
    <n v="1"/>
    <x v="0"/>
    <s v="Jan"/>
    <x v="9"/>
    <n v="0"/>
  </r>
  <r>
    <s v="ORD-10217"/>
    <d v="2026-04-16T00:00:00"/>
    <s v="CUST-1087"/>
    <s v="Customer 1166"/>
    <x v="3"/>
    <s v="Bhubaneswar"/>
    <x v="1"/>
    <x v="1"/>
    <n v="3"/>
    <n v="599"/>
    <n v="0"/>
    <s v="COD"/>
    <x v="0"/>
    <d v="2026-04-22T00:00:00"/>
    <d v="2026-04-21T00:00:00"/>
    <n v="1797"/>
    <n v="0"/>
    <n v="1797"/>
    <n v="5"/>
    <x v="0"/>
    <s v="Apr"/>
    <x v="0"/>
    <n v="0"/>
  </r>
  <r>
    <s v="ORD-10218"/>
    <d v="2026-09-21T00:00:00"/>
    <s v="CUST-1065"/>
    <s v="Customer 1068"/>
    <x v="2"/>
    <s v="Lucknow"/>
    <x v="11"/>
    <x v="1"/>
    <n v="5"/>
    <n v="3299"/>
    <n v="0"/>
    <s v="Credit Card"/>
    <x v="3"/>
    <d v="2026-09-26T00:00:00"/>
    <d v="2026-09-29T00:00:00"/>
    <n v="16495"/>
    <n v="0"/>
    <n v="16495"/>
    <n v="8"/>
    <x v="2"/>
    <s v="Sep"/>
    <x v="7"/>
    <n v="0"/>
  </r>
  <r>
    <s v="ORD-10219"/>
    <d v="2026-12-13T00:00:00"/>
    <s v="CUST-1232"/>
    <s v="Customer 1039"/>
    <x v="1"/>
    <s v="Pune"/>
    <x v="0"/>
    <x v="0"/>
    <n v="1"/>
    <n v="1799"/>
    <n v="0.05"/>
    <s v="COD"/>
    <x v="2"/>
    <d v="2026-12-17T00:00:00"/>
    <d v="2026-12-17T00:00:00"/>
    <n v="1799"/>
    <n v="89.95"/>
    <n v="1709.05"/>
    <n v="4"/>
    <x v="0"/>
    <s v="Dec"/>
    <x v="6"/>
    <n v="1709.05"/>
  </r>
  <r>
    <s v="ORD-10220"/>
    <d v="2026-12-22T00:00:00"/>
    <s v="CUST-1235"/>
    <s v="Customer 1184"/>
    <x v="0"/>
    <s v="Kochi"/>
    <x v="11"/>
    <x v="1"/>
    <n v="4"/>
    <n v="3299"/>
    <n v="0.1"/>
    <s v="Net Banking"/>
    <x v="0"/>
    <d v="2026-12-26T00:00:00"/>
    <d v="2026-12-23T00:00:00"/>
    <n v="13196"/>
    <n v="1319.6000000000001"/>
    <n v="11876.4"/>
    <n v="1"/>
    <x v="0"/>
    <s v="Dec"/>
    <x v="6"/>
    <n v="0"/>
  </r>
  <r>
    <s v="ORD-10221"/>
    <d v="2026-04-19T00:00:00"/>
    <s v="CUST-1249"/>
    <s v="Customer 1176"/>
    <x v="0"/>
    <s v="Kochi"/>
    <x v="12"/>
    <x v="2"/>
    <n v="2"/>
    <n v="1599"/>
    <n v="0.1"/>
    <s v="Debit Card"/>
    <x v="0"/>
    <d v="2026-04-25T00:00:00"/>
    <d v="2026-04-24T00:00:00"/>
    <n v="3198"/>
    <n v="319.8"/>
    <n v="2878.2"/>
    <n v="5"/>
    <x v="0"/>
    <s v="Apr"/>
    <x v="0"/>
    <n v="0"/>
  </r>
  <r>
    <s v="ORD-10222"/>
    <d v="2026-01-09T00:00:00"/>
    <s v="CUST-1104"/>
    <s v="Customer 1068"/>
    <x v="0"/>
    <s v="Bengaluru"/>
    <x v="19"/>
    <x v="3"/>
    <n v="1"/>
    <n v="1499"/>
    <n v="0.05"/>
    <s v="Net Banking"/>
    <x v="0"/>
    <d v="2026-01-11T00:00:00"/>
    <d v="2026-01-15T00:00:00"/>
    <n v="1499"/>
    <n v="74.95"/>
    <n v="1424.05"/>
    <n v="6"/>
    <x v="2"/>
    <s v="Jan"/>
    <x v="9"/>
    <n v="0"/>
  </r>
  <r>
    <s v="ORD-10223"/>
    <d v="2026-12-02T00:00:00"/>
    <s v="CUST-1157"/>
    <s v="Customer 1120"/>
    <x v="2"/>
    <s v="Jaipur"/>
    <x v="6"/>
    <x v="0"/>
    <n v="1"/>
    <n v="699"/>
    <n v="0"/>
    <s v="Debit Card"/>
    <x v="2"/>
    <d v="2026-12-09T00:00:00"/>
    <d v="2026-12-06T00:00:00"/>
    <n v="699"/>
    <n v="0"/>
    <n v="699"/>
    <n v="4"/>
    <x v="0"/>
    <s v="Dec"/>
    <x v="6"/>
    <n v="699"/>
  </r>
  <r>
    <s v="ORD-10224"/>
    <d v="2026-04-20T00:00:00"/>
    <s v="CUST-1005"/>
    <s v="Customer 1176"/>
    <x v="3"/>
    <s v="Kolkata"/>
    <x v="8"/>
    <x v="3"/>
    <n v="2"/>
    <n v="799"/>
    <n v="0.05"/>
    <s v="COD"/>
    <x v="0"/>
    <d v="2026-04-26T00:00:00"/>
    <d v="2026-04-21T00:00:00"/>
    <n v="1598"/>
    <n v="79.900000000000006"/>
    <n v="1518.1"/>
    <n v="1"/>
    <x v="0"/>
    <s v="Apr"/>
    <x v="0"/>
    <n v="0"/>
  </r>
  <r>
    <s v="ORD-10225"/>
    <d v="2026-02-06T00:00:00"/>
    <s v="CUST-1071"/>
    <s v="Customer 1196"/>
    <x v="0"/>
    <s v="Kochi"/>
    <x v="12"/>
    <x v="2"/>
    <n v="1"/>
    <n v="1599"/>
    <n v="0"/>
    <s v="UPI"/>
    <x v="0"/>
    <d v="2026-02-10T00:00:00"/>
    <d v="2026-02-09T00:00:00"/>
    <n v="1599"/>
    <n v="0"/>
    <n v="1599"/>
    <n v="3"/>
    <x v="0"/>
    <s v="Feb"/>
    <x v="4"/>
    <n v="0"/>
  </r>
  <r>
    <s v="ORD-10226"/>
    <d v="2026-10-16T00:00:00"/>
    <s v="CUST-1078"/>
    <s v="Customer 1211"/>
    <x v="1"/>
    <s v="Pune"/>
    <x v="3"/>
    <x v="3"/>
    <n v="1"/>
    <n v="1799"/>
    <n v="0.05"/>
    <s v="Net Banking"/>
    <x v="0"/>
    <d v="2026-10-23T00:00:00"/>
    <d v="2026-10-22T00:00:00"/>
    <n v="1799"/>
    <n v="89.95"/>
    <n v="1709.05"/>
    <n v="6"/>
    <x v="0"/>
    <s v="Oct"/>
    <x v="5"/>
    <n v="0"/>
  </r>
  <r>
    <s v="ORD-10227"/>
    <d v="2026-03-13T00:00:00"/>
    <s v="CUST-1127"/>
    <s v="Customer 1142"/>
    <x v="3"/>
    <s v="Bhubaneswar"/>
    <x v="8"/>
    <x v="3"/>
    <n v="3"/>
    <n v="799"/>
    <n v="0.2"/>
    <s v="Net Banking"/>
    <x v="0"/>
    <d v="2026-03-18T00:00:00"/>
    <d v="2026-03-15T00:00:00"/>
    <n v="2397"/>
    <n v="479.40000000000003"/>
    <n v="1917.6"/>
    <n v="2"/>
    <x v="0"/>
    <s v="Mar"/>
    <x v="8"/>
    <n v="0"/>
  </r>
  <r>
    <s v="ORD-10228"/>
    <d v="2026-11-04T00:00:00"/>
    <s v="CUST-1266"/>
    <s v="Customer 1261"/>
    <x v="0"/>
    <s v="Chennai"/>
    <x v="22"/>
    <x v="1"/>
    <n v="2"/>
    <n v="1199"/>
    <n v="0.1"/>
    <s v="UPI"/>
    <x v="3"/>
    <d v="2026-11-11T00:00:00"/>
    <d v="2026-11-06T00:00:00"/>
    <n v="2398"/>
    <n v="239.8"/>
    <n v="2158.1999999999998"/>
    <n v="2"/>
    <x v="0"/>
    <s v="Nov"/>
    <x v="1"/>
    <n v="0"/>
  </r>
  <r>
    <s v="ORD-10229"/>
    <d v="2026-05-03T00:00:00"/>
    <s v="CUST-1007"/>
    <s v="Customer 1185"/>
    <x v="1"/>
    <s v="Goa"/>
    <x v="6"/>
    <x v="0"/>
    <n v="2"/>
    <n v="699"/>
    <n v="0"/>
    <s v="Credit Card"/>
    <x v="0"/>
    <d v="2026-05-10T00:00:00"/>
    <d v="2026-05-08T00:00:00"/>
    <n v="1398"/>
    <n v="0"/>
    <n v="1398"/>
    <n v="5"/>
    <x v="0"/>
    <s v="May"/>
    <x v="3"/>
    <n v="0"/>
  </r>
  <r>
    <s v="ORD-10230"/>
    <d v="2026-08-04T00:00:00"/>
    <s v="CUST-1008"/>
    <s v="Customer 1135"/>
    <x v="2"/>
    <s v="Jaipur"/>
    <x v="24"/>
    <x v="4"/>
    <n v="1"/>
    <n v="1499"/>
    <n v="0.05"/>
    <s v="Net Banking"/>
    <x v="3"/>
    <d v="2026-08-06T00:00:00"/>
    <d v="2026-08-05T00:00:00"/>
    <n v="1499"/>
    <n v="74.95"/>
    <n v="1424.05"/>
    <n v="1"/>
    <x v="0"/>
    <s v="Aug"/>
    <x v="10"/>
    <n v="0"/>
  </r>
  <r>
    <s v="ORD-10231"/>
    <d v="2026-09-17T00:00:00"/>
    <s v="CUST-1275"/>
    <s v="Customer 1276"/>
    <x v="1"/>
    <s v="Mumbai"/>
    <x v="19"/>
    <x v="3"/>
    <n v="1"/>
    <n v="1499"/>
    <n v="0.2"/>
    <s v="Net Banking"/>
    <x v="0"/>
    <d v="2026-09-24T00:00:00"/>
    <d v="2026-09-23T00:00:00"/>
    <n v="1499"/>
    <n v="299.8"/>
    <n v="1199.2"/>
    <n v="6"/>
    <x v="0"/>
    <s v="Sep"/>
    <x v="7"/>
    <n v="0"/>
  </r>
  <r>
    <s v="ORD-10232"/>
    <d v="2026-02-10T00:00:00"/>
    <s v="CUST-1201"/>
    <s v="Customer 1034"/>
    <x v="1"/>
    <s v="Ahmedabad"/>
    <x v="18"/>
    <x v="3"/>
    <n v="2"/>
    <n v="1999"/>
    <n v="0.05"/>
    <s v="Credit Card"/>
    <x v="1"/>
    <d v="2026-02-14T00:00:00"/>
    <m/>
    <n v="3998"/>
    <n v="199.9"/>
    <n v="3798.1"/>
    <s v=""/>
    <x v="1"/>
    <s v="Feb"/>
    <x v="4"/>
    <n v="0"/>
  </r>
  <r>
    <s v="ORD-10233"/>
    <d v="2026-05-06T00:00:00"/>
    <s v="CUST-1090"/>
    <s v="Customer 1062"/>
    <x v="2"/>
    <s v="Chandigarh"/>
    <x v="14"/>
    <x v="2"/>
    <n v="1"/>
    <n v="999"/>
    <n v="0.15"/>
    <s v="UPI"/>
    <x v="0"/>
    <d v="2026-05-12T00:00:00"/>
    <d v="2026-05-09T00:00:00"/>
    <n v="999"/>
    <n v="149.85"/>
    <n v="849.15"/>
    <n v="3"/>
    <x v="0"/>
    <s v="May"/>
    <x v="3"/>
    <n v="0"/>
  </r>
  <r>
    <s v="ORD-10234"/>
    <d v="2026-09-12T00:00:00"/>
    <s v="CUST-1065"/>
    <s v="Customer 1138"/>
    <x v="0"/>
    <s v="Chennai"/>
    <x v="4"/>
    <x v="3"/>
    <n v="4"/>
    <n v="1299"/>
    <n v="0.2"/>
    <s v="COD"/>
    <x v="3"/>
    <d v="2026-09-19T00:00:00"/>
    <d v="2026-09-15T00:00:00"/>
    <n v="5196"/>
    <n v="1039.2"/>
    <n v="4156.8"/>
    <n v="3"/>
    <x v="0"/>
    <s v="Sep"/>
    <x v="7"/>
    <n v="0"/>
  </r>
  <r>
    <s v="ORD-10235"/>
    <d v="2026-05-20T00:00:00"/>
    <s v="CUST-1029"/>
    <s v="Customer 1256"/>
    <x v="0"/>
    <s v="Bengaluru"/>
    <x v="23"/>
    <x v="0"/>
    <n v="2"/>
    <n v="2999"/>
    <n v="0.1"/>
    <s v="COD"/>
    <x v="2"/>
    <d v="2026-05-22T00:00:00"/>
    <d v="2026-05-22T00:00:00"/>
    <n v="5998"/>
    <n v="599.80000000000007"/>
    <n v="5398.2"/>
    <n v="2"/>
    <x v="0"/>
    <s v="May"/>
    <x v="3"/>
    <n v="5398.2"/>
  </r>
  <r>
    <s v="ORD-10236"/>
    <d v="2026-02-22T00:00:00"/>
    <s v="CUST-1126"/>
    <s v="Customer 1024"/>
    <x v="1"/>
    <s v="Ahmedabad"/>
    <x v="16"/>
    <x v="2"/>
    <n v="3"/>
    <n v="899"/>
    <n v="0"/>
    <s v="Credit Card"/>
    <x v="2"/>
    <d v="2026-02-28T00:00:00"/>
    <d v="2026-02-23T00:00:00"/>
    <n v="2697"/>
    <n v="0"/>
    <n v="2697"/>
    <n v="1"/>
    <x v="0"/>
    <s v="Feb"/>
    <x v="4"/>
    <n v="2697"/>
  </r>
  <r>
    <s v="ORD-10237"/>
    <d v="2026-04-02T00:00:00"/>
    <s v="CUST-1115"/>
    <s v="Customer 1165"/>
    <x v="3"/>
    <s v="Patna"/>
    <x v="20"/>
    <x v="4"/>
    <n v="4"/>
    <n v="599"/>
    <n v="0"/>
    <s v="COD"/>
    <x v="3"/>
    <d v="2026-04-09T00:00:00"/>
    <d v="2026-04-06T00:00:00"/>
    <n v="2396"/>
    <n v="0"/>
    <n v="2396"/>
    <n v="4"/>
    <x v="0"/>
    <s v="Apr"/>
    <x v="0"/>
    <n v="0"/>
  </r>
  <r>
    <s v="ORD-10238"/>
    <d v="2026-02-09T00:00:00"/>
    <s v="CUST-1206"/>
    <s v="Customer 1036"/>
    <x v="1"/>
    <s v="Goa"/>
    <x v="21"/>
    <x v="0"/>
    <n v="2"/>
    <n v="1999"/>
    <n v="0"/>
    <s v="COD"/>
    <x v="2"/>
    <d v="2026-02-11T00:00:00"/>
    <d v="2026-02-10T00:00:00"/>
    <n v="3998"/>
    <n v="0"/>
    <n v="3998"/>
    <n v="1"/>
    <x v="0"/>
    <s v="Feb"/>
    <x v="4"/>
    <n v="3998"/>
  </r>
  <r>
    <s v="ORD-10239"/>
    <d v="2026-02-14T00:00:00"/>
    <s v="CUST-1125"/>
    <s v="Customer 1238"/>
    <x v="3"/>
    <s v="Patna"/>
    <x v="21"/>
    <x v="0"/>
    <n v="2"/>
    <n v="1999"/>
    <n v="0"/>
    <s v="Debit Card"/>
    <x v="0"/>
    <d v="2026-02-18T00:00:00"/>
    <d v="2026-02-17T00:00:00"/>
    <n v="3998"/>
    <n v="0"/>
    <n v="3998"/>
    <n v="3"/>
    <x v="0"/>
    <s v="Feb"/>
    <x v="4"/>
    <n v="0"/>
  </r>
  <r>
    <s v="ORD-10240"/>
    <d v="2026-05-06T00:00:00"/>
    <s v="CUST-1005"/>
    <s v="Customer 1172"/>
    <x v="2"/>
    <s v="Chandigarh"/>
    <x v="7"/>
    <x v="2"/>
    <n v="1"/>
    <n v="3499"/>
    <n v="0.15"/>
    <s v="UPI"/>
    <x v="0"/>
    <d v="2026-05-12T00:00:00"/>
    <d v="2026-05-12T00:00:00"/>
    <n v="3499"/>
    <n v="524.85"/>
    <n v="2974.15"/>
    <n v="6"/>
    <x v="0"/>
    <s v="May"/>
    <x v="3"/>
    <n v="0"/>
  </r>
  <r>
    <s v="ORD-10241"/>
    <d v="2026-04-16T00:00:00"/>
    <s v="CUST-1144"/>
    <s v="Customer 1048"/>
    <x v="0"/>
    <s v="Kochi"/>
    <x v="6"/>
    <x v="0"/>
    <n v="2"/>
    <n v="699"/>
    <n v="0.05"/>
    <s v="Net Banking"/>
    <x v="0"/>
    <d v="2026-04-18T00:00:00"/>
    <d v="2026-04-20T00:00:00"/>
    <n v="1398"/>
    <n v="69.900000000000006"/>
    <n v="1328.1"/>
    <n v="4"/>
    <x v="2"/>
    <s v="Apr"/>
    <x v="0"/>
    <n v="0"/>
  </r>
  <r>
    <s v="ORD-10242"/>
    <d v="2026-12-25T00:00:00"/>
    <s v="CUST-1259"/>
    <s v="Customer 1069"/>
    <x v="0"/>
    <s v="Chennai"/>
    <x v="13"/>
    <x v="1"/>
    <n v="3"/>
    <n v="2499"/>
    <n v="0.15"/>
    <s v="UPI"/>
    <x v="1"/>
    <d v="2026-12-27T00:00:00"/>
    <m/>
    <n v="7497"/>
    <n v="1124.55"/>
    <n v="6372.45"/>
    <s v=""/>
    <x v="1"/>
    <s v="Dec"/>
    <x v="6"/>
    <n v="0"/>
  </r>
  <r>
    <s v="ORD-10243"/>
    <d v="2026-02-01T00:00:00"/>
    <s v="CUST-1168"/>
    <s v="Customer 1163"/>
    <x v="3"/>
    <s v="Kolkata"/>
    <x v="22"/>
    <x v="1"/>
    <n v="1"/>
    <n v="1199"/>
    <n v="0.05"/>
    <s v="Credit Card"/>
    <x v="0"/>
    <d v="2026-02-05T00:00:00"/>
    <d v="2026-02-05T00:00:00"/>
    <n v="1199"/>
    <n v="59.95"/>
    <n v="1139.05"/>
    <n v="4"/>
    <x v="0"/>
    <s v="Feb"/>
    <x v="4"/>
    <n v="0"/>
  </r>
  <r>
    <s v="ORD-10244"/>
    <d v="2026-04-14T00:00:00"/>
    <s v="CUST-1161"/>
    <s v="Customer 1209"/>
    <x v="3"/>
    <s v="Patna"/>
    <x v="14"/>
    <x v="2"/>
    <n v="1"/>
    <n v="999"/>
    <n v="0.2"/>
    <s v="UPI"/>
    <x v="0"/>
    <d v="2026-04-16T00:00:00"/>
    <d v="2026-04-16T00:00:00"/>
    <n v="999"/>
    <n v="199.8"/>
    <n v="799.2"/>
    <n v="2"/>
    <x v="0"/>
    <s v="Apr"/>
    <x v="0"/>
    <n v="0"/>
  </r>
  <r>
    <s v="ORD-10245"/>
    <d v="2026-06-07T00:00:00"/>
    <s v="CUST-1021"/>
    <s v="Customer 1111"/>
    <x v="0"/>
    <s v="Hyderabad"/>
    <x v="12"/>
    <x v="2"/>
    <n v="2"/>
    <n v="1599"/>
    <n v="0"/>
    <s v="UPI"/>
    <x v="0"/>
    <d v="2026-06-14T00:00:00"/>
    <d v="2026-06-13T00:00:00"/>
    <n v="3198"/>
    <n v="0"/>
    <n v="3198"/>
    <n v="6"/>
    <x v="0"/>
    <s v="Jun"/>
    <x v="2"/>
    <n v="0"/>
  </r>
  <r>
    <s v="ORD-10246"/>
    <d v="2026-07-02T00:00:00"/>
    <s v="CUST-1232"/>
    <s v="Customer 1285"/>
    <x v="2"/>
    <s v="Jaipur"/>
    <x v="4"/>
    <x v="3"/>
    <n v="1"/>
    <n v="1299"/>
    <n v="0"/>
    <s v="Debit Card"/>
    <x v="0"/>
    <d v="2026-07-05T00:00:00"/>
    <d v="2026-07-04T00:00:00"/>
    <n v="1299"/>
    <n v="0"/>
    <n v="1299"/>
    <n v="2"/>
    <x v="0"/>
    <s v="Jul"/>
    <x v="11"/>
    <n v="0"/>
  </r>
  <r>
    <s v="ORD-10247"/>
    <d v="2026-03-13T00:00:00"/>
    <s v="CUST-1044"/>
    <s v="Customer 1299"/>
    <x v="1"/>
    <s v="Mumbai"/>
    <x v="17"/>
    <x v="4"/>
    <n v="1"/>
    <n v="399"/>
    <n v="0"/>
    <s v="Credit Card"/>
    <x v="0"/>
    <d v="2026-03-16T00:00:00"/>
    <d v="2026-03-15T00:00:00"/>
    <n v="399"/>
    <n v="0"/>
    <n v="399"/>
    <n v="2"/>
    <x v="0"/>
    <s v="Mar"/>
    <x v="8"/>
    <n v="0"/>
  </r>
  <r>
    <s v="ORD-10248"/>
    <d v="2026-04-12T00:00:00"/>
    <s v="CUST-1026"/>
    <s v="Customer 1087"/>
    <x v="2"/>
    <s v="Delhi"/>
    <x v="8"/>
    <x v="3"/>
    <n v="4"/>
    <n v="799"/>
    <n v="0.15"/>
    <s v="Credit Card"/>
    <x v="0"/>
    <d v="2026-04-16T00:00:00"/>
    <d v="2026-04-16T00:00:00"/>
    <n v="3196"/>
    <n v="479.4"/>
    <n v="2716.6"/>
    <n v="4"/>
    <x v="0"/>
    <s v="Apr"/>
    <x v="0"/>
    <n v="0"/>
  </r>
  <r>
    <s v="ORD-10249"/>
    <d v="2026-07-15T00:00:00"/>
    <s v="CUST-1077"/>
    <s v="Customer 1018"/>
    <x v="3"/>
    <s v="Guwahati"/>
    <x v="17"/>
    <x v="4"/>
    <n v="2"/>
    <n v="399"/>
    <n v="0.05"/>
    <s v="Debit Card"/>
    <x v="0"/>
    <d v="2026-07-18T00:00:00"/>
    <d v="2026-07-17T00:00:00"/>
    <n v="798"/>
    <n v="39.900000000000006"/>
    <n v="758.1"/>
    <n v="2"/>
    <x v="0"/>
    <s v="Jul"/>
    <x v="11"/>
    <n v="0"/>
  </r>
  <r>
    <s v="ORD-10250"/>
    <d v="2026-10-09T00:00:00"/>
    <s v="CUST-1270"/>
    <s v="Customer 1128"/>
    <x v="1"/>
    <s v="Ahmedabad"/>
    <x v="5"/>
    <x v="4"/>
    <n v="2"/>
    <n v="499"/>
    <n v="0"/>
    <s v="Debit Card"/>
    <x v="0"/>
    <d v="2026-10-12T00:00:00"/>
    <d v="2026-10-12T00:00:00"/>
    <n v="998"/>
    <n v="0"/>
    <n v="998"/>
    <n v="3"/>
    <x v="0"/>
    <s v="Oct"/>
    <x v="5"/>
    <n v="0"/>
  </r>
  <r>
    <s v="ORD-10251"/>
    <d v="2026-10-06T00:00:00"/>
    <s v="CUST-1199"/>
    <s v="Customer 1139"/>
    <x v="0"/>
    <s v="Kochi"/>
    <x v="23"/>
    <x v="0"/>
    <n v="3"/>
    <n v="2999"/>
    <n v="0.1"/>
    <s v="COD"/>
    <x v="1"/>
    <d v="2026-10-10T00:00:00"/>
    <m/>
    <n v="8997"/>
    <n v="899.7"/>
    <n v="8097.3"/>
    <s v=""/>
    <x v="1"/>
    <s v="Oct"/>
    <x v="5"/>
    <n v="0"/>
  </r>
  <r>
    <s v="ORD-10252"/>
    <d v="2026-04-23T00:00:00"/>
    <s v="CUST-1120"/>
    <s v="Customer 1082"/>
    <x v="1"/>
    <s v="Mumbai"/>
    <x v="10"/>
    <x v="0"/>
    <n v="1"/>
    <n v="1899"/>
    <n v="0.1"/>
    <s v="UPI"/>
    <x v="3"/>
    <d v="2026-04-28T00:00:00"/>
    <d v="2026-04-28T00:00:00"/>
    <n v="1899"/>
    <n v="189.9"/>
    <n v="1709.1"/>
    <n v="5"/>
    <x v="0"/>
    <s v="Apr"/>
    <x v="0"/>
    <n v="0"/>
  </r>
  <r>
    <s v="ORD-10253"/>
    <d v="2026-10-01T00:00:00"/>
    <s v="CUST-1182"/>
    <s v="Customer 1089"/>
    <x v="0"/>
    <s v="Chennai"/>
    <x v="16"/>
    <x v="2"/>
    <n v="3"/>
    <n v="899"/>
    <n v="0"/>
    <s v="Credit Card"/>
    <x v="1"/>
    <d v="2026-10-06T00:00:00"/>
    <m/>
    <n v="2697"/>
    <n v="0"/>
    <n v="2697"/>
    <s v=""/>
    <x v="1"/>
    <s v="Oct"/>
    <x v="5"/>
    <n v="0"/>
  </r>
  <r>
    <s v="ORD-10254"/>
    <d v="2026-12-24T00:00:00"/>
    <s v="CUST-1289"/>
    <s v="Customer 1073"/>
    <x v="1"/>
    <s v="Pune"/>
    <x v="11"/>
    <x v="1"/>
    <n v="1"/>
    <n v="3299"/>
    <n v="0.2"/>
    <s v="UPI"/>
    <x v="2"/>
    <d v="2026-12-31T00:00:00"/>
    <d v="2026-12-29T00:00:00"/>
    <n v="3299"/>
    <n v="659.80000000000007"/>
    <n v="2639.2"/>
    <n v="5"/>
    <x v="0"/>
    <s v="Dec"/>
    <x v="6"/>
    <n v="2639.2"/>
  </r>
  <r>
    <s v="ORD-10255"/>
    <d v="2026-03-31T00:00:00"/>
    <s v="CUST-1245"/>
    <s v="Customer 1001"/>
    <x v="1"/>
    <s v="Goa"/>
    <x v="11"/>
    <x v="1"/>
    <n v="2"/>
    <n v="3299"/>
    <n v="0"/>
    <s v="UPI"/>
    <x v="0"/>
    <d v="2026-04-06T00:00:00"/>
    <d v="2026-04-05T00:00:00"/>
    <n v="6598"/>
    <n v="0"/>
    <n v="6598"/>
    <n v="5"/>
    <x v="0"/>
    <s v="Mar"/>
    <x v="8"/>
    <n v="0"/>
  </r>
  <r>
    <s v="ORD-10256"/>
    <d v="2026-04-01T00:00:00"/>
    <s v="CUST-1057"/>
    <s v="Customer 1270"/>
    <x v="2"/>
    <s v="Jaipur"/>
    <x v="16"/>
    <x v="2"/>
    <n v="4"/>
    <n v="899"/>
    <n v="0.1"/>
    <s v="UPI"/>
    <x v="0"/>
    <d v="2026-04-04T00:00:00"/>
    <d v="2026-04-02T00:00:00"/>
    <n v="3596"/>
    <n v="359.6"/>
    <n v="3236.4"/>
    <n v="1"/>
    <x v="0"/>
    <s v="Apr"/>
    <x v="0"/>
    <n v="0"/>
  </r>
  <r>
    <s v="ORD-10257"/>
    <d v="2026-10-28T00:00:00"/>
    <s v="CUST-1250"/>
    <s v="Customer 1163"/>
    <x v="2"/>
    <s v="Delhi"/>
    <x v="23"/>
    <x v="0"/>
    <n v="1"/>
    <n v="2999"/>
    <n v="0.1"/>
    <s v="Debit Card"/>
    <x v="0"/>
    <d v="2026-10-31T00:00:00"/>
    <d v="2026-10-30T00:00:00"/>
    <n v="2999"/>
    <n v="299.90000000000003"/>
    <n v="2699.1"/>
    <n v="2"/>
    <x v="0"/>
    <s v="Oct"/>
    <x v="5"/>
    <n v="0"/>
  </r>
  <r>
    <s v="ORD-10258"/>
    <d v="2026-03-31T00:00:00"/>
    <s v="CUST-1294"/>
    <s v="Customer 1201"/>
    <x v="1"/>
    <s v="Ahmedabad"/>
    <x v="7"/>
    <x v="2"/>
    <n v="1"/>
    <n v="3499"/>
    <n v="0.1"/>
    <s v="Credit Card"/>
    <x v="0"/>
    <d v="2026-04-07T00:00:00"/>
    <d v="2026-04-06T00:00:00"/>
    <n v="3499"/>
    <n v="349.90000000000003"/>
    <n v="3149.1"/>
    <n v="6"/>
    <x v="0"/>
    <s v="Mar"/>
    <x v="8"/>
    <n v="0"/>
  </r>
  <r>
    <s v="ORD-10259"/>
    <d v="2026-11-10T00:00:00"/>
    <s v="CUST-1122"/>
    <s v="Customer 1178"/>
    <x v="0"/>
    <s v="Chennai"/>
    <x v="11"/>
    <x v="1"/>
    <n v="1"/>
    <n v="3299"/>
    <n v="0.2"/>
    <s v="UPI"/>
    <x v="0"/>
    <d v="2026-11-13T00:00:00"/>
    <d v="2026-11-11T00:00:00"/>
    <n v="3299"/>
    <n v="659.80000000000007"/>
    <n v="2639.2"/>
    <n v="1"/>
    <x v="0"/>
    <s v="Nov"/>
    <x v="1"/>
    <n v="0"/>
  </r>
  <r>
    <s v="ORD-10260"/>
    <d v="2026-08-17T00:00:00"/>
    <s v="CUST-1001"/>
    <s v="Customer 1025"/>
    <x v="2"/>
    <s v="Jaipur"/>
    <x v="18"/>
    <x v="3"/>
    <n v="1"/>
    <n v="1999"/>
    <n v="0.05"/>
    <s v="Credit Card"/>
    <x v="2"/>
    <d v="2026-08-19T00:00:00"/>
    <d v="2026-08-18T00:00:00"/>
    <n v="1999"/>
    <n v="99.95"/>
    <n v="1899.05"/>
    <n v="1"/>
    <x v="0"/>
    <s v="Aug"/>
    <x v="10"/>
    <n v="1899.05"/>
  </r>
  <r>
    <s v="ORD-10261"/>
    <d v="2026-07-31T00:00:00"/>
    <s v="CUST-1052"/>
    <s v="Customer 1246"/>
    <x v="3"/>
    <s v="Guwahati"/>
    <x v="20"/>
    <x v="4"/>
    <n v="2"/>
    <n v="599"/>
    <n v="0.15"/>
    <s v="Debit Card"/>
    <x v="1"/>
    <d v="2026-08-05T00:00:00"/>
    <m/>
    <n v="1198"/>
    <n v="179.7"/>
    <n v="1018.3"/>
    <s v=""/>
    <x v="1"/>
    <s v="Jul"/>
    <x v="11"/>
    <n v="0"/>
  </r>
  <r>
    <s v="ORD-10262"/>
    <d v="2026-01-18T00:00:00"/>
    <s v="CUST-1083"/>
    <s v="Customer 1039"/>
    <x v="1"/>
    <s v="Pune"/>
    <x v="17"/>
    <x v="4"/>
    <n v="1"/>
    <n v="399"/>
    <n v="0.1"/>
    <s v="Debit Card"/>
    <x v="0"/>
    <d v="2026-01-20T00:00:00"/>
    <d v="2026-01-20T00:00:00"/>
    <n v="399"/>
    <n v="39.900000000000006"/>
    <n v="359.1"/>
    <n v="2"/>
    <x v="0"/>
    <s v="Jan"/>
    <x v="9"/>
    <n v="0"/>
  </r>
  <r>
    <s v="ORD-10263"/>
    <d v="2026-09-05T00:00:00"/>
    <s v="CUST-1081"/>
    <s v="Customer 1028"/>
    <x v="0"/>
    <s v="Hyderabad"/>
    <x v="22"/>
    <x v="1"/>
    <n v="2"/>
    <n v="1199"/>
    <n v="0.15"/>
    <s v="Credit Card"/>
    <x v="1"/>
    <d v="2026-09-10T00:00:00"/>
    <m/>
    <n v="2398"/>
    <n v="359.7"/>
    <n v="2038.3"/>
    <s v=""/>
    <x v="1"/>
    <s v="Sep"/>
    <x v="7"/>
    <n v="0"/>
  </r>
  <r>
    <s v="ORD-10264"/>
    <d v="2026-07-29T00:00:00"/>
    <s v="CUST-1026"/>
    <s v="Customer 1202"/>
    <x v="0"/>
    <s v="Hyderabad"/>
    <x v="2"/>
    <x v="2"/>
    <n v="2"/>
    <n v="699"/>
    <n v="0.2"/>
    <s v="Debit Card"/>
    <x v="2"/>
    <d v="2026-08-02T00:00:00"/>
    <d v="2026-07-30T00:00:00"/>
    <n v="1398"/>
    <n v="279.60000000000002"/>
    <n v="1118.4000000000001"/>
    <n v="1"/>
    <x v="0"/>
    <s v="Jul"/>
    <x v="11"/>
    <n v="1118.4000000000001"/>
  </r>
  <r>
    <s v="ORD-10265"/>
    <d v="2026-01-02T00:00:00"/>
    <s v="CUST-1088"/>
    <s v="Customer 1150"/>
    <x v="3"/>
    <s v="Bhubaneswar"/>
    <x v="18"/>
    <x v="3"/>
    <n v="1"/>
    <n v="1999"/>
    <n v="0.1"/>
    <s v="COD"/>
    <x v="0"/>
    <d v="2026-01-05T00:00:00"/>
    <d v="2026-01-03T00:00:00"/>
    <n v="1999"/>
    <n v="199.9"/>
    <n v="1799.1"/>
    <n v="1"/>
    <x v="0"/>
    <s v="Jan"/>
    <x v="9"/>
    <n v="0"/>
  </r>
  <r>
    <s v="ORD-10266"/>
    <d v="2026-07-23T00:00:00"/>
    <s v="CUST-1196"/>
    <s v="Customer 1190"/>
    <x v="0"/>
    <s v="Kochi"/>
    <x v="18"/>
    <x v="3"/>
    <n v="2"/>
    <n v="1999"/>
    <n v="0.1"/>
    <s v="UPI"/>
    <x v="2"/>
    <d v="2026-07-29T00:00:00"/>
    <d v="2026-07-26T00:00:00"/>
    <n v="3998"/>
    <n v="399.8"/>
    <n v="3598.2"/>
    <n v="3"/>
    <x v="0"/>
    <s v="Jul"/>
    <x v="11"/>
    <n v="3598.2"/>
  </r>
  <r>
    <s v="ORD-10267"/>
    <d v="2026-08-14T00:00:00"/>
    <s v="CUST-1078"/>
    <s v="Customer 1050"/>
    <x v="1"/>
    <s v="Goa"/>
    <x v="18"/>
    <x v="3"/>
    <n v="2"/>
    <n v="1999"/>
    <n v="0.05"/>
    <s v="Debit Card"/>
    <x v="1"/>
    <d v="2026-08-16T00:00:00"/>
    <m/>
    <n v="3998"/>
    <n v="199.9"/>
    <n v="3798.1"/>
    <s v=""/>
    <x v="1"/>
    <s v="Aug"/>
    <x v="10"/>
    <n v="0"/>
  </r>
  <r>
    <s v="ORD-10268"/>
    <d v="2026-10-29T00:00:00"/>
    <s v="CUST-1244"/>
    <s v="Customer 1294"/>
    <x v="0"/>
    <s v="Hyderabad"/>
    <x v="13"/>
    <x v="1"/>
    <n v="1"/>
    <n v="2499"/>
    <n v="0"/>
    <s v="Net Banking"/>
    <x v="3"/>
    <d v="2026-11-04T00:00:00"/>
    <d v="2026-11-03T00:00:00"/>
    <n v="2499"/>
    <n v="0"/>
    <n v="2499"/>
    <n v="5"/>
    <x v="0"/>
    <s v="Oct"/>
    <x v="5"/>
    <n v="0"/>
  </r>
  <r>
    <s v="ORD-10269"/>
    <d v="2026-07-22T00:00:00"/>
    <s v="CUST-1293"/>
    <s v="Customer 1076"/>
    <x v="1"/>
    <s v="Goa"/>
    <x v="6"/>
    <x v="0"/>
    <n v="4"/>
    <n v="699"/>
    <n v="0"/>
    <s v="COD"/>
    <x v="1"/>
    <d v="2026-07-28T00:00:00"/>
    <m/>
    <n v="2796"/>
    <n v="0"/>
    <n v="2796"/>
    <s v=""/>
    <x v="1"/>
    <s v="Jul"/>
    <x v="11"/>
    <n v="0"/>
  </r>
  <r>
    <s v="ORD-10270"/>
    <d v="2026-04-19T00:00:00"/>
    <s v="CUST-1104"/>
    <s v="Customer 1076"/>
    <x v="0"/>
    <s v="Kochi"/>
    <x v="2"/>
    <x v="2"/>
    <n v="3"/>
    <n v="699"/>
    <n v="0.05"/>
    <s v="UPI"/>
    <x v="0"/>
    <d v="2026-04-21T00:00:00"/>
    <d v="2026-04-25T00:00:00"/>
    <n v="2097"/>
    <n v="104.85000000000001"/>
    <n v="1992.15"/>
    <n v="6"/>
    <x v="2"/>
    <s v="Apr"/>
    <x v="0"/>
    <n v="0"/>
  </r>
  <r>
    <s v="ORD-10271"/>
    <d v="2026-07-18T00:00:00"/>
    <s v="CUST-1268"/>
    <s v="Customer 1215"/>
    <x v="2"/>
    <s v="Lucknow"/>
    <x v="8"/>
    <x v="3"/>
    <n v="2"/>
    <n v="799"/>
    <n v="0.2"/>
    <s v="Debit Card"/>
    <x v="3"/>
    <d v="2026-07-22T00:00:00"/>
    <d v="2026-07-19T00:00:00"/>
    <n v="1598"/>
    <n v="319.60000000000002"/>
    <n v="1278.4000000000001"/>
    <n v="1"/>
    <x v="0"/>
    <s v="Jul"/>
    <x v="11"/>
    <n v="0"/>
  </r>
  <r>
    <s v="ORD-10272"/>
    <d v="2026-10-18T00:00:00"/>
    <s v="CUST-1147"/>
    <s v="Customer 1275"/>
    <x v="0"/>
    <s v="Kochi"/>
    <x v="2"/>
    <x v="2"/>
    <n v="2"/>
    <n v="699"/>
    <n v="0"/>
    <s v="UPI"/>
    <x v="1"/>
    <d v="2026-10-20T00:00:00"/>
    <m/>
    <n v="1398"/>
    <n v="0"/>
    <n v="1398"/>
    <s v=""/>
    <x v="1"/>
    <s v="Oct"/>
    <x v="5"/>
    <n v="0"/>
  </r>
  <r>
    <s v="ORD-10273"/>
    <d v="2026-12-02T00:00:00"/>
    <s v="CUST-1206"/>
    <s v="Customer 1020"/>
    <x v="2"/>
    <s v="Chandigarh"/>
    <x v="23"/>
    <x v="0"/>
    <n v="2"/>
    <n v="2999"/>
    <n v="0.2"/>
    <s v="Net Banking"/>
    <x v="0"/>
    <d v="2026-12-05T00:00:00"/>
    <d v="2026-12-03T00:00:00"/>
    <n v="5998"/>
    <n v="1199.6000000000001"/>
    <n v="4798.3999999999996"/>
    <n v="1"/>
    <x v="0"/>
    <s v="Dec"/>
    <x v="6"/>
    <n v="0"/>
  </r>
  <r>
    <s v="ORD-10274"/>
    <d v="2026-09-01T00:00:00"/>
    <s v="CUST-1051"/>
    <s v="Customer 1117"/>
    <x v="3"/>
    <s v="Patna"/>
    <x v="14"/>
    <x v="2"/>
    <n v="4"/>
    <n v="999"/>
    <n v="0.1"/>
    <s v="UPI"/>
    <x v="0"/>
    <d v="2026-09-05T00:00:00"/>
    <d v="2026-09-05T00:00:00"/>
    <n v="3996"/>
    <n v="399.6"/>
    <n v="3596.4"/>
    <n v="4"/>
    <x v="0"/>
    <s v="Sep"/>
    <x v="7"/>
    <n v="0"/>
  </r>
  <r>
    <s v="ORD-10275"/>
    <d v="2026-05-18T00:00:00"/>
    <s v="CUST-1249"/>
    <s v="Customer 1265"/>
    <x v="1"/>
    <s v="Ahmedabad"/>
    <x v="15"/>
    <x v="4"/>
    <n v="2"/>
    <n v="749"/>
    <n v="0.2"/>
    <s v="UPI"/>
    <x v="0"/>
    <d v="2026-05-23T00:00:00"/>
    <d v="2026-05-22T00:00:00"/>
    <n v="1498"/>
    <n v="299.60000000000002"/>
    <n v="1198.4000000000001"/>
    <n v="4"/>
    <x v="0"/>
    <s v="May"/>
    <x v="3"/>
    <n v="0"/>
  </r>
  <r>
    <s v="ORD-10276"/>
    <d v="2026-02-03T00:00:00"/>
    <s v="CUST-1089"/>
    <s v="Customer 1099"/>
    <x v="2"/>
    <s v="Delhi"/>
    <x v="1"/>
    <x v="1"/>
    <n v="1"/>
    <n v="599"/>
    <n v="0.2"/>
    <s v="Net Banking"/>
    <x v="0"/>
    <d v="2026-02-09T00:00:00"/>
    <d v="2026-02-04T00:00:00"/>
    <n v="599"/>
    <n v="119.80000000000001"/>
    <n v="479.2"/>
    <n v="1"/>
    <x v="0"/>
    <s v="Feb"/>
    <x v="4"/>
    <n v="0"/>
  </r>
  <r>
    <s v="ORD-10277"/>
    <d v="2026-08-22T00:00:00"/>
    <s v="CUST-1064"/>
    <s v="Customer 1016"/>
    <x v="1"/>
    <s v="Mumbai"/>
    <x v="14"/>
    <x v="2"/>
    <n v="1"/>
    <n v="999"/>
    <n v="0.1"/>
    <s v="Credit Card"/>
    <x v="0"/>
    <d v="2026-08-26T00:00:00"/>
    <d v="2026-08-26T00:00:00"/>
    <n v="999"/>
    <n v="99.9"/>
    <n v="899.1"/>
    <n v="4"/>
    <x v="0"/>
    <s v="Aug"/>
    <x v="10"/>
    <n v="0"/>
  </r>
  <r>
    <s v="ORD-10278"/>
    <d v="2026-08-17T00:00:00"/>
    <s v="CUST-1177"/>
    <s v="Customer 1084"/>
    <x v="1"/>
    <s v="Ahmedabad"/>
    <x v="24"/>
    <x v="4"/>
    <n v="1"/>
    <n v="1499"/>
    <n v="0.15"/>
    <s v="COD"/>
    <x v="1"/>
    <d v="2026-08-21T00:00:00"/>
    <m/>
    <n v="1499"/>
    <n v="224.85"/>
    <n v="1274.1500000000001"/>
    <s v=""/>
    <x v="1"/>
    <s v="Aug"/>
    <x v="10"/>
    <n v="0"/>
  </r>
  <r>
    <s v="ORD-10279"/>
    <d v="2026-07-17T00:00:00"/>
    <s v="CUST-1106"/>
    <s v="Customer 1138"/>
    <x v="2"/>
    <s v="Delhi"/>
    <x v="6"/>
    <x v="0"/>
    <n v="1"/>
    <n v="699"/>
    <n v="0.2"/>
    <s v="Credit Card"/>
    <x v="3"/>
    <d v="2026-07-20T00:00:00"/>
    <d v="2026-07-20T00:00:00"/>
    <n v="699"/>
    <n v="139.80000000000001"/>
    <n v="559.20000000000005"/>
    <n v="3"/>
    <x v="0"/>
    <s v="Jul"/>
    <x v="11"/>
    <n v="0"/>
  </r>
  <r>
    <s v="ORD-10280"/>
    <d v="2026-03-09T00:00:00"/>
    <s v="CUST-1141"/>
    <s v="Customer 1217"/>
    <x v="3"/>
    <s v="Kolkata"/>
    <x v="19"/>
    <x v="3"/>
    <n v="2"/>
    <n v="1499"/>
    <n v="0.2"/>
    <s v="UPI"/>
    <x v="0"/>
    <d v="2026-03-13T00:00:00"/>
    <d v="2026-03-12T00:00:00"/>
    <n v="2998"/>
    <n v="599.6"/>
    <n v="2398.4"/>
    <n v="3"/>
    <x v="0"/>
    <s v="Mar"/>
    <x v="8"/>
    <n v="0"/>
  </r>
  <r>
    <s v="ORD-10281"/>
    <d v="2026-04-22T00:00:00"/>
    <s v="CUST-1192"/>
    <s v="Customer 1288"/>
    <x v="3"/>
    <s v="Patna"/>
    <x v="15"/>
    <x v="4"/>
    <n v="2"/>
    <n v="749"/>
    <n v="0.2"/>
    <s v="COD"/>
    <x v="0"/>
    <d v="2026-04-28T00:00:00"/>
    <d v="2026-04-27T00:00:00"/>
    <n v="1498"/>
    <n v="299.60000000000002"/>
    <n v="1198.4000000000001"/>
    <n v="5"/>
    <x v="0"/>
    <s v="Apr"/>
    <x v="0"/>
    <n v="0"/>
  </r>
  <r>
    <s v="ORD-10282"/>
    <d v="2026-02-02T00:00:00"/>
    <s v="CUST-1097"/>
    <s v="Customer 1077"/>
    <x v="2"/>
    <s v="Lucknow"/>
    <x v="19"/>
    <x v="3"/>
    <n v="1"/>
    <n v="1499"/>
    <n v="0.1"/>
    <s v="Debit Card"/>
    <x v="3"/>
    <d v="2026-02-06T00:00:00"/>
    <d v="2026-02-05T00:00:00"/>
    <n v="1499"/>
    <n v="149.9"/>
    <n v="1349.1"/>
    <n v="3"/>
    <x v="0"/>
    <s v="Feb"/>
    <x v="4"/>
    <n v="0"/>
  </r>
  <r>
    <s v="ORD-10283"/>
    <d v="2026-12-05T00:00:00"/>
    <s v="CUST-1215"/>
    <s v="Customer 1208"/>
    <x v="1"/>
    <s v="Mumbai"/>
    <x v="13"/>
    <x v="1"/>
    <n v="1"/>
    <n v="2499"/>
    <n v="0.05"/>
    <s v="UPI"/>
    <x v="2"/>
    <d v="2026-12-10T00:00:00"/>
    <d v="2026-12-13T00:00:00"/>
    <n v="2499"/>
    <n v="124.95"/>
    <n v="2374.0500000000002"/>
    <n v="8"/>
    <x v="2"/>
    <s v="Dec"/>
    <x v="6"/>
    <n v="2374.0500000000002"/>
  </r>
  <r>
    <s v="ORD-10284"/>
    <d v="2026-04-08T00:00:00"/>
    <s v="CUST-1260"/>
    <s v="Customer 1154"/>
    <x v="3"/>
    <s v="Kolkata"/>
    <x v="22"/>
    <x v="1"/>
    <n v="1"/>
    <n v="1199"/>
    <n v="0.05"/>
    <s v="COD"/>
    <x v="2"/>
    <d v="2026-04-13T00:00:00"/>
    <d v="2026-04-16T00:00:00"/>
    <n v="1199"/>
    <n v="59.95"/>
    <n v="1139.05"/>
    <n v="8"/>
    <x v="2"/>
    <s v="Apr"/>
    <x v="0"/>
    <n v="1139.05"/>
  </r>
  <r>
    <s v="ORD-10285"/>
    <d v="2026-08-30T00:00:00"/>
    <s v="CUST-1046"/>
    <s v="Customer 1114"/>
    <x v="1"/>
    <s v="Pune"/>
    <x v="6"/>
    <x v="0"/>
    <n v="1"/>
    <n v="699"/>
    <n v="0.1"/>
    <s v="COD"/>
    <x v="3"/>
    <d v="2026-09-02T00:00:00"/>
    <d v="2026-09-05T00:00:00"/>
    <n v="699"/>
    <n v="69.900000000000006"/>
    <n v="629.1"/>
    <n v="6"/>
    <x v="2"/>
    <s v="Aug"/>
    <x v="10"/>
    <n v="0"/>
  </r>
  <r>
    <s v="ORD-10286"/>
    <d v="2026-06-19T00:00:00"/>
    <s v="CUST-1242"/>
    <s v="Customer 1100"/>
    <x v="2"/>
    <s v="Jaipur"/>
    <x v="23"/>
    <x v="0"/>
    <n v="1"/>
    <n v="2999"/>
    <n v="0.2"/>
    <s v="Debit Card"/>
    <x v="0"/>
    <d v="2026-06-21T00:00:00"/>
    <d v="2026-06-20T00:00:00"/>
    <n v="2999"/>
    <n v="599.80000000000007"/>
    <n v="2399.1999999999998"/>
    <n v="1"/>
    <x v="0"/>
    <s v="Jun"/>
    <x v="2"/>
    <n v="0"/>
  </r>
  <r>
    <s v="ORD-10287"/>
    <d v="2026-07-31T00:00:00"/>
    <s v="CUST-1074"/>
    <s v="Customer 1162"/>
    <x v="0"/>
    <s v="Kochi"/>
    <x v="11"/>
    <x v="1"/>
    <n v="1"/>
    <n v="3299"/>
    <n v="0.05"/>
    <s v="Credit Card"/>
    <x v="0"/>
    <d v="2026-08-04T00:00:00"/>
    <d v="2026-08-04T00:00:00"/>
    <n v="3299"/>
    <n v="164.95000000000002"/>
    <n v="3134.05"/>
    <n v="4"/>
    <x v="0"/>
    <s v="Jul"/>
    <x v="11"/>
    <n v="0"/>
  </r>
  <r>
    <s v="ORD-10288"/>
    <d v="2026-11-20T00:00:00"/>
    <s v="CUST-1296"/>
    <s v="Customer 1082"/>
    <x v="1"/>
    <s v="Mumbai"/>
    <x v="15"/>
    <x v="4"/>
    <n v="5"/>
    <n v="749"/>
    <n v="0.1"/>
    <s v="UPI"/>
    <x v="0"/>
    <d v="2026-11-25T00:00:00"/>
    <d v="2026-11-22T00:00:00"/>
    <n v="3745"/>
    <n v="374.5"/>
    <n v="3370.5"/>
    <n v="2"/>
    <x v="0"/>
    <s v="Nov"/>
    <x v="1"/>
    <n v="0"/>
  </r>
  <r>
    <s v="ORD-10289"/>
    <d v="2026-08-11T00:00:00"/>
    <s v="CUST-1103"/>
    <s v="Customer 1192"/>
    <x v="3"/>
    <s v="Kolkata"/>
    <x v="7"/>
    <x v="2"/>
    <n v="2"/>
    <n v="3499"/>
    <n v="0.15"/>
    <s v="Net Banking"/>
    <x v="0"/>
    <d v="2026-08-16T00:00:00"/>
    <d v="2026-08-16T00:00:00"/>
    <n v="6998"/>
    <n v="1049.7"/>
    <n v="5948.3"/>
    <n v="5"/>
    <x v="0"/>
    <s v="Aug"/>
    <x v="10"/>
    <n v="0"/>
  </r>
  <r>
    <s v="ORD-10290"/>
    <d v="2026-01-10T00:00:00"/>
    <s v="CUST-1197"/>
    <s v="Customer 1258"/>
    <x v="0"/>
    <s v="Hyderabad"/>
    <x v="1"/>
    <x v="1"/>
    <n v="2"/>
    <n v="599"/>
    <n v="0.05"/>
    <s v="Credit Card"/>
    <x v="2"/>
    <d v="2026-01-14T00:00:00"/>
    <d v="2026-01-11T00:00:00"/>
    <n v="1198"/>
    <n v="59.900000000000006"/>
    <n v="1138.0999999999999"/>
    <n v="1"/>
    <x v="0"/>
    <s v="Jan"/>
    <x v="9"/>
    <n v="1138.0999999999999"/>
  </r>
  <r>
    <s v="ORD-10291"/>
    <d v="2026-06-02T00:00:00"/>
    <s v="CUST-1173"/>
    <s v="Customer 1223"/>
    <x v="2"/>
    <s v="Jaipur"/>
    <x v="8"/>
    <x v="3"/>
    <n v="4"/>
    <n v="799"/>
    <n v="0.15"/>
    <s v="COD"/>
    <x v="1"/>
    <d v="2026-06-08T00:00:00"/>
    <m/>
    <n v="3196"/>
    <n v="479.4"/>
    <n v="2716.6"/>
    <s v=""/>
    <x v="1"/>
    <s v="Jun"/>
    <x v="2"/>
    <n v="0"/>
  </r>
  <r>
    <s v="ORD-10292"/>
    <d v="2026-04-07T00:00:00"/>
    <s v="CUST-1109"/>
    <s v="Customer 1012"/>
    <x v="1"/>
    <s v="Ahmedabad"/>
    <x v="15"/>
    <x v="4"/>
    <n v="1"/>
    <n v="749"/>
    <n v="0.15"/>
    <s v="UPI"/>
    <x v="0"/>
    <d v="2026-04-10T00:00:00"/>
    <d v="2026-04-08T00:00:00"/>
    <n v="749"/>
    <n v="112.35"/>
    <n v="636.65"/>
    <n v="1"/>
    <x v="0"/>
    <s v="Apr"/>
    <x v="0"/>
    <n v="0"/>
  </r>
  <r>
    <s v="ORD-10293"/>
    <d v="2026-07-12T00:00:00"/>
    <s v="CUST-1025"/>
    <s v="Customer 1056"/>
    <x v="1"/>
    <s v="Mumbai"/>
    <x v="6"/>
    <x v="0"/>
    <n v="3"/>
    <n v="699"/>
    <n v="0.1"/>
    <s v="COD"/>
    <x v="1"/>
    <d v="2026-07-14T00:00:00"/>
    <m/>
    <n v="2097"/>
    <n v="209.70000000000002"/>
    <n v="1887.3"/>
    <s v=""/>
    <x v="1"/>
    <s v="Jul"/>
    <x v="11"/>
    <n v="0"/>
  </r>
  <r>
    <s v="ORD-10294"/>
    <d v="2026-08-16T00:00:00"/>
    <s v="CUST-1005"/>
    <s v="Customer 1155"/>
    <x v="0"/>
    <s v="Bengaluru"/>
    <x v="19"/>
    <x v="3"/>
    <n v="1"/>
    <n v="1499"/>
    <n v="0.2"/>
    <s v="Debit Card"/>
    <x v="0"/>
    <d v="2026-08-23T00:00:00"/>
    <d v="2026-08-22T00:00:00"/>
    <n v="1499"/>
    <n v="299.8"/>
    <n v="1199.2"/>
    <n v="6"/>
    <x v="0"/>
    <s v="Aug"/>
    <x v="10"/>
    <n v="0"/>
  </r>
  <r>
    <s v="ORD-10295"/>
    <d v="2026-11-15T00:00:00"/>
    <s v="CUST-1145"/>
    <s v="Customer 1059"/>
    <x v="3"/>
    <s v="Kolkata"/>
    <x v="11"/>
    <x v="1"/>
    <n v="2"/>
    <n v="3299"/>
    <n v="0.05"/>
    <s v="Net Banking"/>
    <x v="3"/>
    <d v="2026-11-17T00:00:00"/>
    <d v="2026-11-16T00:00:00"/>
    <n v="6598"/>
    <n v="329.90000000000003"/>
    <n v="6268.1"/>
    <n v="1"/>
    <x v="0"/>
    <s v="Nov"/>
    <x v="1"/>
    <n v="0"/>
  </r>
  <r>
    <s v="ORD-10296"/>
    <d v="2026-04-13T00:00:00"/>
    <s v="CUST-1021"/>
    <s v="Customer 1281"/>
    <x v="0"/>
    <s v="Kochi"/>
    <x v="7"/>
    <x v="2"/>
    <n v="3"/>
    <n v="3499"/>
    <n v="0.2"/>
    <s v="Credit Card"/>
    <x v="0"/>
    <d v="2026-04-20T00:00:00"/>
    <d v="2026-04-15T00:00:00"/>
    <n v="10497"/>
    <n v="2099.4"/>
    <n v="8397.6"/>
    <n v="2"/>
    <x v="0"/>
    <s v="Apr"/>
    <x v="0"/>
    <n v="0"/>
  </r>
  <r>
    <s v="ORD-10297"/>
    <d v="2026-05-01T00:00:00"/>
    <s v="CUST-1047"/>
    <s v="Customer 1262"/>
    <x v="3"/>
    <s v="Bhubaneswar"/>
    <x v="15"/>
    <x v="4"/>
    <n v="1"/>
    <n v="749"/>
    <n v="0"/>
    <s v="UPI"/>
    <x v="3"/>
    <d v="2026-05-07T00:00:00"/>
    <d v="2026-05-03T00:00:00"/>
    <n v="749"/>
    <n v="0"/>
    <n v="749"/>
    <n v="2"/>
    <x v="0"/>
    <s v="May"/>
    <x v="3"/>
    <n v="0"/>
  </r>
  <r>
    <s v="ORD-10298"/>
    <d v="2026-08-22T00:00:00"/>
    <s v="CUST-1021"/>
    <s v="Customer 1149"/>
    <x v="0"/>
    <s v="Bengaluru"/>
    <x v="0"/>
    <x v="0"/>
    <n v="5"/>
    <n v="1799"/>
    <n v="0.1"/>
    <s v="Debit Card"/>
    <x v="0"/>
    <d v="2026-08-24T00:00:00"/>
    <d v="2026-08-23T00:00:00"/>
    <n v="8995"/>
    <n v="899.5"/>
    <n v="8095.5"/>
    <n v="1"/>
    <x v="0"/>
    <s v="Aug"/>
    <x v="10"/>
    <n v="0"/>
  </r>
  <r>
    <s v="ORD-10299"/>
    <d v="2026-02-18T00:00:00"/>
    <s v="CUST-1169"/>
    <s v="Customer 1184"/>
    <x v="2"/>
    <s v="Lucknow"/>
    <x v="17"/>
    <x v="4"/>
    <n v="3"/>
    <n v="399"/>
    <n v="0"/>
    <s v="UPI"/>
    <x v="3"/>
    <d v="2026-02-21T00:00:00"/>
    <d v="2026-02-19T00:00:00"/>
    <n v="1197"/>
    <n v="0"/>
    <n v="1197"/>
    <n v="1"/>
    <x v="0"/>
    <s v="Feb"/>
    <x v="4"/>
    <n v="0"/>
  </r>
  <r>
    <s v="ORD-10300"/>
    <d v="2026-06-25T00:00:00"/>
    <s v="CUST-1216"/>
    <s v="Customer 1086"/>
    <x v="3"/>
    <s v="Patna"/>
    <x v="18"/>
    <x v="3"/>
    <n v="1"/>
    <n v="1999"/>
    <n v="0.15"/>
    <s v="Net Banking"/>
    <x v="0"/>
    <d v="2026-06-29T00:00:00"/>
    <d v="2026-06-29T00:00:00"/>
    <n v="1999"/>
    <n v="299.84999999999997"/>
    <n v="1699.15"/>
    <n v="4"/>
    <x v="0"/>
    <s v="Jun"/>
    <x v="2"/>
    <n v="0"/>
  </r>
  <r>
    <s v="ORD-10301"/>
    <d v="2026-02-23T00:00:00"/>
    <s v="CUST-1195"/>
    <s v="Customer 1184"/>
    <x v="0"/>
    <s v="Chennai"/>
    <x v="4"/>
    <x v="3"/>
    <n v="1"/>
    <n v="1299"/>
    <n v="0.2"/>
    <s v="Net Banking"/>
    <x v="3"/>
    <d v="2026-03-01T00:00:00"/>
    <d v="2026-02-25T00:00:00"/>
    <n v="1299"/>
    <n v="259.8"/>
    <n v="1039.2"/>
    <n v="2"/>
    <x v="0"/>
    <s v="Feb"/>
    <x v="4"/>
    <n v="0"/>
  </r>
  <r>
    <s v="ORD-10302"/>
    <d v="2026-02-27T00:00:00"/>
    <s v="CUST-1269"/>
    <s v="Customer 1296"/>
    <x v="0"/>
    <s v="Chennai"/>
    <x v="5"/>
    <x v="4"/>
    <n v="3"/>
    <n v="499"/>
    <n v="0.15"/>
    <s v="UPI"/>
    <x v="0"/>
    <d v="2026-03-03T00:00:00"/>
    <d v="2026-02-28T00:00:00"/>
    <n v="1497"/>
    <n v="224.54999999999998"/>
    <n v="1272.45"/>
    <n v="1"/>
    <x v="0"/>
    <s v="Feb"/>
    <x v="4"/>
    <n v="0"/>
  </r>
  <r>
    <s v="ORD-10303"/>
    <d v="2026-12-19T00:00:00"/>
    <s v="CUST-1198"/>
    <s v="Customer 1077"/>
    <x v="1"/>
    <s v="Ahmedabad"/>
    <x v="22"/>
    <x v="1"/>
    <n v="2"/>
    <n v="1199"/>
    <n v="0"/>
    <s v="Net Banking"/>
    <x v="2"/>
    <d v="2026-12-26T00:00:00"/>
    <d v="2026-12-22T00:00:00"/>
    <n v="2398"/>
    <n v="0"/>
    <n v="2398"/>
    <n v="3"/>
    <x v="0"/>
    <s v="Dec"/>
    <x v="6"/>
    <n v="2398"/>
  </r>
  <r>
    <s v="ORD-10304"/>
    <d v="2026-08-29T00:00:00"/>
    <s v="CUST-1143"/>
    <s v="Customer 1026"/>
    <x v="0"/>
    <s v="Bengaluru"/>
    <x v="7"/>
    <x v="2"/>
    <n v="3"/>
    <n v="3499"/>
    <n v="0.05"/>
    <s v="UPI"/>
    <x v="3"/>
    <d v="2026-09-03T00:00:00"/>
    <d v="2026-09-01T00:00:00"/>
    <n v="10497"/>
    <n v="524.85"/>
    <n v="9972.15"/>
    <n v="3"/>
    <x v="0"/>
    <s v="Aug"/>
    <x v="10"/>
    <n v="0"/>
  </r>
  <r>
    <s v="ORD-10305"/>
    <d v="2026-02-10T00:00:00"/>
    <s v="CUST-1255"/>
    <s v="Customer 1010"/>
    <x v="1"/>
    <s v="Goa"/>
    <x v="20"/>
    <x v="4"/>
    <n v="2"/>
    <n v="599"/>
    <n v="0.2"/>
    <s v="Net Banking"/>
    <x v="0"/>
    <d v="2026-02-15T00:00:00"/>
    <d v="2026-02-11T00:00:00"/>
    <n v="1198"/>
    <n v="239.60000000000002"/>
    <n v="958.4"/>
    <n v="1"/>
    <x v="0"/>
    <s v="Feb"/>
    <x v="4"/>
    <n v="0"/>
  </r>
  <r>
    <s v="ORD-10306"/>
    <d v="2026-10-13T00:00:00"/>
    <s v="CUST-1156"/>
    <s v="Customer 1261"/>
    <x v="0"/>
    <s v="Kochi"/>
    <x v="17"/>
    <x v="4"/>
    <n v="2"/>
    <n v="399"/>
    <n v="0"/>
    <s v="COD"/>
    <x v="1"/>
    <d v="2026-10-20T00:00:00"/>
    <m/>
    <n v="798"/>
    <n v="0"/>
    <n v="798"/>
    <s v=""/>
    <x v="1"/>
    <s v="Oct"/>
    <x v="5"/>
    <n v="0"/>
  </r>
  <r>
    <s v="ORD-10307"/>
    <d v="2026-01-28T00:00:00"/>
    <s v="CUST-1243"/>
    <s v="Customer 1187"/>
    <x v="1"/>
    <s v="Goa"/>
    <x v="21"/>
    <x v="0"/>
    <n v="3"/>
    <n v="1999"/>
    <n v="0.15"/>
    <s v="Debit Card"/>
    <x v="1"/>
    <d v="2026-02-03T00:00:00"/>
    <m/>
    <n v="5997"/>
    <n v="899.55"/>
    <n v="5097.45"/>
    <s v=""/>
    <x v="1"/>
    <s v="Jan"/>
    <x v="9"/>
    <n v="0"/>
  </r>
  <r>
    <s v="ORD-10308"/>
    <d v="2026-01-02T00:00:00"/>
    <s v="CUST-1055"/>
    <s v="Customer 1024"/>
    <x v="3"/>
    <s v="Kolkata"/>
    <x v="4"/>
    <x v="3"/>
    <n v="1"/>
    <n v="1299"/>
    <n v="0.1"/>
    <s v="COD"/>
    <x v="1"/>
    <d v="2026-01-06T00:00:00"/>
    <m/>
    <n v="1299"/>
    <n v="129.9"/>
    <n v="1169.0999999999999"/>
    <s v=""/>
    <x v="1"/>
    <s v="Jan"/>
    <x v="9"/>
    <n v="0"/>
  </r>
  <r>
    <s v="ORD-10309"/>
    <d v="2026-02-24T00:00:00"/>
    <s v="CUST-1174"/>
    <s v="Customer 1056"/>
    <x v="1"/>
    <s v="Goa"/>
    <x v="12"/>
    <x v="2"/>
    <n v="1"/>
    <n v="1599"/>
    <n v="0.05"/>
    <s v="Credit Card"/>
    <x v="0"/>
    <d v="2026-03-01T00:00:00"/>
    <d v="2026-02-26T00:00:00"/>
    <n v="1599"/>
    <n v="79.95"/>
    <n v="1519.05"/>
    <n v="2"/>
    <x v="0"/>
    <s v="Feb"/>
    <x v="4"/>
    <n v="0"/>
  </r>
  <r>
    <s v="ORD-10310"/>
    <d v="2026-08-19T00:00:00"/>
    <s v="CUST-1284"/>
    <s v="Customer 1222"/>
    <x v="3"/>
    <s v="Kolkata"/>
    <x v="9"/>
    <x v="1"/>
    <n v="2"/>
    <n v="899"/>
    <n v="0.2"/>
    <s v="COD"/>
    <x v="0"/>
    <d v="2026-08-24T00:00:00"/>
    <d v="2026-08-20T00:00:00"/>
    <n v="1798"/>
    <n v="359.6"/>
    <n v="1438.4"/>
    <n v="1"/>
    <x v="0"/>
    <s v="Aug"/>
    <x v="10"/>
    <n v="0"/>
  </r>
  <r>
    <s v="ORD-10311"/>
    <d v="2026-03-07T00:00:00"/>
    <s v="CUST-1128"/>
    <s v="Customer 1141"/>
    <x v="3"/>
    <s v="Bhubaneswar"/>
    <x v="1"/>
    <x v="1"/>
    <n v="1"/>
    <n v="599"/>
    <n v="0.2"/>
    <s v="COD"/>
    <x v="0"/>
    <d v="2026-03-13T00:00:00"/>
    <d v="2026-03-17T00:00:00"/>
    <n v="599"/>
    <n v="119.80000000000001"/>
    <n v="479.2"/>
    <n v="10"/>
    <x v="2"/>
    <s v="Mar"/>
    <x v="8"/>
    <n v="0"/>
  </r>
  <r>
    <s v="ORD-10312"/>
    <d v="2026-03-10T00:00:00"/>
    <s v="CUST-1284"/>
    <s v="Customer 1112"/>
    <x v="3"/>
    <s v="Patna"/>
    <x v="23"/>
    <x v="0"/>
    <n v="1"/>
    <n v="2999"/>
    <n v="0.2"/>
    <s v="COD"/>
    <x v="0"/>
    <d v="2026-03-17T00:00:00"/>
    <d v="2026-03-13T00:00:00"/>
    <n v="2999"/>
    <n v="599.80000000000007"/>
    <n v="2399.1999999999998"/>
    <n v="3"/>
    <x v="0"/>
    <s v="Mar"/>
    <x v="8"/>
    <n v="0"/>
  </r>
  <r>
    <s v="ORD-10313"/>
    <d v="2026-12-18T00:00:00"/>
    <s v="CUST-1166"/>
    <s v="Customer 1060"/>
    <x v="1"/>
    <s v="Pune"/>
    <x v="11"/>
    <x v="1"/>
    <n v="1"/>
    <n v="3299"/>
    <n v="0.05"/>
    <s v="Credit Card"/>
    <x v="1"/>
    <d v="2026-12-24T00:00:00"/>
    <m/>
    <n v="3299"/>
    <n v="164.95000000000002"/>
    <n v="3134.05"/>
    <s v=""/>
    <x v="1"/>
    <s v="Dec"/>
    <x v="6"/>
    <n v="0"/>
  </r>
  <r>
    <s v="ORD-10314"/>
    <d v="2026-12-08T00:00:00"/>
    <s v="CUST-1055"/>
    <s v="Customer 1013"/>
    <x v="2"/>
    <s v="Chandigarh"/>
    <x v="22"/>
    <x v="1"/>
    <n v="2"/>
    <n v="1199"/>
    <n v="0.2"/>
    <s v="Debit Card"/>
    <x v="3"/>
    <d v="2026-12-13T00:00:00"/>
    <d v="2026-12-13T00:00:00"/>
    <n v="2398"/>
    <n v="479.6"/>
    <n v="1918.4"/>
    <n v="5"/>
    <x v="0"/>
    <s v="Dec"/>
    <x v="6"/>
    <n v="0"/>
  </r>
  <r>
    <s v="ORD-10315"/>
    <d v="2026-04-13T00:00:00"/>
    <s v="CUST-1152"/>
    <s v="Customer 1105"/>
    <x v="3"/>
    <s v="Bhubaneswar"/>
    <x v="8"/>
    <x v="3"/>
    <n v="1"/>
    <n v="799"/>
    <n v="0.05"/>
    <s v="Debit Card"/>
    <x v="2"/>
    <d v="2026-04-17T00:00:00"/>
    <d v="2026-04-14T00:00:00"/>
    <n v="799"/>
    <n v="39.950000000000003"/>
    <n v="759.05"/>
    <n v="1"/>
    <x v="0"/>
    <s v="Apr"/>
    <x v="0"/>
    <n v="759.05"/>
  </r>
  <r>
    <s v="ORD-10316"/>
    <d v="2026-11-12T00:00:00"/>
    <s v="CUST-1262"/>
    <s v="Customer 1148"/>
    <x v="0"/>
    <s v="Hyderabad"/>
    <x v="17"/>
    <x v="4"/>
    <n v="3"/>
    <n v="399"/>
    <n v="0.2"/>
    <s v="Credit Card"/>
    <x v="2"/>
    <d v="2026-11-19T00:00:00"/>
    <d v="2026-11-14T00:00:00"/>
    <n v="1197"/>
    <n v="239.4"/>
    <n v="957.6"/>
    <n v="2"/>
    <x v="0"/>
    <s v="Nov"/>
    <x v="1"/>
    <n v="957.6"/>
  </r>
  <r>
    <s v="ORD-10317"/>
    <d v="2026-12-17T00:00:00"/>
    <s v="CUST-1227"/>
    <s v="Customer 1116"/>
    <x v="0"/>
    <s v="Kochi"/>
    <x v="5"/>
    <x v="4"/>
    <n v="1"/>
    <n v="499"/>
    <n v="0.2"/>
    <s v="UPI"/>
    <x v="0"/>
    <d v="2026-12-24T00:00:00"/>
    <d v="2026-12-22T00:00:00"/>
    <n v="499"/>
    <n v="99.800000000000011"/>
    <n v="399.2"/>
    <n v="5"/>
    <x v="0"/>
    <s v="Dec"/>
    <x v="6"/>
    <n v="0"/>
  </r>
  <r>
    <s v="ORD-10318"/>
    <d v="2026-08-18T00:00:00"/>
    <s v="CUST-1021"/>
    <s v="Customer 1220"/>
    <x v="2"/>
    <s v="Jaipur"/>
    <x v="16"/>
    <x v="2"/>
    <n v="1"/>
    <n v="899"/>
    <n v="0"/>
    <s v="Credit Card"/>
    <x v="0"/>
    <d v="2026-08-25T00:00:00"/>
    <d v="2026-08-22T00:00:00"/>
    <n v="899"/>
    <n v="0"/>
    <n v="899"/>
    <n v="4"/>
    <x v="0"/>
    <s v="Aug"/>
    <x v="10"/>
    <n v="0"/>
  </r>
  <r>
    <s v="ORD-10319"/>
    <d v="2026-10-27T00:00:00"/>
    <s v="CUST-1079"/>
    <s v="Customer 1166"/>
    <x v="2"/>
    <s v="Lucknow"/>
    <x v="2"/>
    <x v="2"/>
    <n v="3"/>
    <n v="699"/>
    <n v="0"/>
    <s v="Debit Card"/>
    <x v="0"/>
    <d v="2026-11-03T00:00:00"/>
    <d v="2026-11-04T00:00:00"/>
    <n v="2097"/>
    <n v="0"/>
    <n v="2097"/>
    <n v="8"/>
    <x v="2"/>
    <s v="Oct"/>
    <x v="5"/>
    <n v="0"/>
  </r>
  <r>
    <s v="ORD-10320"/>
    <d v="2026-10-09T00:00:00"/>
    <s v="CUST-1082"/>
    <s v="Customer 1213"/>
    <x v="0"/>
    <s v="Hyderabad"/>
    <x v="24"/>
    <x v="4"/>
    <n v="1"/>
    <n v="1499"/>
    <n v="0.1"/>
    <s v="COD"/>
    <x v="0"/>
    <d v="2026-10-12T00:00:00"/>
    <d v="2026-10-12T00:00:00"/>
    <n v="1499"/>
    <n v="149.9"/>
    <n v="1349.1"/>
    <n v="3"/>
    <x v="0"/>
    <s v="Oct"/>
    <x v="5"/>
    <n v="0"/>
  </r>
  <r>
    <s v="ORD-10321"/>
    <d v="2026-04-20T00:00:00"/>
    <s v="CUST-1288"/>
    <s v="Customer 1005"/>
    <x v="3"/>
    <s v="Kolkata"/>
    <x v="0"/>
    <x v="0"/>
    <n v="2"/>
    <n v="1799"/>
    <n v="0.1"/>
    <s v="Debit Card"/>
    <x v="0"/>
    <d v="2026-04-23T00:00:00"/>
    <d v="2026-04-27T00:00:00"/>
    <n v="3598"/>
    <n v="359.8"/>
    <n v="3238.2"/>
    <n v="7"/>
    <x v="2"/>
    <s v="Apr"/>
    <x v="0"/>
    <n v="0"/>
  </r>
  <r>
    <s v="ORD-10322"/>
    <d v="2026-11-25T00:00:00"/>
    <s v="CUST-1059"/>
    <s v="Customer 1198"/>
    <x v="0"/>
    <s v="Hyderabad"/>
    <x v="20"/>
    <x v="4"/>
    <n v="2"/>
    <n v="599"/>
    <n v="0.2"/>
    <s v="Credit Card"/>
    <x v="0"/>
    <d v="2026-12-02T00:00:00"/>
    <d v="2026-12-06T00:00:00"/>
    <n v="1198"/>
    <n v="239.60000000000002"/>
    <n v="958.4"/>
    <n v="11"/>
    <x v="2"/>
    <s v="Nov"/>
    <x v="1"/>
    <n v="0"/>
  </r>
  <r>
    <s v="ORD-10323"/>
    <d v="2026-07-11T00:00:00"/>
    <s v="CUST-1165"/>
    <s v="Customer 1264"/>
    <x v="2"/>
    <s v="Lucknow"/>
    <x v="3"/>
    <x v="3"/>
    <n v="2"/>
    <n v="1799"/>
    <n v="0.2"/>
    <s v="Net Banking"/>
    <x v="0"/>
    <d v="2026-07-13T00:00:00"/>
    <d v="2026-07-12T00:00:00"/>
    <n v="3598"/>
    <n v="719.6"/>
    <n v="2878.4"/>
    <n v="1"/>
    <x v="0"/>
    <s v="Jul"/>
    <x v="11"/>
    <n v="0"/>
  </r>
  <r>
    <s v="ORD-10324"/>
    <d v="2026-10-01T00:00:00"/>
    <s v="CUST-1218"/>
    <s v="Customer 1054"/>
    <x v="0"/>
    <s v="Bengaluru"/>
    <x v="7"/>
    <x v="2"/>
    <n v="1"/>
    <n v="3499"/>
    <n v="0"/>
    <s v="Credit Card"/>
    <x v="2"/>
    <d v="2026-10-08T00:00:00"/>
    <d v="2026-10-08T00:00:00"/>
    <n v="3499"/>
    <n v="0"/>
    <n v="3499"/>
    <n v="7"/>
    <x v="0"/>
    <s v="Oct"/>
    <x v="5"/>
    <n v="3499"/>
  </r>
  <r>
    <s v="ORD-10325"/>
    <d v="2026-01-13T00:00:00"/>
    <s v="CUST-1286"/>
    <s v="Customer 1037"/>
    <x v="1"/>
    <s v="Goa"/>
    <x v="4"/>
    <x v="3"/>
    <n v="2"/>
    <n v="1299"/>
    <n v="0.1"/>
    <s v="UPI"/>
    <x v="0"/>
    <d v="2026-01-15T00:00:00"/>
    <d v="2026-01-15T00:00:00"/>
    <n v="2598"/>
    <n v="259.8"/>
    <n v="2338.1999999999998"/>
    <n v="2"/>
    <x v="0"/>
    <s v="Jan"/>
    <x v="9"/>
    <n v="0"/>
  </r>
  <r>
    <s v="ORD-10326"/>
    <d v="2026-08-19T00:00:00"/>
    <s v="CUST-1004"/>
    <s v="Customer 1033"/>
    <x v="1"/>
    <s v="Ahmedabad"/>
    <x v="5"/>
    <x v="4"/>
    <n v="2"/>
    <n v="499"/>
    <n v="0.15"/>
    <s v="Debit Card"/>
    <x v="0"/>
    <d v="2026-08-24T00:00:00"/>
    <d v="2026-08-24T00:00:00"/>
    <n v="998"/>
    <n v="149.69999999999999"/>
    <n v="848.3"/>
    <n v="5"/>
    <x v="0"/>
    <s v="Aug"/>
    <x v="10"/>
    <n v="0"/>
  </r>
  <r>
    <s v="ORD-10327"/>
    <d v="2026-02-24T00:00:00"/>
    <s v="CUST-1196"/>
    <s v="Customer 1203"/>
    <x v="0"/>
    <s v="Bengaluru"/>
    <x v="10"/>
    <x v="0"/>
    <n v="1"/>
    <n v="1899"/>
    <n v="0.1"/>
    <s v="COD"/>
    <x v="0"/>
    <d v="2026-02-28T00:00:00"/>
    <d v="2026-02-28T00:00:00"/>
    <n v="1899"/>
    <n v="189.9"/>
    <n v="1709.1"/>
    <n v="4"/>
    <x v="0"/>
    <s v="Feb"/>
    <x v="4"/>
    <n v="0"/>
  </r>
  <r>
    <s v="ORD-10328"/>
    <d v="2026-04-23T00:00:00"/>
    <s v="CUST-1192"/>
    <s v="Customer 1006"/>
    <x v="0"/>
    <s v="Kochi"/>
    <x v="7"/>
    <x v="2"/>
    <n v="1"/>
    <n v="3499"/>
    <n v="0.15"/>
    <s v="COD"/>
    <x v="0"/>
    <d v="2026-04-30T00:00:00"/>
    <d v="2026-04-29T00:00:00"/>
    <n v="3499"/>
    <n v="524.85"/>
    <n v="2974.15"/>
    <n v="6"/>
    <x v="0"/>
    <s v="Apr"/>
    <x v="0"/>
    <n v="0"/>
  </r>
  <r>
    <s v="ORD-10329"/>
    <d v="2026-10-21T00:00:00"/>
    <s v="CUST-1109"/>
    <s v="Customer 1212"/>
    <x v="1"/>
    <s v="Mumbai"/>
    <x v="8"/>
    <x v="3"/>
    <n v="2"/>
    <n v="799"/>
    <n v="0.2"/>
    <s v="COD"/>
    <x v="0"/>
    <d v="2026-10-25T00:00:00"/>
    <d v="2026-10-24T00:00:00"/>
    <n v="1598"/>
    <n v="319.60000000000002"/>
    <n v="1278.4000000000001"/>
    <n v="3"/>
    <x v="0"/>
    <s v="Oct"/>
    <x v="5"/>
    <n v="0"/>
  </r>
  <r>
    <s v="ORD-10330"/>
    <d v="2026-11-12T00:00:00"/>
    <s v="CUST-1028"/>
    <s v="Customer 1282"/>
    <x v="1"/>
    <s v="Pune"/>
    <x v="2"/>
    <x v="2"/>
    <n v="3"/>
    <n v="699"/>
    <n v="0.05"/>
    <s v="UPI"/>
    <x v="0"/>
    <d v="2026-11-19T00:00:00"/>
    <d v="2026-11-19T00:00:00"/>
    <n v="2097"/>
    <n v="104.85000000000001"/>
    <n v="1992.15"/>
    <n v="7"/>
    <x v="0"/>
    <s v="Nov"/>
    <x v="1"/>
    <n v="0"/>
  </r>
  <r>
    <s v="ORD-10331"/>
    <d v="2026-05-09T00:00:00"/>
    <s v="CUST-1052"/>
    <s v="Customer 1146"/>
    <x v="3"/>
    <s v="Kolkata"/>
    <x v="6"/>
    <x v="0"/>
    <n v="1"/>
    <n v="699"/>
    <n v="0.2"/>
    <s v="Net Banking"/>
    <x v="0"/>
    <d v="2026-05-13T00:00:00"/>
    <d v="2026-05-11T00:00:00"/>
    <n v="699"/>
    <n v="139.80000000000001"/>
    <n v="559.20000000000005"/>
    <n v="2"/>
    <x v="0"/>
    <s v="May"/>
    <x v="3"/>
    <n v="0"/>
  </r>
  <r>
    <s v="ORD-10332"/>
    <d v="2026-08-19T00:00:00"/>
    <s v="CUST-1220"/>
    <s v="Customer 1087"/>
    <x v="0"/>
    <s v="Chennai"/>
    <x v="23"/>
    <x v="0"/>
    <n v="1"/>
    <n v="2999"/>
    <n v="0.1"/>
    <s v="COD"/>
    <x v="0"/>
    <d v="2026-08-25T00:00:00"/>
    <d v="2026-08-22T00:00:00"/>
    <n v="2999"/>
    <n v="299.90000000000003"/>
    <n v="2699.1"/>
    <n v="3"/>
    <x v="0"/>
    <s v="Aug"/>
    <x v="10"/>
    <n v="0"/>
  </r>
  <r>
    <s v="ORD-10333"/>
    <d v="2026-12-31T00:00:00"/>
    <s v="CUST-1246"/>
    <s v="Customer 1237"/>
    <x v="0"/>
    <s v="Hyderabad"/>
    <x v="2"/>
    <x v="2"/>
    <n v="2"/>
    <n v="699"/>
    <n v="0.15"/>
    <s v="Debit Card"/>
    <x v="3"/>
    <d v="2027-01-04T00:00:00"/>
    <d v="2027-01-03T00:00:00"/>
    <n v="1398"/>
    <n v="209.7"/>
    <n v="1188.3"/>
    <n v="3"/>
    <x v="0"/>
    <s v="Dec"/>
    <x v="6"/>
    <n v="0"/>
  </r>
  <r>
    <s v="ORD-10334"/>
    <d v="2026-10-10T00:00:00"/>
    <s v="CUST-1276"/>
    <s v="Customer 1101"/>
    <x v="3"/>
    <s v="Patna"/>
    <x v="23"/>
    <x v="0"/>
    <n v="1"/>
    <n v="2999"/>
    <n v="0.2"/>
    <s v="UPI"/>
    <x v="3"/>
    <d v="2026-10-14T00:00:00"/>
    <d v="2026-10-12T00:00:00"/>
    <n v="2999"/>
    <n v="599.80000000000007"/>
    <n v="2399.1999999999998"/>
    <n v="2"/>
    <x v="0"/>
    <s v="Oct"/>
    <x v="5"/>
    <n v="0"/>
  </r>
  <r>
    <s v="ORD-10335"/>
    <d v="2026-09-17T00:00:00"/>
    <s v="CUST-1283"/>
    <s v="Customer 1134"/>
    <x v="2"/>
    <s v="Delhi"/>
    <x v="8"/>
    <x v="3"/>
    <n v="2"/>
    <n v="799"/>
    <n v="0.2"/>
    <s v="COD"/>
    <x v="0"/>
    <d v="2026-09-23T00:00:00"/>
    <d v="2026-09-18T00:00:00"/>
    <n v="1598"/>
    <n v="319.60000000000002"/>
    <n v="1278.4000000000001"/>
    <n v="1"/>
    <x v="0"/>
    <s v="Sep"/>
    <x v="7"/>
    <n v="0"/>
  </r>
  <r>
    <s v="ORD-10336"/>
    <d v="2026-04-25T00:00:00"/>
    <s v="CUST-1204"/>
    <s v="Customer 1187"/>
    <x v="3"/>
    <s v="Bhubaneswar"/>
    <x v="23"/>
    <x v="0"/>
    <n v="3"/>
    <n v="2999"/>
    <n v="0.2"/>
    <s v="Debit Card"/>
    <x v="0"/>
    <d v="2026-04-30T00:00:00"/>
    <d v="2026-04-26T00:00:00"/>
    <n v="8997"/>
    <n v="1799.4"/>
    <n v="7197.6"/>
    <n v="1"/>
    <x v="0"/>
    <s v="Apr"/>
    <x v="0"/>
    <n v="0"/>
  </r>
  <r>
    <s v="ORD-10337"/>
    <d v="2026-09-21T00:00:00"/>
    <s v="CUST-1075"/>
    <s v="Customer 1248"/>
    <x v="0"/>
    <s v="Chennai"/>
    <x v="1"/>
    <x v="1"/>
    <n v="1"/>
    <n v="599"/>
    <n v="0.05"/>
    <s v="Credit Card"/>
    <x v="1"/>
    <d v="2026-09-27T00:00:00"/>
    <m/>
    <n v="599"/>
    <n v="29.950000000000003"/>
    <n v="569.04999999999995"/>
    <s v=""/>
    <x v="1"/>
    <s v="Sep"/>
    <x v="7"/>
    <n v="0"/>
  </r>
  <r>
    <s v="ORD-10338"/>
    <d v="2026-04-29T00:00:00"/>
    <s v="CUST-1185"/>
    <s v="Customer 1199"/>
    <x v="2"/>
    <s v="Delhi"/>
    <x v="12"/>
    <x v="2"/>
    <n v="1"/>
    <n v="1599"/>
    <n v="0.1"/>
    <s v="Credit Card"/>
    <x v="0"/>
    <d v="2026-05-06T00:00:00"/>
    <d v="2026-05-06T00:00:00"/>
    <n v="1599"/>
    <n v="159.9"/>
    <n v="1439.1"/>
    <n v="7"/>
    <x v="0"/>
    <s v="Apr"/>
    <x v="0"/>
    <n v="0"/>
  </r>
  <r>
    <s v="ORD-10339"/>
    <d v="2026-11-29T00:00:00"/>
    <s v="CUST-1292"/>
    <s v="Customer 1090"/>
    <x v="3"/>
    <s v="Guwahati"/>
    <x v="8"/>
    <x v="3"/>
    <n v="1"/>
    <n v="799"/>
    <n v="0.2"/>
    <s v="Debit Card"/>
    <x v="3"/>
    <d v="2026-12-06T00:00:00"/>
    <d v="2026-12-04T00:00:00"/>
    <n v="799"/>
    <n v="159.80000000000001"/>
    <n v="639.20000000000005"/>
    <n v="5"/>
    <x v="0"/>
    <s v="Nov"/>
    <x v="1"/>
    <n v="0"/>
  </r>
  <r>
    <s v="ORD-10340"/>
    <d v="2026-12-01T00:00:00"/>
    <s v="CUST-1265"/>
    <s v="Customer 1208"/>
    <x v="3"/>
    <s v="Guwahati"/>
    <x v="10"/>
    <x v="0"/>
    <n v="3"/>
    <n v="1899"/>
    <n v="0"/>
    <s v="COD"/>
    <x v="0"/>
    <d v="2026-12-06T00:00:00"/>
    <d v="2026-12-08T00:00:00"/>
    <n v="5697"/>
    <n v="0"/>
    <n v="5697"/>
    <n v="7"/>
    <x v="2"/>
    <s v="Dec"/>
    <x v="6"/>
    <n v="0"/>
  </r>
  <r>
    <s v="ORD-10341"/>
    <d v="2026-11-06T00:00:00"/>
    <s v="CUST-1144"/>
    <s v="Customer 1109"/>
    <x v="2"/>
    <s v="Lucknow"/>
    <x v="5"/>
    <x v="4"/>
    <n v="1"/>
    <n v="499"/>
    <n v="0.05"/>
    <s v="Net Banking"/>
    <x v="0"/>
    <d v="2026-11-09T00:00:00"/>
    <d v="2026-11-09T00:00:00"/>
    <n v="499"/>
    <n v="24.950000000000003"/>
    <n v="474.05"/>
    <n v="3"/>
    <x v="0"/>
    <s v="Nov"/>
    <x v="1"/>
    <n v="0"/>
  </r>
  <r>
    <s v="ORD-10342"/>
    <d v="2026-11-05T00:00:00"/>
    <s v="CUST-1246"/>
    <s v="Customer 1246"/>
    <x v="1"/>
    <s v="Pune"/>
    <x v="16"/>
    <x v="2"/>
    <n v="2"/>
    <n v="899"/>
    <n v="0"/>
    <s v="Credit Card"/>
    <x v="0"/>
    <d v="2026-11-09T00:00:00"/>
    <d v="2026-11-09T00:00:00"/>
    <n v="1798"/>
    <n v="0"/>
    <n v="1798"/>
    <n v="4"/>
    <x v="0"/>
    <s v="Nov"/>
    <x v="1"/>
    <n v="0"/>
  </r>
  <r>
    <s v="ORD-10343"/>
    <d v="2026-05-05T00:00:00"/>
    <s v="CUST-1294"/>
    <s v="Customer 1076"/>
    <x v="1"/>
    <s v="Pune"/>
    <x v="17"/>
    <x v="4"/>
    <n v="1"/>
    <n v="399"/>
    <n v="0.2"/>
    <s v="COD"/>
    <x v="0"/>
    <d v="2026-05-08T00:00:00"/>
    <d v="2026-05-06T00:00:00"/>
    <n v="399"/>
    <n v="79.800000000000011"/>
    <n v="319.2"/>
    <n v="1"/>
    <x v="0"/>
    <s v="May"/>
    <x v="3"/>
    <n v="0"/>
  </r>
  <r>
    <s v="ORD-10344"/>
    <d v="2026-09-22T00:00:00"/>
    <s v="CUST-1044"/>
    <s v="Customer 1111"/>
    <x v="0"/>
    <s v="Chennai"/>
    <x v="0"/>
    <x v="0"/>
    <n v="4"/>
    <n v="1799"/>
    <n v="0.2"/>
    <s v="COD"/>
    <x v="2"/>
    <d v="2026-09-24T00:00:00"/>
    <d v="2026-09-24T00:00:00"/>
    <n v="7196"/>
    <n v="1439.2"/>
    <n v="5756.8"/>
    <n v="2"/>
    <x v="0"/>
    <s v="Sep"/>
    <x v="7"/>
    <n v="5756.8"/>
  </r>
  <r>
    <s v="ORD-10345"/>
    <d v="2026-04-23T00:00:00"/>
    <s v="CUST-1262"/>
    <s v="Customer 1136"/>
    <x v="3"/>
    <s v="Guwahati"/>
    <x v="20"/>
    <x v="4"/>
    <n v="3"/>
    <n v="599"/>
    <n v="0.2"/>
    <s v="Credit Card"/>
    <x v="3"/>
    <d v="2026-04-29T00:00:00"/>
    <d v="2026-04-25T00:00:00"/>
    <n v="1797"/>
    <n v="359.40000000000003"/>
    <n v="1437.6"/>
    <n v="2"/>
    <x v="0"/>
    <s v="Apr"/>
    <x v="0"/>
    <n v="0"/>
  </r>
  <r>
    <s v="ORD-10346"/>
    <d v="2026-10-30T00:00:00"/>
    <s v="CUST-1077"/>
    <s v="Customer 1050"/>
    <x v="1"/>
    <s v="Ahmedabad"/>
    <x v="24"/>
    <x v="4"/>
    <n v="1"/>
    <n v="1499"/>
    <n v="0.15"/>
    <s v="Net Banking"/>
    <x v="0"/>
    <d v="2026-11-01T00:00:00"/>
    <d v="2026-11-01T00:00:00"/>
    <n v="1499"/>
    <n v="224.85"/>
    <n v="1274.1500000000001"/>
    <n v="2"/>
    <x v="0"/>
    <s v="Oct"/>
    <x v="5"/>
    <n v="0"/>
  </r>
  <r>
    <s v="ORD-10347"/>
    <d v="2026-01-20T00:00:00"/>
    <s v="CUST-1277"/>
    <s v="Customer 1001"/>
    <x v="1"/>
    <s v="Goa"/>
    <x v="22"/>
    <x v="1"/>
    <n v="3"/>
    <n v="1199"/>
    <n v="0.2"/>
    <s v="COD"/>
    <x v="3"/>
    <d v="2026-01-22T00:00:00"/>
    <d v="2026-01-21T00:00:00"/>
    <n v="3597"/>
    <n v="719.40000000000009"/>
    <n v="2877.6"/>
    <n v="1"/>
    <x v="0"/>
    <s v="Jan"/>
    <x v="9"/>
    <n v="0"/>
  </r>
  <r>
    <s v="ORD-10348"/>
    <d v="2026-12-24T00:00:00"/>
    <s v="CUST-1051"/>
    <s v="Customer 1218"/>
    <x v="3"/>
    <s v="Guwahati"/>
    <x v="6"/>
    <x v="0"/>
    <n v="2"/>
    <n v="699"/>
    <n v="0.05"/>
    <s v="Net Banking"/>
    <x v="3"/>
    <d v="2026-12-29T00:00:00"/>
    <d v="2026-12-29T00:00:00"/>
    <n v="1398"/>
    <n v="69.900000000000006"/>
    <n v="1328.1"/>
    <n v="5"/>
    <x v="0"/>
    <s v="Dec"/>
    <x v="6"/>
    <n v="0"/>
  </r>
  <r>
    <s v="ORD-10349"/>
    <d v="2026-02-12T00:00:00"/>
    <s v="CUST-1004"/>
    <s v="Customer 1296"/>
    <x v="1"/>
    <s v="Ahmedabad"/>
    <x v="20"/>
    <x v="4"/>
    <n v="1"/>
    <n v="599"/>
    <n v="0.2"/>
    <s v="Net Banking"/>
    <x v="0"/>
    <d v="2026-02-15T00:00:00"/>
    <d v="2026-02-15T00:00:00"/>
    <n v="599"/>
    <n v="119.80000000000001"/>
    <n v="479.2"/>
    <n v="3"/>
    <x v="0"/>
    <s v="Feb"/>
    <x v="4"/>
    <n v="0"/>
  </r>
  <r>
    <s v="ORD-10350"/>
    <d v="2026-12-19T00:00:00"/>
    <s v="CUST-1130"/>
    <s v="Customer 1134"/>
    <x v="0"/>
    <s v="Bengaluru"/>
    <x v="20"/>
    <x v="4"/>
    <n v="3"/>
    <n v="599"/>
    <n v="0.15"/>
    <s v="Debit Card"/>
    <x v="0"/>
    <d v="2026-12-22T00:00:00"/>
    <d v="2026-12-22T00:00:00"/>
    <n v="1797"/>
    <n v="269.55"/>
    <n v="1527.45"/>
    <n v="3"/>
    <x v="0"/>
    <s v="Dec"/>
    <x v="6"/>
    <n v="0"/>
  </r>
  <r>
    <s v="ORD-10351"/>
    <d v="2026-12-15T00:00:00"/>
    <s v="CUST-1248"/>
    <s v="Customer 1092"/>
    <x v="3"/>
    <s v="Patna"/>
    <x v="11"/>
    <x v="1"/>
    <n v="1"/>
    <n v="3299"/>
    <n v="0.05"/>
    <s v="Net Banking"/>
    <x v="1"/>
    <d v="2026-12-21T00:00:00"/>
    <m/>
    <n v="3299"/>
    <n v="164.95000000000002"/>
    <n v="3134.05"/>
    <s v=""/>
    <x v="1"/>
    <s v="Dec"/>
    <x v="6"/>
    <n v="0"/>
  </r>
  <r>
    <s v="ORD-10352"/>
    <d v="2026-10-23T00:00:00"/>
    <s v="CUST-1229"/>
    <s v="Customer 1083"/>
    <x v="2"/>
    <s v="Chandigarh"/>
    <x v="21"/>
    <x v="0"/>
    <n v="1"/>
    <n v="1999"/>
    <n v="0.15"/>
    <s v="Credit Card"/>
    <x v="3"/>
    <d v="2026-10-30T00:00:00"/>
    <d v="2026-10-25T00:00:00"/>
    <n v="1999"/>
    <n v="299.84999999999997"/>
    <n v="1699.15"/>
    <n v="2"/>
    <x v="0"/>
    <s v="Oct"/>
    <x v="5"/>
    <n v="0"/>
  </r>
  <r>
    <s v="ORD-10353"/>
    <d v="2026-06-23T00:00:00"/>
    <s v="CUST-1047"/>
    <s v="Customer 1075"/>
    <x v="0"/>
    <s v="Chennai"/>
    <x v="13"/>
    <x v="1"/>
    <n v="3"/>
    <n v="2499"/>
    <n v="0.2"/>
    <s v="UPI"/>
    <x v="0"/>
    <d v="2026-06-28T00:00:00"/>
    <d v="2026-06-29T00:00:00"/>
    <n v="7497"/>
    <n v="1499.4"/>
    <n v="5997.6"/>
    <n v="6"/>
    <x v="2"/>
    <s v="Jun"/>
    <x v="2"/>
    <n v="0"/>
  </r>
  <r>
    <s v="ORD-10354"/>
    <d v="2026-05-15T00:00:00"/>
    <s v="CUST-1267"/>
    <s v="Customer 1147"/>
    <x v="3"/>
    <s v="Guwahati"/>
    <x v="8"/>
    <x v="3"/>
    <n v="1"/>
    <n v="799"/>
    <n v="0"/>
    <s v="COD"/>
    <x v="0"/>
    <d v="2026-05-22T00:00:00"/>
    <d v="2026-05-19T00:00:00"/>
    <n v="799"/>
    <n v="0"/>
    <n v="799"/>
    <n v="4"/>
    <x v="0"/>
    <s v="May"/>
    <x v="3"/>
    <n v="0"/>
  </r>
  <r>
    <s v="ORD-10355"/>
    <d v="2026-01-06T00:00:00"/>
    <s v="CUST-1087"/>
    <s v="Customer 1019"/>
    <x v="0"/>
    <s v="Chennai"/>
    <x v="5"/>
    <x v="4"/>
    <n v="1"/>
    <n v="499"/>
    <n v="0.2"/>
    <s v="Debit Card"/>
    <x v="0"/>
    <d v="2026-01-08T00:00:00"/>
    <d v="2026-01-07T00:00:00"/>
    <n v="499"/>
    <n v="99.800000000000011"/>
    <n v="399.2"/>
    <n v="1"/>
    <x v="0"/>
    <s v="Jan"/>
    <x v="9"/>
    <n v="0"/>
  </r>
  <r>
    <s v="ORD-10356"/>
    <d v="2026-02-14T00:00:00"/>
    <s v="CUST-1266"/>
    <s v="Customer 1008"/>
    <x v="2"/>
    <s v="Jaipur"/>
    <x v="4"/>
    <x v="3"/>
    <n v="5"/>
    <n v="1299"/>
    <n v="0.15"/>
    <s v="Debit Card"/>
    <x v="2"/>
    <d v="2026-02-19T00:00:00"/>
    <d v="2026-02-16T00:00:00"/>
    <n v="6495"/>
    <n v="974.25"/>
    <n v="5520.75"/>
    <n v="2"/>
    <x v="0"/>
    <s v="Feb"/>
    <x v="4"/>
    <n v="5520.75"/>
  </r>
  <r>
    <s v="ORD-10357"/>
    <d v="2026-10-14T00:00:00"/>
    <s v="CUST-1233"/>
    <s v="Customer 1207"/>
    <x v="0"/>
    <s v="Bengaluru"/>
    <x v="11"/>
    <x v="1"/>
    <n v="4"/>
    <n v="3299"/>
    <n v="0.1"/>
    <s v="Debit Card"/>
    <x v="3"/>
    <d v="2026-10-18T00:00:00"/>
    <d v="2026-10-16T00:00:00"/>
    <n v="13196"/>
    <n v="1319.6000000000001"/>
    <n v="11876.4"/>
    <n v="2"/>
    <x v="0"/>
    <s v="Oct"/>
    <x v="5"/>
    <n v="0"/>
  </r>
  <r>
    <s v="ORD-10358"/>
    <d v="2026-09-17T00:00:00"/>
    <s v="CUST-1276"/>
    <s v="Customer 1295"/>
    <x v="0"/>
    <s v="Hyderabad"/>
    <x v="12"/>
    <x v="2"/>
    <n v="1"/>
    <n v="1599"/>
    <n v="0"/>
    <s v="COD"/>
    <x v="0"/>
    <d v="2026-09-21T00:00:00"/>
    <d v="2026-09-24T00:00:00"/>
    <n v="1599"/>
    <n v="0"/>
    <n v="1599"/>
    <n v="7"/>
    <x v="2"/>
    <s v="Sep"/>
    <x v="7"/>
    <n v="0"/>
  </r>
  <r>
    <s v="ORD-10359"/>
    <d v="2026-09-05T00:00:00"/>
    <s v="CUST-1247"/>
    <s v="Customer 1060"/>
    <x v="2"/>
    <s v="Chandigarh"/>
    <x v="24"/>
    <x v="4"/>
    <n v="3"/>
    <n v="1499"/>
    <n v="0.1"/>
    <s v="Net Banking"/>
    <x v="2"/>
    <d v="2026-09-10T00:00:00"/>
    <d v="2026-09-11T00:00:00"/>
    <n v="4497"/>
    <n v="449.70000000000005"/>
    <n v="4047.3"/>
    <n v="6"/>
    <x v="2"/>
    <s v="Sep"/>
    <x v="7"/>
    <n v="4047.3"/>
  </r>
  <r>
    <s v="ORD-10360"/>
    <d v="2026-12-13T00:00:00"/>
    <s v="CUST-1135"/>
    <s v="Customer 1128"/>
    <x v="2"/>
    <s v="Delhi"/>
    <x v="20"/>
    <x v="4"/>
    <n v="2"/>
    <n v="599"/>
    <n v="0.1"/>
    <s v="Net Banking"/>
    <x v="0"/>
    <d v="2026-12-19T00:00:00"/>
    <d v="2026-12-19T00:00:00"/>
    <n v="1198"/>
    <n v="119.80000000000001"/>
    <n v="1078.2"/>
    <n v="6"/>
    <x v="0"/>
    <s v="Dec"/>
    <x v="6"/>
    <n v="0"/>
  </r>
  <r>
    <s v="ORD-10361"/>
    <d v="2026-02-08T00:00:00"/>
    <s v="CUST-1094"/>
    <s v="Customer 1098"/>
    <x v="2"/>
    <s v="Delhi"/>
    <x v="15"/>
    <x v="4"/>
    <n v="2"/>
    <n v="749"/>
    <n v="0.05"/>
    <s v="Net Banking"/>
    <x v="0"/>
    <d v="2026-02-12T00:00:00"/>
    <d v="2026-02-11T00:00:00"/>
    <n v="1498"/>
    <n v="74.900000000000006"/>
    <n v="1423.1"/>
    <n v="3"/>
    <x v="0"/>
    <s v="Feb"/>
    <x v="4"/>
    <n v="0"/>
  </r>
  <r>
    <s v="ORD-10362"/>
    <d v="2026-05-16T00:00:00"/>
    <s v="CUST-1062"/>
    <s v="Customer 1041"/>
    <x v="3"/>
    <s v="Bhubaneswar"/>
    <x v="2"/>
    <x v="2"/>
    <n v="1"/>
    <n v="699"/>
    <n v="0.05"/>
    <s v="Credit Card"/>
    <x v="3"/>
    <d v="2026-05-22T00:00:00"/>
    <d v="2026-05-17T00:00:00"/>
    <n v="699"/>
    <n v="34.950000000000003"/>
    <n v="664.05"/>
    <n v="1"/>
    <x v="0"/>
    <s v="May"/>
    <x v="3"/>
    <n v="0"/>
  </r>
  <r>
    <s v="ORD-10363"/>
    <d v="2026-09-04T00:00:00"/>
    <s v="CUST-1252"/>
    <s v="Customer 1094"/>
    <x v="3"/>
    <s v="Kolkata"/>
    <x v="9"/>
    <x v="1"/>
    <n v="1"/>
    <n v="899"/>
    <n v="0.1"/>
    <s v="Net Banking"/>
    <x v="1"/>
    <d v="2026-09-08T00:00:00"/>
    <m/>
    <n v="899"/>
    <n v="89.9"/>
    <n v="809.1"/>
    <s v=""/>
    <x v="1"/>
    <s v="Sep"/>
    <x v="7"/>
    <n v="0"/>
  </r>
  <r>
    <s v="ORD-10364"/>
    <d v="2026-03-07T00:00:00"/>
    <s v="CUST-1258"/>
    <s v="Customer 1178"/>
    <x v="2"/>
    <s v="Chandigarh"/>
    <x v="7"/>
    <x v="2"/>
    <n v="1"/>
    <n v="3499"/>
    <n v="0.15"/>
    <s v="Net Banking"/>
    <x v="1"/>
    <d v="2026-03-09T00:00:00"/>
    <m/>
    <n v="3499"/>
    <n v="524.85"/>
    <n v="2974.15"/>
    <s v=""/>
    <x v="1"/>
    <s v="Mar"/>
    <x v="8"/>
    <n v="0"/>
  </r>
  <r>
    <s v="ORD-10365"/>
    <d v="2026-12-24T00:00:00"/>
    <s v="CUST-1052"/>
    <s v="Customer 1167"/>
    <x v="3"/>
    <s v="Bhubaneswar"/>
    <x v="17"/>
    <x v="4"/>
    <n v="2"/>
    <n v="399"/>
    <n v="0.1"/>
    <s v="UPI"/>
    <x v="0"/>
    <d v="2026-12-31T00:00:00"/>
    <d v="2026-12-29T00:00:00"/>
    <n v="798"/>
    <n v="79.800000000000011"/>
    <n v="718.2"/>
    <n v="5"/>
    <x v="0"/>
    <s v="Dec"/>
    <x v="6"/>
    <n v="0"/>
  </r>
  <r>
    <s v="ORD-10366"/>
    <d v="2026-05-15T00:00:00"/>
    <s v="CUST-1108"/>
    <s v="Customer 1215"/>
    <x v="2"/>
    <s v="Lucknow"/>
    <x v="7"/>
    <x v="2"/>
    <n v="1"/>
    <n v="3499"/>
    <n v="0.15"/>
    <s v="COD"/>
    <x v="0"/>
    <d v="2026-05-19T00:00:00"/>
    <d v="2026-05-19T00:00:00"/>
    <n v="3499"/>
    <n v="524.85"/>
    <n v="2974.15"/>
    <n v="4"/>
    <x v="0"/>
    <s v="May"/>
    <x v="3"/>
    <n v="0"/>
  </r>
  <r>
    <s v="ORD-10367"/>
    <d v="2026-08-19T00:00:00"/>
    <s v="CUST-1139"/>
    <s v="Customer 1121"/>
    <x v="2"/>
    <s v="Lucknow"/>
    <x v="15"/>
    <x v="4"/>
    <n v="1"/>
    <n v="749"/>
    <n v="0.05"/>
    <s v="COD"/>
    <x v="2"/>
    <d v="2026-08-22T00:00:00"/>
    <d v="2026-08-22T00:00:00"/>
    <n v="749"/>
    <n v="37.450000000000003"/>
    <n v="711.55"/>
    <n v="3"/>
    <x v="0"/>
    <s v="Aug"/>
    <x v="10"/>
    <n v="711.55"/>
  </r>
  <r>
    <s v="ORD-10368"/>
    <d v="2026-03-18T00:00:00"/>
    <s v="CUST-1274"/>
    <s v="Customer 1162"/>
    <x v="3"/>
    <s v="Guwahati"/>
    <x v="2"/>
    <x v="2"/>
    <n v="2"/>
    <n v="699"/>
    <n v="0"/>
    <s v="Credit Card"/>
    <x v="0"/>
    <d v="2026-03-23T00:00:00"/>
    <d v="2026-03-23T00:00:00"/>
    <n v="1398"/>
    <n v="0"/>
    <n v="1398"/>
    <n v="5"/>
    <x v="0"/>
    <s v="Mar"/>
    <x v="8"/>
    <n v="0"/>
  </r>
  <r>
    <s v="ORD-10369"/>
    <d v="2026-10-18T00:00:00"/>
    <s v="CUST-1050"/>
    <s v="Customer 1231"/>
    <x v="3"/>
    <s v="Patna"/>
    <x v="10"/>
    <x v="0"/>
    <n v="1"/>
    <n v="1899"/>
    <n v="0"/>
    <s v="Credit Card"/>
    <x v="0"/>
    <d v="2026-10-21T00:00:00"/>
    <d v="2026-10-20T00:00:00"/>
    <n v="1899"/>
    <n v="0"/>
    <n v="1899"/>
    <n v="2"/>
    <x v="0"/>
    <s v="Oct"/>
    <x v="5"/>
    <n v="0"/>
  </r>
  <r>
    <s v="ORD-10370"/>
    <d v="2026-10-14T00:00:00"/>
    <s v="CUST-1102"/>
    <s v="Customer 1296"/>
    <x v="2"/>
    <s v="Lucknow"/>
    <x v="21"/>
    <x v="0"/>
    <n v="2"/>
    <n v="1999"/>
    <n v="0.1"/>
    <s v="Debit Card"/>
    <x v="0"/>
    <d v="2026-10-19T00:00:00"/>
    <d v="2026-10-19T00:00:00"/>
    <n v="3998"/>
    <n v="399.8"/>
    <n v="3598.2"/>
    <n v="5"/>
    <x v="0"/>
    <s v="Oct"/>
    <x v="5"/>
    <n v="0"/>
  </r>
  <r>
    <s v="ORD-10371"/>
    <d v="2026-12-11T00:00:00"/>
    <s v="CUST-1075"/>
    <s v="Customer 1086"/>
    <x v="1"/>
    <s v="Ahmedabad"/>
    <x v="21"/>
    <x v="0"/>
    <n v="2"/>
    <n v="1999"/>
    <n v="0.15"/>
    <s v="UPI"/>
    <x v="0"/>
    <d v="2026-12-17T00:00:00"/>
    <d v="2026-12-17T00:00:00"/>
    <n v="3998"/>
    <n v="599.69999999999993"/>
    <n v="3398.3"/>
    <n v="6"/>
    <x v="0"/>
    <s v="Dec"/>
    <x v="6"/>
    <n v="0"/>
  </r>
  <r>
    <s v="ORD-10372"/>
    <d v="2026-07-27T00:00:00"/>
    <s v="CUST-1150"/>
    <s v="Customer 1137"/>
    <x v="2"/>
    <s v="Chandigarh"/>
    <x v="22"/>
    <x v="1"/>
    <n v="3"/>
    <n v="1199"/>
    <n v="0"/>
    <s v="UPI"/>
    <x v="0"/>
    <d v="2026-07-31T00:00:00"/>
    <d v="2026-07-30T00:00:00"/>
    <n v="3597"/>
    <n v="0"/>
    <n v="3597"/>
    <n v="3"/>
    <x v="0"/>
    <s v="Jul"/>
    <x v="11"/>
    <n v="0"/>
  </r>
  <r>
    <s v="ORD-10373"/>
    <d v="2026-10-28T00:00:00"/>
    <s v="CUST-1121"/>
    <s v="Customer 1129"/>
    <x v="3"/>
    <s v="Patna"/>
    <x v="15"/>
    <x v="4"/>
    <n v="2"/>
    <n v="749"/>
    <n v="0.15"/>
    <s v="Net Banking"/>
    <x v="0"/>
    <d v="2026-10-31T00:00:00"/>
    <d v="2026-10-29T00:00:00"/>
    <n v="1498"/>
    <n v="224.7"/>
    <n v="1273.3"/>
    <n v="1"/>
    <x v="0"/>
    <s v="Oct"/>
    <x v="5"/>
    <n v="0"/>
  </r>
  <r>
    <s v="ORD-10374"/>
    <d v="2026-02-22T00:00:00"/>
    <s v="CUST-1054"/>
    <s v="Customer 1135"/>
    <x v="0"/>
    <s v="Chennai"/>
    <x v="12"/>
    <x v="2"/>
    <n v="1"/>
    <n v="1599"/>
    <n v="0.15"/>
    <s v="COD"/>
    <x v="0"/>
    <d v="2026-02-24T00:00:00"/>
    <d v="2026-02-23T00:00:00"/>
    <n v="1599"/>
    <n v="239.85"/>
    <n v="1359.15"/>
    <n v="1"/>
    <x v="0"/>
    <s v="Feb"/>
    <x v="4"/>
    <n v="0"/>
  </r>
  <r>
    <s v="ORD-10375"/>
    <d v="2026-04-28T00:00:00"/>
    <s v="CUST-1015"/>
    <s v="Customer 1018"/>
    <x v="1"/>
    <s v="Mumbai"/>
    <x v="15"/>
    <x v="4"/>
    <n v="1"/>
    <n v="749"/>
    <n v="0.1"/>
    <s v="Net Banking"/>
    <x v="2"/>
    <d v="2026-05-01T00:00:00"/>
    <d v="2026-04-29T00:00:00"/>
    <n v="749"/>
    <n v="74.900000000000006"/>
    <n v="674.1"/>
    <n v="1"/>
    <x v="0"/>
    <s v="Apr"/>
    <x v="0"/>
    <n v="674.1"/>
  </r>
  <r>
    <s v="ORD-10376"/>
    <d v="2026-10-04T00:00:00"/>
    <s v="CUST-1234"/>
    <s v="Customer 1289"/>
    <x v="2"/>
    <s v="Lucknow"/>
    <x v="5"/>
    <x v="4"/>
    <n v="4"/>
    <n v="499"/>
    <n v="0.2"/>
    <s v="Net Banking"/>
    <x v="0"/>
    <d v="2026-10-11T00:00:00"/>
    <d v="2026-10-09T00:00:00"/>
    <n v="1996"/>
    <n v="399.20000000000005"/>
    <n v="1596.8"/>
    <n v="5"/>
    <x v="0"/>
    <s v="Oct"/>
    <x v="5"/>
    <n v="0"/>
  </r>
  <r>
    <s v="ORD-10377"/>
    <d v="2026-10-04T00:00:00"/>
    <s v="CUST-1156"/>
    <s v="Customer 1006"/>
    <x v="3"/>
    <s v="Patna"/>
    <x v="23"/>
    <x v="0"/>
    <n v="1"/>
    <n v="2999"/>
    <n v="0"/>
    <s v="Net Banking"/>
    <x v="0"/>
    <d v="2026-10-08T00:00:00"/>
    <d v="2026-10-06T00:00:00"/>
    <n v="2999"/>
    <n v="0"/>
    <n v="2999"/>
    <n v="2"/>
    <x v="0"/>
    <s v="Oct"/>
    <x v="5"/>
    <n v="0"/>
  </r>
  <r>
    <s v="ORD-10378"/>
    <d v="2026-08-29T00:00:00"/>
    <s v="CUST-1119"/>
    <s v="Customer 1004"/>
    <x v="0"/>
    <s v="Chennai"/>
    <x v="21"/>
    <x v="0"/>
    <n v="2"/>
    <n v="1999"/>
    <n v="0.15"/>
    <s v="Net Banking"/>
    <x v="0"/>
    <d v="2026-08-31T00:00:00"/>
    <d v="2026-08-31T00:00:00"/>
    <n v="3998"/>
    <n v="599.69999999999993"/>
    <n v="3398.3"/>
    <n v="2"/>
    <x v="0"/>
    <s v="Aug"/>
    <x v="10"/>
    <n v="0"/>
  </r>
  <r>
    <s v="ORD-10379"/>
    <d v="2026-08-12T00:00:00"/>
    <s v="CUST-1217"/>
    <s v="Customer 1123"/>
    <x v="2"/>
    <s v="Jaipur"/>
    <x v="24"/>
    <x v="4"/>
    <n v="1"/>
    <n v="1499"/>
    <n v="0.05"/>
    <s v="Net Banking"/>
    <x v="3"/>
    <d v="2026-08-17T00:00:00"/>
    <d v="2026-08-13T00:00:00"/>
    <n v="1499"/>
    <n v="74.95"/>
    <n v="1424.05"/>
    <n v="1"/>
    <x v="0"/>
    <s v="Aug"/>
    <x v="10"/>
    <n v="0"/>
  </r>
  <r>
    <s v="ORD-10380"/>
    <d v="2026-07-31T00:00:00"/>
    <s v="CUST-1232"/>
    <s v="Customer 1140"/>
    <x v="2"/>
    <s v="Lucknow"/>
    <x v="11"/>
    <x v="1"/>
    <n v="1"/>
    <n v="3299"/>
    <n v="0"/>
    <s v="Credit Card"/>
    <x v="0"/>
    <d v="2026-08-04T00:00:00"/>
    <d v="2026-08-04T00:00:00"/>
    <n v="3299"/>
    <n v="0"/>
    <n v="3299"/>
    <n v="4"/>
    <x v="0"/>
    <s v="Jul"/>
    <x v="11"/>
    <n v="0"/>
  </r>
  <r>
    <s v="ORD-10381"/>
    <d v="2026-03-19T00:00:00"/>
    <s v="CUST-1225"/>
    <s v="Customer 1005"/>
    <x v="3"/>
    <s v="Bhubaneswar"/>
    <x v="6"/>
    <x v="0"/>
    <n v="1"/>
    <n v="699"/>
    <n v="0.2"/>
    <s v="UPI"/>
    <x v="0"/>
    <d v="2026-03-21T00:00:00"/>
    <d v="2026-03-20T00:00:00"/>
    <n v="699"/>
    <n v="139.80000000000001"/>
    <n v="559.20000000000005"/>
    <n v="1"/>
    <x v="0"/>
    <s v="Mar"/>
    <x v="8"/>
    <n v="0"/>
  </r>
  <r>
    <s v="ORD-10382"/>
    <d v="2026-09-10T00:00:00"/>
    <s v="CUST-1017"/>
    <s v="Customer 1170"/>
    <x v="1"/>
    <s v="Mumbai"/>
    <x v="14"/>
    <x v="2"/>
    <n v="1"/>
    <n v="999"/>
    <n v="0.15"/>
    <s v="Debit Card"/>
    <x v="3"/>
    <d v="2026-09-15T00:00:00"/>
    <d v="2026-09-19T00:00:00"/>
    <n v="999"/>
    <n v="149.85"/>
    <n v="849.15"/>
    <n v="9"/>
    <x v="2"/>
    <s v="Sep"/>
    <x v="7"/>
    <n v="0"/>
  </r>
  <r>
    <s v="ORD-10383"/>
    <d v="2026-07-20T00:00:00"/>
    <s v="CUST-1063"/>
    <s v="Customer 1128"/>
    <x v="0"/>
    <s v="Chennai"/>
    <x v="18"/>
    <x v="3"/>
    <n v="1"/>
    <n v="1999"/>
    <n v="0.15"/>
    <s v="Credit Card"/>
    <x v="0"/>
    <d v="2026-07-24T00:00:00"/>
    <d v="2026-07-21T00:00:00"/>
    <n v="1999"/>
    <n v="299.84999999999997"/>
    <n v="1699.15"/>
    <n v="1"/>
    <x v="0"/>
    <s v="Jul"/>
    <x v="11"/>
    <n v="0"/>
  </r>
  <r>
    <s v="ORD-10384"/>
    <d v="2026-04-12T00:00:00"/>
    <s v="CUST-1160"/>
    <s v="Customer 1166"/>
    <x v="3"/>
    <s v="Guwahati"/>
    <x v="14"/>
    <x v="2"/>
    <n v="2"/>
    <n v="999"/>
    <n v="0"/>
    <s v="COD"/>
    <x v="2"/>
    <d v="2026-04-15T00:00:00"/>
    <d v="2026-04-15T00:00:00"/>
    <n v="1998"/>
    <n v="0"/>
    <n v="1998"/>
    <n v="3"/>
    <x v="0"/>
    <s v="Apr"/>
    <x v="0"/>
    <n v="1998"/>
  </r>
  <r>
    <s v="ORD-10385"/>
    <d v="2026-03-04T00:00:00"/>
    <s v="CUST-1058"/>
    <s v="Customer 1121"/>
    <x v="1"/>
    <s v="Mumbai"/>
    <x v="22"/>
    <x v="1"/>
    <n v="1"/>
    <n v="1199"/>
    <n v="0.1"/>
    <s v="Credit Card"/>
    <x v="0"/>
    <d v="2026-03-06T00:00:00"/>
    <d v="2026-03-05T00:00:00"/>
    <n v="1199"/>
    <n v="119.9"/>
    <n v="1079.0999999999999"/>
    <n v="1"/>
    <x v="0"/>
    <s v="Mar"/>
    <x v="8"/>
    <n v="0"/>
  </r>
  <r>
    <s v="ORD-10386"/>
    <d v="2026-05-22T00:00:00"/>
    <s v="CUST-1080"/>
    <s v="Customer 1191"/>
    <x v="3"/>
    <s v="Patna"/>
    <x v="4"/>
    <x v="3"/>
    <n v="2"/>
    <n v="1299"/>
    <n v="0.15"/>
    <s v="Credit Card"/>
    <x v="0"/>
    <d v="2026-05-24T00:00:00"/>
    <d v="2026-05-24T00:00:00"/>
    <n v="2598"/>
    <n v="389.7"/>
    <n v="2208.3000000000002"/>
    <n v="2"/>
    <x v="0"/>
    <s v="May"/>
    <x v="3"/>
    <n v="0"/>
  </r>
  <r>
    <s v="ORD-10387"/>
    <d v="2026-02-16T00:00:00"/>
    <s v="CUST-1065"/>
    <s v="Customer 1250"/>
    <x v="0"/>
    <s v="Chennai"/>
    <x v="12"/>
    <x v="2"/>
    <n v="2"/>
    <n v="1599"/>
    <n v="0.1"/>
    <s v="UPI"/>
    <x v="0"/>
    <d v="2026-02-20T00:00:00"/>
    <d v="2026-02-17T00:00:00"/>
    <n v="3198"/>
    <n v="319.8"/>
    <n v="2878.2"/>
    <n v="1"/>
    <x v="0"/>
    <s v="Feb"/>
    <x v="4"/>
    <n v="0"/>
  </r>
  <r>
    <s v="ORD-10388"/>
    <d v="2026-08-13T00:00:00"/>
    <s v="CUST-1249"/>
    <s v="Customer 1225"/>
    <x v="1"/>
    <s v="Ahmedabad"/>
    <x v="11"/>
    <x v="1"/>
    <n v="2"/>
    <n v="3299"/>
    <n v="0"/>
    <s v="Net Banking"/>
    <x v="0"/>
    <d v="2026-08-20T00:00:00"/>
    <d v="2026-08-14T00:00:00"/>
    <n v="6598"/>
    <n v="0"/>
    <n v="6598"/>
    <n v="1"/>
    <x v="0"/>
    <s v="Aug"/>
    <x v="10"/>
    <n v="0"/>
  </r>
  <r>
    <s v="ORD-10389"/>
    <d v="2026-04-06T00:00:00"/>
    <s v="CUST-1036"/>
    <s v="Customer 1272"/>
    <x v="2"/>
    <s v="Chandigarh"/>
    <x v="7"/>
    <x v="2"/>
    <n v="2"/>
    <n v="3499"/>
    <n v="0.1"/>
    <s v="Net Banking"/>
    <x v="0"/>
    <d v="2026-04-12T00:00:00"/>
    <d v="2026-04-14T00:00:00"/>
    <n v="6998"/>
    <n v="699.80000000000007"/>
    <n v="6298.2"/>
    <n v="8"/>
    <x v="2"/>
    <s v="Apr"/>
    <x v="0"/>
    <n v="0"/>
  </r>
  <r>
    <s v="ORD-10390"/>
    <d v="2026-10-05T00:00:00"/>
    <s v="CUST-1187"/>
    <s v="Customer 1123"/>
    <x v="1"/>
    <s v="Goa"/>
    <x v="21"/>
    <x v="0"/>
    <n v="1"/>
    <n v="1999"/>
    <n v="0"/>
    <s v="COD"/>
    <x v="0"/>
    <d v="2026-10-12T00:00:00"/>
    <d v="2026-10-06T00:00:00"/>
    <n v="1999"/>
    <n v="0"/>
    <n v="1999"/>
    <n v="1"/>
    <x v="0"/>
    <s v="Oct"/>
    <x v="5"/>
    <n v="0"/>
  </r>
  <r>
    <s v="ORD-10391"/>
    <d v="2026-04-08T00:00:00"/>
    <s v="CUST-1165"/>
    <s v="Customer 1057"/>
    <x v="2"/>
    <s v="Delhi"/>
    <x v="13"/>
    <x v="1"/>
    <n v="2"/>
    <n v="2499"/>
    <n v="0.15"/>
    <s v="COD"/>
    <x v="0"/>
    <d v="2026-04-14T00:00:00"/>
    <d v="2026-04-12T00:00:00"/>
    <n v="4998"/>
    <n v="749.69999999999993"/>
    <n v="4248.3"/>
    <n v="4"/>
    <x v="0"/>
    <s v="Apr"/>
    <x v="0"/>
    <n v="0"/>
  </r>
  <r>
    <s v="ORD-10392"/>
    <d v="2026-04-02T00:00:00"/>
    <s v="CUST-1199"/>
    <s v="Customer 1251"/>
    <x v="0"/>
    <s v="Bengaluru"/>
    <x v="4"/>
    <x v="3"/>
    <n v="3"/>
    <n v="1299"/>
    <n v="0.05"/>
    <s v="UPI"/>
    <x v="0"/>
    <d v="2026-04-05T00:00:00"/>
    <d v="2026-04-05T00:00:00"/>
    <n v="3897"/>
    <n v="194.85000000000002"/>
    <n v="3702.15"/>
    <n v="3"/>
    <x v="0"/>
    <s v="Apr"/>
    <x v="0"/>
    <n v="0"/>
  </r>
  <r>
    <s v="ORD-10393"/>
    <d v="2026-11-07T00:00:00"/>
    <s v="CUST-1240"/>
    <s v="Customer 1032"/>
    <x v="2"/>
    <s v="Delhi"/>
    <x v="0"/>
    <x v="0"/>
    <n v="2"/>
    <n v="1799"/>
    <n v="0"/>
    <s v="Credit Card"/>
    <x v="2"/>
    <d v="2026-11-12T00:00:00"/>
    <d v="2026-11-13T00:00:00"/>
    <n v="3598"/>
    <n v="0"/>
    <n v="3598"/>
    <n v="6"/>
    <x v="2"/>
    <s v="Nov"/>
    <x v="1"/>
    <n v="3598"/>
  </r>
  <r>
    <s v="ORD-10394"/>
    <d v="2026-11-12T00:00:00"/>
    <s v="CUST-1266"/>
    <s v="Customer 1050"/>
    <x v="2"/>
    <s v="Chandigarh"/>
    <x v="6"/>
    <x v="0"/>
    <n v="1"/>
    <n v="699"/>
    <n v="0"/>
    <s v="UPI"/>
    <x v="3"/>
    <d v="2026-11-16T00:00:00"/>
    <d v="2026-11-14T00:00:00"/>
    <n v="699"/>
    <n v="0"/>
    <n v="699"/>
    <n v="2"/>
    <x v="0"/>
    <s v="Nov"/>
    <x v="1"/>
    <n v="0"/>
  </r>
  <r>
    <s v="ORD-10395"/>
    <d v="2026-04-08T00:00:00"/>
    <s v="CUST-1213"/>
    <s v="Customer 1055"/>
    <x v="0"/>
    <s v="Chennai"/>
    <x v="13"/>
    <x v="1"/>
    <n v="1"/>
    <n v="2499"/>
    <n v="0.05"/>
    <s v="COD"/>
    <x v="2"/>
    <d v="2026-04-11T00:00:00"/>
    <d v="2026-04-11T00:00:00"/>
    <n v="2499"/>
    <n v="124.95"/>
    <n v="2374.0500000000002"/>
    <n v="3"/>
    <x v="0"/>
    <s v="Apr"/>
    <x v="0"/>
    <n v="2374.0500000000002"/>
  </r>
  <r>
    <s v="ORD-10396"/>
    <d v="2026-03-27T00:00:00"/>
    <s v="CUST-1081"/>
    <s v="Customer 1274"/>
    <x v="2"/>
    <s v="Chandigarh"/>
    <x v="17"/>
    <x v="4"/>
    <n v="3"/>
    <n v="399"/>
    <n v="0.2"/>
    <s v="Net Banking"/>
    <x v="1"/>
    <d v="2026-03-31T00:00:00"/>
    <m/>
    <n v="1197"/>
    <n v="239.4"/>
    <n v="957.6"/>
    <s v=""/>
    <x v="1"/>
    <s v="Mar"/>
    <x v="8"/>
    <n v="0"/>
  </r>
  <r>
    <s v="ORD-10397"/>
    <d v="2026-06-16T00:00:00"/>
    <s v="CUST-1289"/>
    <s v="Customer 1280"/>
    <x v="3"/>
    <s v="Patna"/>
    <x v="10"/>
    <x v="0"/>
    <n v="3"/>
    <n v="1899"/>
    <n v="0.15"/>
    <s v="Net Banking"/>
    <x v="3"/>
    <d v="2026-06-23T00:00:00"/>
    <d v="2026-06-18T00:00:00"/>
    <n v="5697"/>
    <n v="854.55"/>
    <n v="4842.45"/>
    <n v="2"/>
    <x v="0"/>
    <s v="Jun"/>
    <x v="2"/>
    <n v="0"/>
  </r>
  <r>
    <s v="ORD-10398"/>
    <d v="2026-07-04T00:00:00"/>
    <s v="CUST-1009"/>
    <s v="Customer 1266"/>
    <x v="1"/>
    <s v="Goa"/>
    <x v="11"/>
    <x v="1"/>
    <n v="4"/>
    <n v="3299"/>
    <n v="0.15"/>
    <s v="Net Banking"/>
    <x v="0"/>
    <d v="2026-07-11T00:00:00"/>
    <d v="2026-07-07T00:00:00"/>
    <n v="13196"/>
    <n v="1979.3999999999999"/>
    <n v="11216.6"/>
    <n v="3"/>
    <x v="0"/>
    <s v="Jul"/>
    <x v="11"/>
    <n v="0"/>
  </r>
  <r>
    <s v="ORD-10399"/>
    <d v="2026-04-24T00:00:00"/>
    <s v="CUST-1262"/>
    <s v="Customer 1285"/>
    <x v="1"/>
    <s v="Ahmedabad"/>
    <x v="18"/>
    <x v="3"/>
    <n v="1"/>
    <n v="1999"/>
    <n v="0.1"/>
    <s v="UPI"/>
    <x v="3"/>
    <d v="2026-05-01T00:00:00"/>
    <d v="2026-04-29T00:00:00"/>
    <n v="1999"/>
    <n v="199.9"/>
    <n v="1799.1"/>
    <n v="5"/>
    <x v="0"/>
    <s v="Apr"/>
    <x v="0"/>
    <n v="0"/>
  </r>
  <r>
    <s v="ORD-10400"/>
    <d v="2026-07-02T00:00:00"/>
    <s v="CUST-1120"/>
    <s v="Customer 1132"/>
    <x v="1"/>
    <s v="Mumbai"/>
    <x v="19"/>
    <x v="3"/>
    <n v="1"/>
    <n v="1499"/>
    <n v="0.1"/>
    <s v="Debit Card"/>
    <x v="1"/>
    <d v="2026-07-05T00:00:00"/>
    <m/>
    <n v="1499"/>
    <n v="149.9"/>
    <n v="1349.1"/>
    <s v=""/>
    <x v="1"/>
    <s v="Jul"/>
    <x v="11"/>
    <n v="0"/>
  </r>
  <r>
    <s v="ORD-10401"/>
    <d v="2026-10-19T00:00:00"/>
    <s v="CUST-1049"/>
    <s v="Customer 1154"/>
    <x v="2"/>
    <s v="Delhi"/>
    <x v="13"/>
    <x v="1"/>
    <n v="4"/>
    <n v="2499"/>
    <n v="0"/>
    <s v="Debit Card"/>
    <x v="3"/>
    <d v="2026-10-24T00:00:00"/>
    <d v="2026-10-24T00:00:00"/>
    <n v="9996"/>
    <n v="0"/>
    <n v="9996"/>
    <n v="5"/>
    <x v="0"/>
    <s v="Oct"/>
    <x v="5"/>
    <n v="0"/>
  </r>
  <r>
    <s v="ORD-10402"/>
    <d v="2026-06-21T00:00:00"/>
    <s v="CUST-1006"/>
    <s v="Customer 1196"/>
    <x v="0"/>
    <s v="Kochi"/>
    <x v="8"/>
    <x v="3"/>
    <n v="1"/>
    <n v="799"/>
    <n v="0.15"/>
    <s v="Net Banking"/>
    <x v="3"/>
    <d v="2026-06-23T00:00:00"/>
    <d v="2026-06-22T00:00:00"/>
    <n v="799"/>
    <n v="119.85"/>
    <n v="679.15"/>
    <n v="1"/>
    <x v="0"/>
    <s v="Jun"/>
    <x v="2"/>
    <n v="0"/>
  </r>
  <r>
    <s v="ORD-10403"/>
    <d v="2026-06-13T00:00:00"/>
    <s v="CUST-1114"/>
    <s v="Customer 1079"/>
    <x v="0"/>
    <s v="Hyderabad"/>
    <x v="9"/>
    <x v="1"/>
    <n v="2"/>
    <n v="899"/>
    <n v="0.05"/>
    <s v="Debit Card"/>
    <x v="1"/>
    <d v="2026-06-20T00:00:00"/>
    <m/>
    <n v="1798"/>
    <n v="89.9"/>
    <n v="1708.1"/>
    <s v=""/>
    <x v="1"/>
    <s v="Jun"/>
    <x v="2"/>
    <n v="0"/>
  </r>
  <r>
    <s v="ORD-10404"/>
    <d v="2026-10-22T00:00:00"/>
    <s v="CUST-1043"/>
    <s v="Customer 1244"/>
    <x v="0"/>
    <s v="Kochi"/>
    <x v="24"/>
    <x v="4"/>
    <n v="2"/>
    <n v="1499"/>
    <n v="0.05"/>
    <s v="Net Banking"/>
    <x v="0"/>
    <d v="2026-10-27T00:00:00"/>
    <d v="2026-10-25T00:00:00"/>
    <n v="2998"/>
    <n v="149.9"/>
    <n v="2848.1"/>
    <n v="3"/>
    <x v="0"/>
    <s v="Oct"/>
    <x v="5"/>
    <n v="0"/>
  </r>
  <r>
    <s v="ORD-10405"/>
    <d v="2026-07-24T00:00:00"/>
    <s v="CUST-1293"/>
    <s v="Customer 1101"/>
    <x v="0"/>
    <s v="Kochi"/>
    <x v="6"/>
    <x v="0"/>
    <n v="2"/>
    <n v="699"/>
    <n v="0.05"/>
    <s v="Credit Card"/>
    <x v="0"/>
    <d v="2026-07-30T00:00:00"/>
    <d v="2026-07-28T00:00:00"/>
    <n v="1398"/>
    <n v="69.900000000000006"/>
    <n v="1328.1"/>
    <n v="4"/>
    <x v="0"/>
    <s v="Jul"/>
    <x v="11"/>
    <n v="0"/>
  </r>
  <r>
    <s v="ORD-10406"/>
    <d v="2026-08-09T00:00:00"/>
    <s v="CUST-1179"/>
    <s v="Customer 1098"/>
    <x v="1"/>
    <s v="Pune"/>
    <x v="18"/>
    <x v="3"/>
    <n v="1"/>
    <n v="1999"/>
    <n v="0.2"/>
    <s v="UPI"/>
    <x v="0"/>
    <d v="2026-08-16T00:00:00"/>
    <d v="2026-08-12T00:00:00"/>
    <n v="1999"/>
    <n v="399.8"/>
    <n v="1599.2"/>
    <n v="3"/>
    <x v="0"/>
    <s v="Aug"/>
    <x v="10"/>
    <n v="0"/>
  </r>
  <r>
    <s v="ORD-10407"/>
    <d v="2026-06-06T00:00:00"/>
    <s v="CUST-1023"/>
    <s v="Customer 1120"/>
    <x v="2"/>
    <s v="Lucknow"/>
    <x v="9"/>
    <x v="1"/>
    <n v="1"/>
    <n v="899"/>
    <n v="0.1"/>
    <s v="COD"/>
    <x v="3"/>
    <d v="2026-06-11T00:00:00"/>
    <d v="2026-06-10T00:00:00"/>
    <n v="899"/>
    <n v="89.9"/>
    <n v="809.1"/>
    <n v="4"/>
    <x v="0"/>
    <s v="Jun"/>
    <x v="2"/>
    <n v="0"/>
  </r>
  <r>
    <s v="ORD-10408"/>
    <d v="2026-02-27T00:00:00"/>
    <s v="CUST-1157"/>
    <s v="Customer 1231"/>
    <x v="1"/>
    <s v="Ahmedabad"/>
    <x v="14"/>
    <x v="2"/>
    <n v="2"/>
    <n v="999"/>
    <n v="0.05"/>
    <s v="COD"/>
    <x v="0"/>
    <d v="2026-03-03T00:00:00"/>
    <d v="2026-02-28T00:00:00"/>
    <n v="1998"/>
    <n v="99.9"/>
    <n v="1898.1"/>
    <n v="1"/>
    <x v="0"/>
    <s v="Feb"/>
    <x v="4"/>
    <n v="0"/>
  </r>
  <r>
    <s v="ORD-10409"/>
    <d v="2026-10-03T00:00:00"/>
    <s v="CUST-1010"/>
    <s v="Customer 1193"/>
    <x v="3"/>
    <s v="Kolkata"/>
    <x v="0"/>
    <x v="0"/>
    <n v="1"/>
    <n v="1799"/>
    <n v="0.2"/>
    <s v="COD"/>
    <x v="3"/>
    <d v="2026-10-07T00:00:00"/>
    <d v="2026-10-05T00:00:00"/>
    <n v="1799"/>
    <n v="359.8"/>
    <n v="1439.2"/>
    <n v="2"/>
    <x v="0"/>
    <s v="Oct"/>
    <x v="5"/>
    <n v="0"/>
  </r>
  <r>
    <s v="ORD-10410"/>
    <d v="2026-05-26T00:00:00"/>
    <s v="CUST-1035"/>
    <s v="Customer 1199"/>
    <x v="0"/>
    <s v="Hyderabad"/>
    <x v="14"/>
    <x v="2"/>
    <n v="1"/>
    <n v="999"/>
    <n v="0.2"/>
    <s v="Debit Card"/>
    <x v="0"/>
    <d v="2026-05-31T00:00:00"/>
    <d v="2026-05-27T00:00:00"/>
    <n v="999"/>
    <n v="199.8"/>
    <n v="799.2"/>
    <n v="1"/>
    <x v="0"/>
    <s v="May"/>
    <x v="3"/>
    <n v="0"/>
  </r>
  <r>
    <s v="ORD-10411"/>
    <d v="2026-05-30T00:00:00"/>
    <s v="CUST-1162"/>
    <s v="Customer 1249"/>
    <x v="2"/>
    <s v="Lucknow"/>
    <x v="8"/>
    <x v="3"/>
    <n v="3"/>
    <n v="799"/>
    <n v="0.15"/>
    <s v="Credit Card"/>
    <x v="0"/>
    <d v="2026-06-05T00:00:00"/>
    <d v="2026-06-06T00:00:00"/>
    <n v="2397"/>
    <n v="359.55"/>
    <n v="2037.45"/>
    <n v="7"/>
    <x v="2"/>
    <s v="May"/>
    <x v="3"/>
    <n v="0"/>
  </r>
  <r>
    <s v="ORD-10412"/>
    <d v="2026-08-23T00:00:00"/>
    <s v="CUST-1202"/>
    <s v="Customer 1081"/>
    <x v="0"/>
    <s v="Chennai"/>
    <x v="7"/>
    <x v="2"/>
    <n v="2"/>
    <n v="3499"/>
    <n v="0"/>
    <s v="UPI"/>
    <x v="0"/>
    <d v="2026-08-29T00:00:00"/>
    <d v="2026-08-27T00:00:00"/>
    <n v="6998"/>
    <n v="0"/>
    <n v="6998"/>
    <n v="4"/>
    <x v="0"/>
    <s v="Aug"/>
    <x v="10"/>
    <n v="0"/>
  </r>
  <r>
    <s v="ORD-10413"/>
    <d v="2026-11-17T00:00:00"/>
    <s v="CUST-1016"/>
    <s v="Customer 1285"/>
    <x v="0"/>
    <s v="Hyderabad"/>
    <x v="21"/>
    <x v="0"/>
    <n v="1"/>
    <n v="1999"/>
    <n v="0.2"/>
    <s v="Debit Card"/>
    <x v="3"/>
    <d v="2026-11-19T00:00:00"/>
    <d v="2026-11-19T00:00:00"/>
    <n v="1999"/>
    <n v="399.8"/>
    <n v="1599.2"/>
    <n v="2"/>
    <x v="0"/>
    <s v="Nov"/>
    <x v="1"/>
    <n v="0"/>
  </r>
  <r>
    <s v="ORD-10414"/>
    <d v="2026-07-21T00:00:00"/>
    <s v="CUST-1117"/>
    <s v="Customer 1214"/>
    <x v="2"/>
    <s v="Jaipur"/>
    <x v="16"/>
    <x v="2"/>
    <n v="2"/>
    <n v="899"/>
    <n v="0"/>
    <s v="Net Banking"/>
    <x v="1"/>
    <d v="2026-07-28T00:00:00"/>
    <m/>
    <n v="1798"/>
    <n v="0"/>
    <n v="1798"/>
    <s v=""/>
    <x v="1"/>
    <s v="Jul"/>
    <x v="11"/>
    <n v="0"/>
  </r>
  <r>
    <s v="ORD-10415"/>
    <d v="2026-11-06T00:00:00"/>
    <s v="CUST-1104"/>
    <s v="Customer 1071"/>
    <x v="1"/>
    <s v="Pune"/>
    <x v="15"/>
    <x v="4"/>
    <n v="1"/>
    <n v="749"/>
    <n v="0.2"/>
    <s v="Credit Card"/>
    <x v="0"/>
    <d v="2026-11-13T00:00:00"/>
    <d v="2026-11-11T00:00:00"/>
    <n v="749"/>
    <n v="149.80000000000001"/>
    <n v="599.20000000000005"/>
    <n v="5"/>
    <x v="0"/>
    <s v="Nov"/>
    <x v="1"/>
    <n v="0"/>
  </r>
  <r>
    <s v="ORD-10416"/>
    <d v="2026-12-02T00:00:00"/>
    <s v="CUST-1061"/>
    <s v="Customer 1095"/>
    <x v="2"/>
    <s v="Jaipur"/>
    <x v="20"/>
    <x v="4"/>
    <n v="4"/>
    <n v="599"/>
    <n v="0.05"/>
    <s v="Debit Card"/>
    <x v="0"/>
    <d v="2026-12-08T00:00:00"/>
    <d v="2026-12-08T00:00:00"/>
    <n v="2396"/>
    <n v="119.80000000000001"/>
    <n v="2276.1999999999998"/>
    <n v="6"/>
    <x v="0"/>
    <s v="Dec"/>
    <x v="6"/>
    <n v="0"/>
  </r>
  <r>
    <s v="ORD-10417"/>
    <d v="2026-07-31T00:00:00"/>
    <s v="CUST-1078"/>
    <s v="Customer 1097"/>
    <x v="2"/>
    <s v="Jaipur"/>
    <x v="18"/>
    <x v="3"/>
    <n v="4"/>
    <n v="1999"/>
    <n v="0.1"/>
    <s v="Net Banking"/>
    <x v="2"/>
    <d v="2026-08-07T00:00:00"/>
    <d v="2026-08-10T00:00:00"/>
    <n v="7996"/>
    <n v="799.6"/>
    <n v="7196.4"/>
    <n v="10"/>
    <x v="2"/>
    <s v="Jul"/>
    <x v="11"/>
    <n v="7196.4"/>
  </r>
  <r>
    <s v="ORD-10418"/>
    <d v="2026-11-10T00:00:00"/>
    <s v="CUST-1119"/>
    <s v="Customer 1119"/>
    <x v="0"/>
    <s v="Chennai"/>
    <x v="14"/>
    <x v="2"/>
    <n v="2"/>
    <n v="999"/>
    <n v="0.2"/>
    <s v="COD"/>
    <x v="1"/>
    <d v="2026-11-13T00:00:00"/>
    <m/>
    <n v="1998"/>
    <n v="399.6"/>
    <n v="1598.4"/>
    <s v=""/>
    <x v="1"/>
    <s v="Nov"/>
    <x v="1"/>
    <n v="0"/>
  </r>
  <r>
    <s v="ORD-10419"/>
    <d v="2026-03-10T00:00:00"/>
    <s v="CUST-1199"/>
    <s v="Customer 1252"/>
    <x v="0"/>
    <s v="Hyderabad"/>
    <x v="19"/>
    <x v="3"/>
    <n v="2"/>
    <n v="1499"/>
    <n v="0.2"/>
    <s v="Net Banking"/>
    <x v="2"/>
    <d v="2026-03-17T00:00:00"/>
    <d v="2026-03-17T00:00:00"/>
    <n v="2998"/>
    <n v="599.6"/>
    <n v="2398.4"/>
    <n v="7"/>
    <x v="0"/>
    <s v="Mar"/>
    <x v="8"/>
    <n v="2398.4"/>
  </r>
  <r>
    <s v="ORD-10420"/>
    <d v="2026-04-26T00:00:00"/>
    <s v="CUST-1105"/>
    <s v="Customer 1034"/>
    <x v="3"/>
    <s v="Bhubaneswar"/>
    <x v="2"/>
    <x v="2"/>
    <n v="1"/>
    <n v="699"/>
    <n v="0"/>
    <s v="Debit Card"/>
    <x v="0"/>
    <d v="2026-04-29T00:00:00"/>
    <d v="2026-04-27T00:00:00"/>
    <n v="699"/>
    <n v="0"/>
    <n v="699"/>
    <n v="1"/>
    <x v="0"/>
    <s v="Apr"/>
    <x v="0"/>
    <n v="0"/>
  </r>
  <r>
    <s v="ORD-10421"/>
    <d v="2026-12-19T00:00:00"/>
    <s v="CUST-1195"/>
    <s v="Customer 1161"/>
    <x v="1"/>
    <s v="Goa"/>
    <x v="13"/>
    <x v="1"/>
    <n v="1"/>
    <n v="2499"/>
    <n v="0.15"/>
    <s v="Credit Card"/>
    <x v="0"/>
    <d v="2026-12-24T00:00:00"/>
    <d v="2026-12-24T00:00:00"/>
    <n v="2499"/>
    <n v="374.84999999999997"/>
    <n v="2124.15"/>
    <n v="5"/>
    <x v="0"/>
    <s v="Dec"/>
    <x v="6"/>
    <n v="0"/>
  </r>
  <r>
    <s v="ORD-10422"/>
    <d v="2026-08-20T00:00:00"/>
    <s v="CUST-1203"/>
    <s v="Customer 1021"/>
    <x v="3"/>
    <s v="Kolkata"/>
    <x v="9"/>
    <x v="1"/>
    <n v="2"/>
    <n v="899"/>
    <n v="0"/>
    <s v="Credit Card"/>
    <x v="1"/>
    <d v="2026-08-26T00:00:00"/>
    <m/>
    <n v="1798"/>
    <n v="0"/>
    <n v="1798"/>
    <s v=""/>
    <x v="1"/>
    <s v="Aug"/>
    <x v="10"/>
    <n v="0"/>
  </r>
  <r>
    <s v="ORD-10423"/>
    <d v="2026-08-14T00:00:00"/>
    <s v="CUST-1028"/>
    <s v="Customer 1265"/>
    <x v="3"/>
    <s v="Kolkata"/>
    <x v="16"/>
    <x v="2"/>
    <n v="1"/>
    <n v="899"/>
    <n v="0.1"/>
    <s v="Debit Card"/>
    <x v="0"/>
    <d v="2026-08-17T00:00:00"/>
    <d v="2026-08-17T00:00:00"/>
    <n v="899"/>
    <n v="89.9"/>
    <n v="809.1"/>
    <n v="3"/>
    <x v="0"/>
    <s v="Aug"/>
    <x v="10"/>
    <n v="0"/>
  </r>
  <r>
    <s v="ORD-10424"/>
    <d v="2026-09-14T00:00:00"/>
    <s v="CUST-1013"/>
    <s v="Customer 1092"/>
    <x v="1"/>
    <s v="Goa"/>
    <x v="17"/>
    <x v="4"/>
    <n v="1"/>
    <n v="399"/>
    <n v="0.2"/>
    <s v="COD"/>
    <x v="0"/>
    <d v="2026-09-19T00:00:00"/>
    <d v="2026-09-18T00:00:00"/>
    <n v="399"/>
    <n v="79.800000000000011"/>
    <n v="319.2"/>
    <n v="4"/>
    <x v="0"/>
    <s v="Sep"/>
    <x v="7"/>
    <n v="0"/>
  </r>
  <r>
    <s v="ORD-10425"/>
    <d v="2026-05-09T00:00:00"/>
    <s v="CUST-1044"/>
    <s v="Customer 1269"/>
    <x v="3"/>
    <s v="Bhubaneswar"/>
    <x v="17"/>
    <x v="4"/>
    <n v="1"/>
    <n v="399"/>
    <n v="0.05"/>
    <s v="UPI"/>
    <x v="0"/>
    <d v="2026-05-11T00:00:00"/>
    <d v="2026-05-11T00:00:00"/>
    <n v="399"/>
    <n v="19.950000000000003"/>
    <n v="379.05"/>
    <n v="2"/>
    <x v="0"/>
    <s v="May"/>
    <x v="3"/>
    <n v="0"/>
  </r>
  <r>
    <s v="ORD-10426"/>
    <d v="2026-07-14T00:00:00"/>
    <s v="CUST-1077"/>
    <s v="Customer 1084"/>
    <x v="3"/>
    <s v="Bhubaneswar"/>
    <x v="24"/>
    <x v="4"/>
    <n v="1"/>
    <n v="1499"/>
    <n v="0.05"/>
    <s v="Debit Card"/>
    <x v="1"/>
    <d v="2026-07-21T00:00:00"/>
    <m/>
    <n v="1499"/>
    <n v="74.95"/>
    <n v="1424.05"/>
    <s v=""/>
    <x v="1"/>
    <s v="Jul"/>
    <x v="11"/>
    <n v="0"/>
  </r>
  <r>
    <s v="ORD-10427"/>
    <d v="2026-06-07T00:00:00"/>
    <s v="CUST-1104"/>
    <s v="Customer 1002"/>
    <x v="1"/>
    <s v="Pune"/>
    <x v="19"/>
    <x v="3"/>
    <n v="1"/>
    <n v="1499"/>
    <n v="0.15"/>
    <s v="Debit Card"/>
    <x v="2"/>
    <d v="2026-06-10T00:00:00"/>
    <d v="2026-06-08T00:00:00"/>
    <n v="1499"/>
    <n v="224.85"/>
    <n v="1274.1500000000001"/>
    <n v="1"/>
    <x v="0"/>
    <s v="Jun"/>
    <x v="2"/>
    <n v="1274.1500000000001"/>
  </r>
  <r>
    <s v="ORD-10428"/>
    <d v="2026-09-13T00:00:00"/>
    <s v="CUST-1244"/>
    <s v="Customer 1233"/>
    <x v="2"/>
    <s v="Delhi"/>
    <x v="5"/>
    <x v="4"/>
    <n v="2"/>
    <n v="499"/>
    <n v="0"/>
    <s v="COD"/>
    <x v="0"/>
    <d v="2026-09-16T00:00:00"/>
    <d v="2026-09-16T00:00:00"/>
    <n v="998"/>
    <n v="0"/>
    <n v="998"/>
    <n v="3"/>
    <x v="0"/>
    <s v="Sep"/>
    <x v="7"/>
    <n v="0"/>
  </r>
  <r>
    <s v="ORD-10429"/>
    <d v="2026-11-04T00:00:00"/>
    <s v="CUST-1286"/>
    <s v="Customer 1107"/>
    <x v="3"/>
    <s v="Guwahati"/>
    <x v="3"/>
    <x v="3"/>
    <n v="1"/>
    <n v="1799"/>
    <n v="0.2"/>
    <s v="Debit Card"/>
    <x v="1"/>
    <d v="2026-11-11T00:00:00"/>
    <m/>
    <n v="1799"/>
    <n v="359.8"/>
    <n v="1439.2"/>
    <s v=""/>
    <x v="1"/>
    <s v="Nov"/>
    <x v="1"/>
    <n v="0"/>
  </r>
  <r>
    <s v="ORD-10430"/>
    <d v="2026-12-01T00:00:00"/>
    <s v="CUST-1170"/>
    <s v="Customer 1045"/>
    <x v="0"/>
    <s v="Chennai"/>
    <x v="14"/>
    <x v="2"/>
    <n v="1"/>
    <n v="999"/>
    <n v="0.05"/>
    <s v="UPI"/>
    <x v="2"/>
    <d v="2026-12-07T00:00:00"/>
    <d v="2026-12-04T00:00:00"/>
    <n v="999"/>
    <n v="49.95"/>
    <n v="949.05"/>
    <n v="3"/>
    <x v="0"/>
    <s v="Dec"/>
    <x v="6"/>
    <n v="949.05"/>
  </r>
  <r>
    <s v="ORD-10431"/>
    <d v="2026-03-24T00:00:00"/>
    <s v="CUST-1091"/>
    <s v="Customer 1234"/>
    <x v="0"/>
    <s v="Bengaluru"/>
    <x v="20"/>
    <x v="4"/>
    <n v="2"/>
    <n v="599"/>
    <n v="0.2"/>
    <s v="COD"/>
    <x v="1"/>
    <d v="2026-03-30T00:00:00"/>
    <m/>
    <n v="1198"/>
    <n v="239.60000000000002"/>
    <n v="958.4"/>
    <s v=""/>
    <x v="1"/>
    <s v="Mar"/>
    <x v="8"/>
    <n v="0"/>
  </r>
  <r>
    <s v="ORD-10432"/>
    <d v="2026-06-15T00:00:00"/>
    <s v="CUST-1150"/>
    <s v="Customer 1242"/>
    <x v="2"/>
    <s v="Delhi"/>
    <x v="18"/>
    <x v="3"/>
    <n v="1"/>
    <n v="1999"/>
    <n v="0.15"/>
    <s v="UPI"/>
    <x v="3"/>
    <d v="2026-06-20T00:00:00"/>
    <d v="2026-06-16T00:00:00"/>
    <n v="1999"/>
    <n v="299.84999999999997"/>
    <n v="1699.15"/>
    <n v="1"/>
    <x v="0"/>
    <s v="Jun"/>
    <x v="2"/>
    <n v="0"/>
  </r>
  <r>
    <s v="ORD-10433"/>
    <d v="2026-09-27T00:00:00"/>
    <s v="CUST-1056"/>
    <s v="Customer 1293"/>
    <x v="1"/>
    <s v="Mumbai"/>
    <x v="21"/>
    <x v="0"/>
    <n v="1"/>
    <n v="1999"/>
    <n v="0.05"/>
    <s v="Credit Card"/>
    <x v="1"/>
    <d v="2026-09-29T00:00:00"/>
    <m/>
    <n v="1999"/>
    <n v="99.95"/>
    <n v="1899.05"/>
    <s v=""/>
    <x v="1"/>
    <s v="Sep"/>
    <x v="7"/>
    <n v="0"/>
  </r>
  <r>
    <s v="ORD-10434"/>
    <d v="2026-08-07T00:00:00"/>
    <s v="CUST-1182"/>
    <s v="Customer 1067"/>
    <x v="0"/>
    <s v="Kochi"/>
    <x v="11"/>
    <x v="1"/>
    <n v="2"/>
    <n v="3299"/>
    <n v="0.1"/>
    <s v="Debit Card"/>
    <x v="1"/>
    <d v="2026-08-13T00:00:00"/>
    <m/>
    <n v="6598"/>
    <n v="659.80000000000007"/>
    <n v="5938.2"/>
    <s v=""/>
    <x v="1"/>
    <s v="Aug"/>
    <x v="10"/>
    <n v="0"/>
  </r>
  <r>
    <s v="ORD-10435"/>
    <d v="2026-11-09T00:00:00"/>
    <s v="CUST-1107"/>
    <s v="Customer 1213"/>
    <x v="3"/>
    <s v="Guwahati"/>
    <x v="20"/>
    <x v="4"/>
    <n v="1"/>
    <n v="599"/>
    <n v="0.1"/>
    <s v="Credit Card"/>
    <x v="0"/>
    <d v="2026-11-11T00:00:00"/>
    <d v="2026-11-10T00:00:00"/>
    <n v="599"/>
    <n v="59.900000000000006"/>
    <n v="539.1"/>
    <n v="1"/>
    <x v="0"/>
    <s v="Nov"/>
    <x v="1"/>
    <n v="0"/>
  </r>
  <r>
    <s v="ORD-10436"/>
    <d v="2026-10-14T00:00:00"/>
    <s v="CUST-1035"/>
    <s v="Customer 1158"/>
    <x v="3"/>
    <s v="Kolkata"/>
    <x v="21"/>
    <x v="0"/>
    <n v="3"/>
    <n v="1999"/>
    <n v="0.05"/>
    <s v="UPI"/>
    <x v="2"/>
    <d v="2026-10-17T00:00:00"/>
    <d v="2026-10-16T00:00:00"/>
    <n v="5997"/>
    <n v="299.85000000000002"/>
    <n v="5697.15"/>
    <n v="2"/>
    <x v="0"/>
    <s v="Oct"/>
    <x v="5"/>
    <n v="5697.15"/>
  </r>
  <r>
    <s v="ORD-10437"/>
    <d v="2026-12-18T00:00:00"/>
    <s v="CUST-1090"/>
    <s v="Customer 1100"/>
    <x v="2"/>
    <s v="Lucknow"/>
    <x v="8"/>
    <x v="3"/>
    <n v="1"/>
    <n v="799"/>
    <n v="0.15"/>
    <s v="COD"/>
    <x v="1"/>
    <d v="2026-12-20T00:00:00"/>
    <m/>
    <n v="799"/>
    <n v="119.85"/>
    <n v="679.15"/>
    <s v=""/>
    <x v="1"/>
    <s v="Dec"/>
    <x v="6"/>
    <n v="0"/>
  </r>
  <r>
    <s v="ORD-10438"/>
    <d v="2026-01-19T00:00:00"/>
    <s v="CUST-1237"/>
    <s v="Customer 1212"/>
    <x v="2"/>
    <s v="Lucknow"/>
    <x v="5"/>
    <x v="4"/>
    <n v="2"/>
    <n v="499"/>
    <n v="0.15"/>
    <s v="Credit Card"/>
    <x v="2"/>
    <d v="2026-01-24T00:00:00"/>
    <d v="2026-01-27T00:00:00"/>
    <n v="998"/>
    <n v="149.69999999999999"/>
    <n v="848.3"/>
    <n v="8"/>
    <x v="2"/>
    <s v="Jan"/>
    <x v="9"/>
    <n v="848.3"/>
  </r>
  <r>
    <s v="ORD-10439"/>
    <d v="2026-10-12T00:00:00"/>
    <s v="CUST-1034"/>
    <s v="Customer 1077"/>
    <x v="0"/>
    <s v="Hyderabad"/>
    <x v="11"/>
    <x v="1"/>
    <n v="2"/>
    <n v="3299"/>
    <n v="0.05"/>
    <s v="COD"/>
    <x v="2"/>
    <d v="2026-10-16T00:00:00"/>
    <d v="2026-10-15T00:00:00"/>
    <n v="6598"/>
    <n v="329.90000000000003"/>
    <n v="6268.1"/>
    <n v="3"/>
    <x v="0"/>
    <s v="Oct"/>
    <x v="5"/>
    <n v="6268.1"/>
  </r>
  <r>
    <s v="ORD-10440"/>
    <d v="2026-11-17T00:00:00"/>
    <s v="CUST-1096"/>
    <s v="Customer 1060"/>
    <x v="2"/>
    <s v="Delhi"/>
    <x v="23"/>
    <x v="0"/>
    <n v="2"/>
    <n v="2999"/>
    <n v="0.05"/>
    <s v="COD"/>
    <x v="1"/>
    <d v="2026-11-22T00:00:00"/>
    <m/>
    <n v="5998"/>
    <n v="299.90000000000003"/>
    <n v="5698.1"/>
    <s v=""/>
    <x v="1"/>
    <s v="Nov"/>
    <x v="1"/>
    <n v="0"/>
  </r>
  <r>
    <s v="ORD-10441"/>
    <d v="2026-07-31T00:00:00"/>
    <s v="CUST-1090"/>
    <s v="Customer 1058"/>
    <x v="2"/>
    <s v="Lucknow"/>
    <x v="18"/>
    <x v="3"/>
    <n v="1"/>
    <n v="1999"/>
    <n v="0.05"/>
    <s v="Debit Card"/>
    <x v="0"/>
    <d v="2026-08-04T00:00:00"/>
    <d v="2026-08-03T00:00:00"/>
    <n v="1999"/>
    <n v="99.95"/>
    <n v="1899.05"/>
    <n v="3"/>
    <x v="0"/>
    <s v="Jul"/>
    <x v="11"/>
    <n v="0"/>
  </r>
  <r>
    <s v="ORD-10442"/>
    <d v="2026-08-16T00:00:00"/>
    <s v="CUST-1269"/>
    <s v="Customer 1159"/>
    <x v="2"/>
    <s v="Delhi"/>
    <x v="14"/>
    <x v="2"/>
    <n v="2"/>
    <n v="999"/>
    <n v="0.15"/>
    <s v="COD"/>
    <x v="0"/>
    <d v="2026-08-19T00:00:00"/>
    <d v="2026-08-18T00:00:00"/>
    <n v="1998"/>
    <n v="299.7"/>
    <n v="1698.3"/>
    <n v="2"/>
    <x v="0"/>
    <s v="Aug"/>
    <x v="10"/>
    <n v="0"/>
  </r>
  <r>
    <s v="ORD-10443"/>
    <d v="2026-12-13T00:00:00"/>
    <s v="CUST-1060"/>
    <s v="Customer 1003"/>
    <x v="2"/>
    <s v="Jaipur"/>
    <x v="3"/>
    <x v="3"/>
    <n v="5"/>
    <n v="1799"/>
    <n v="0.05"/>
    <s v="UPI"/>
    <x v="0"/>
    <d v="2026-12-18T00:00:00"/>
    <d v="2026-12-18T00:00:00"/>
    <n v="8995"/>
    <n v="449.75"/>
    <n v="8545.25"/>
    <n v="5"/>
    <x v="0"/>
    <s v="Dec"/>
    <x v="6"/>
    <n v="0"/>
  </r>
  <r>
    <s v="ORD-10444"/>
    <d v="2026-06-20T00:00:00"/>
    <s v="CUST-1160"/>
    <s v="Customer 1012"/>
    <x v="2"/>
    <s v="Delhi"/>
    <x v="9"/>
    <x v="1"/>
    <n v="2"/>
    <n v="899"/>
    <n v="0"/>
    <s v="UPI"/>
    <x v="1"/>
    <d v="2026-06-27T00:00:00"/>
    <m/>
    <n v="1798"/>
    <n v="0"/>
    <n v="1798"/>
    <s v=""/>
    <x v="1"/>
    <s v="Jun"/>
    <x v="2"/>
    <n v="0"/>
  </r>
  <r>
    <s v="ORD-10445"/>
    <d v="2026-04-09T00:00:00"/>
    <s v="CUST-1077"/>
    <s v="Customer 1081"/>
    <x v="2"/>
    <s v="Jaipur"/>
    <x v="0"/>
    <x v="0"/>
    <n v="1"/>
    <n v="1799"/>
    <n v="0.2"/>
    <s v="Debit Card"/>
    <x v="3"/>
    <d v="2026-04-14T00:00:00"/>
    <d v="2026-04-12T00:00:00"/>
    <n v="1799"/>
    <n v="359.8"/>
    <n v="1439.2"/>
    <n v="3"/>
    <x v="0"/>
    <s v="Apr"/>
    <x v="0"/>
    <n v="0"/>
  </r>
  <r>
    <s v="ORD-10446"/>
    <d v="2026-10-14T00:00:00"/>
    <s v="CUST-1146"/>
    <s v="Customer 1294"/>
    <x v="2"/>
    <s v="Delhi"/>
    <x v="3"/>
    <x v="3"/>
    <n v="2"/>
    <n v="1799"/>
    <n v="0.05"/>
    <s v="COD"/>
    <x v="0"/>
    <d v="2026-10-20T00:00:00"/>
    <d v="2026-10-16T00:00:00"/>
    <n v="3598"/>
    <n v="179.9"/>
    <n v="3418.1"/>
    <n v="2"/>
    <x v="0"/>
    <s v="Oct"/>
    <x v="5"/>
    <n v="0"/>
  </r>
  <r>
    <s v="ORD-10447"/>
    <d v="2026-11-10T00:00:00"/>
    <s v="CUST-1026"/>
    <s v="Customer 1055"/>
    <x v="1"/>
    <s v="Pune"/>
    <x v="18"/>
    <x v="3"/>
    <n v="3"/>
    <n v="1999"/>
    <n v="0.2"/>
    <s v="Net Banking"/>
    <x v="0"/>
    <d v="2026-11-13T00:00:00"/>
    <d v="2026-11-13T00:00:00"/>
    <n v="5997"/>
    <n v="1199.4000000000001"/>
    <n v="4797.6000000000004"/>
    <n v="3"/>
    <x v="0"/>
    <s v="Nov"/>
    <x v="1"/>
    <n v="0"/>
  </r>
  <r>
    <s v="ORD-10448"/>
    <d v="2026-07-20T00:00:00"/>
    <s v="CUST-1183"/>
    <s v="Customer 1160"/>
    <x v="3"/>
    <s v="Kolkata"/>
    <x v="19"/>
    <x v="3"/>
    <n v="1"/>
    <n v="1499"/>
    <n v="0.2"/>
    <s v="COD"/>
    <x v="2"/>
    <d v="2026-07-27T00:00:00"/>
    <d v="2026-07-25T00:00:00"/>
    <n v="1499"/>
    <n v="299.8"/>
    <n v="1199.2"/>
    <n v="5"/>
    <x v="0"/>
    <s v="Jul"/>
    <x v="11"/>
    <n v="1199.2"/>
  </r>
  <r>
    <s v="ORD-10449"/>
    <d v="2026-08-27T00:00:00"/>
    <s v="CUST-1241"/>
    <s v="Customer 1119"/>
    <x v="2"/>
    <s v="Jaipur"/>
    <x v="9"/>
    <x v="1"/>
    <n v="2"/>
    <n v="899"/>
    <n v="0"/>
    <s v="Net Banking"/>
    <x v="0"/>
    <d v="2026-09-01T00:00:00"/>
    <d v="2026-08-31T00:00:00"/>
    <n v="1798"/>
    <n v="0"/>
    <n v="1798"/>
    <n v="4"/>
    <x v="0"/>
    <s v="Aug"/>
    <x v="10"/>
    <n v="0"/>
  </r>
  <r>
    <s v="ORD-10450"/>
    <d v="2026-07-06T00:00:00"/>
    <s v="CUST-1058"/>
    <s v="Customer 1180"/>
    <x v="1"/>
    <s v="Pune"/>
    <x v="11"/>
    <x v="1"/>
    <n v="1"/>
    <n v="3299"/>
    <n v="0.1"/>
    <s v="Debit Card"/>
    <x v="0"/>
    <d v="2026-07-11T00:00:00"/>
    <d v="2026-07-10T00:00:00"/>
    <n v="3299"/>
    <n v="329.90000000000003"/>
    <n v="2969.1"/>
    <n v="4"/>
    <x v="0"/>
    <s v="Jul"/>
    <x v="11"/>
    <n v="0"/>
  </r>
  <r>
    <s v="ORD-10451"/>
    <d v="2026-06-28T00:00:00"/>
    <s v="CUST-1167"/>
    <s v="Customer 1285"/>
    <x v="3"/>
    <s v="Guwahati"/>
    <x v="16"/>
    <x v="2"/>
    <n v="2"/>
    <n v="899"/>
    <n v="0.05"/>
    <s v="COD"/>
    <x v="0"/>
    <d v="2026-07-03T00:00:00"/>
    <d v="2026-06-29T00:00:00"/>
    <n v="1798"/>
    <n v="89.9"/>
    <n v="1708.1"/>
    <n v="1"/>
    <x v="0"/>
    <s v="Jun"/>
    <x v="2"/>
    <n v="0"/>
  </r>
  <r>
    <s v="ORD-10452"/>
    <d v="2026-07-25T00:00:00"/>
    <s v="CUST-1197"/>
    <s v="Customer 1034"/>
    <x v="0"/>
    <s v="Hyderabad"/>
    <x v="13"/>
    <x v="1"/>
    <n v="2"/>
    <n v="2499"/>
    <n v="0.05"/>
    <s v="COD"/>
    <x v="0"/>
    <d v="2026-07-31T00:00:00"/>
    <d v="2026-07-29T00:00:00"/>
    <n v="4998"/>
    <n v="249.9"/>
    <n v="4748.1000000000004"/>
    <n v="4"/>
    <x v="0"/>
    <s v="Jul"/>
    <x v="11"/>
    <n v="0"/>
  </r>
  <r>
    <s v="ORD-10453"/>
    <d v="2026-08-11T00:00:00"/>
    <s v="CUST-1040"/>
    <s v="Customer 1294"/>
    <x v="2"/>
    <s v="Jaipur"/>
    <x v="13"/>
    <x v="1"/>
    <n v="2"/>
    <n v="2499"/>
    <n v="0.1"/>
    <s v="COD"/>
    <x v="2"/>
    <d v="2026-08-14T00:00:00"/>
    <d v="2026-08-14T00:00:00"/>
    <n v="4998"/>
    <n v="499.8"/>
    <n v="4498.2"/>
    <n v="3"/>
    <x v="0"/>
    <s v="Aug"/>
    <x v="10"/>
    <n v="4498.2"/>
  </r>
  <r>
    <s v="ORD-10454"/>
    <d v="2026-08-26T00:00:00"/>
    <s v="CUST-1056"/>
    <s v="Customer 1195"/>
    <x v="3"/>
    <s v="Kolkata"/>
    <x v="22"/>
    <x v="1"/>
    <n v="1"/>
    <n v="1199"/>
    <n v="0"/>
    <s v="Net Banking"/>
    <x v="0"/>
    <d v="2026-08-30T00:00:00"/>
    <d v="2026-08-31T00:00:00"/>
    <n v="1199"/>
    <n v="0"/>
    <n v="1199"/>
    <n v="5"/>
    <x v="2"/>
    <s v="Aug"/>
    <x v="10"/>
    <n v="0"/>
  </r>
  <r>
    <s v="ORD-10455"/>
    <d v="2026-04-22T00:00:00"/>
    <s v="CUST-1273"/>
    <s v="Customer 1150"/>
    <x v="2"/>
    <s v="Chandigarh"/>
    <x v="8"/>
    <x v="3"/>
    <n v="3"/>
    <n v="799"/>
    <n v="0.2"/>
    <s v="UPI"/>
    <x v="3"/>
    <d v="2026-04-25T00:00:00"/>
    <d v="2026-04-24T00:00:00"/>
    <n v="2397"/>
    <n v="479.40000000000003"/>
    <n v="1917.6"/>
    <n v="2"/>
    <x v="0"/>
    <s v="Apr"/>
    <x v="0"/>
    <n v="0"/>
  </r>
  <r>
    <s v="ORD-10456"/>
    <d v="2026-12-15T00:00:00"/>
    <s v="CUST-1177"/>
    <s v="Customer 1046"/>
    <x v="3"/>
    <s v="Guwahati"/>
    <x v="2"/>
    <x v="2"/>
    <n v="3"/>
    <n v="699"/>
    <n v="0.1"/>
    <s v="COD"/>
    <x v="3"/>
    <d v="2026-12-22T00:00:00"/>
    <d v="2026-12-19T00:00:00"/>
    <n v="2097"/>
    <n v="209.70000000000002"/>
    <n v="1887.3"/>
    <n v="4"/>
    <x v="0"/>
    <s v="Dec"/>
    <x v="6"/>
    <n v="0"/>
  </r>
  <r>
    <s v="ORD-10457"/>
    <d v="2026-02-01T00:00:00"/>
    <s v="CUST-1057"/>
    <s v="Customer 1145"/>
    <x v="0"/>
    <s v="Kochi"/>
    <x v="16"/>
    <x v="2"/>
    <n v="1"/>
    <n v="899"/>
    <n v="0.2"/>
    <s v="UPI"/>
    <x v="0"/>
    <d v="2026-02-08T00:00:00"/>
    <d v="2026-02-04T00:00:00"/>
    <n v="899"/>
    <n v="179.8"/>
    <n v="719.2"/>
    <n v="3"/>
    <x v="0"/>
    <s v="Feb"/>
    <x v="4"/>
    <n v="0"/>
  </r>
  <r>
    <s v="ORD-10458"/>
    <d v="2026-07-21T00:00:00"/>
    <s v="CUST-1244"/>
    <s v="Customer 1072"/>
    <x v="0"/>
    <s v="Chennai"/>
    <x v="24"/>
    <x v="4"/>
    <n v="2"/>
    <n v="1499"/>
    <n v="0.15"/>
    <s v="Net Banking"/>
    <x v="0"/>
    <d v="2026-07-26T00:00:00"/>
    <d v="2026-07-23T00:00:00"/>
    <n v="2998"/>
    <n v="449.7"/>
    <n v="2548.3000000000002"/>
    <n v="2"/>
    <x v="0"/>
    <s v="Jul"/>
    <x v="11"/>
    <n v="0"/>
  </r>
  <r>
    <s v="ORD-10459"/>
    <d v="2026-03-20T00:00:00"/>
    <s v="CUST-1250"/>
    <s v="Customer 1224"/>
    <x v="1"/>
    <s v="Goa"/>
    <x v="23"/>
    <x v="0"/>
    <n v="1"/>
    <n v="2999"/>
    <n v="0.05"/>
    <s v="Credit Card"/>
    <x v="0"/>
    <d v="2026-03-22T00:00:00"/>
    <d v="2026-03-21T00:00:00"/>
    <n v="2999"/>
    <n v="149.95000000000002"/>
    <n v="2849.05"/>
    <n v="1"/>
    <x v="0"/>
    <s v="Mar"/>
    <x v="8"/>
    <n v="0"/>
  </r>
  <r>
    <s v="ORD-10460"/>
    <d v="2026-08-22T00:00:00"/>
    <s v="CUST-1233"/>
    <s v="Customer 1261"/>
    <x v="1"/>
    <s v="Mumbai"/>
    <x v="12"/>
    <x v="2"/>
    <n v="3"/>
    <n v="1599"/>
    <n v="0.2"/>
    <s v="Net Banking"/>
    <x v="1"/>
    <d v="2026-08-25T00:00:00"/>
    <m/>
    <n v="4797"/>
    <n v="959.40000000000009"/>
    <n v="3837.6"/>
    <s v=""/>
    <x v="1"/>
    <s v="Aug"/>
    <x v="10"/>
    <n v="0"/>
  </r>
  <r>
    <s v="ORD-10461"/>
    <d v="2026-04-26T00:00:00"/>
    <s v="CUST-1122"/>
    <s v="Customer 1257"/>
    <x v="3"/>
    <s v="Guwahati"/>
    <x v="15"/>
    <x v="4"/>
    <n v="1"/>
    <n v="749"/>
    <n v="0.2"/>
    <s v="UPI"/>
    <x v="1"/>
    <d v="2026-05-01T00:00:00"/>
    <m/>
    <n v="749"/>
    <n v="149.80000000000001"/>
    <n v="599.20000000000005"/>
    <s v=""/>
    <x v="1"/>
    <s v="Apr"/>
    <x v="0"/>
    <n v="0"/>
  </r>
  <r>
    <s v="ORD-10462"/>
    <d v="2026-07-07T00:00:00"/>
    <s v="CUST-1247"/>
    <s v="Customer 1041"/>
    <x v="2"/>
    <s v="Chandigarh"/>
    <x v="22"/>
    <x v="1"/>
    <n v="1"/>
    <n v="1199"/>
    <n v="0"/>
    <s v="COD"/>
    <x v="0"/>
    <d v="2026-07-14T00:00:00"/>
    <d v="2026-07-12T00:00:00"/>
    <n v="1199"/>
    <n v="0"/>
    <n v="1199"/>
    <n v="5"/>
    <x v="0"/>
    <s v="Jul"/>
    <x v="11"/>
    <n v="0"/>
  </r>
  <r>
    <s v="ORD-10463"/>
    <d v="2026-02-10T00:00:00"/>
    <s v="CUST-1277"/>
    <s v="Customer 1297"/>
    <x v="1"/>
    <s v="Ahmedabad"/>
    <x v="24"/>
    <x v="4"/>
    <n v="2"/>
    <n v="1499"/>
    <n v="0.2"/>
    <s v="UPI"/>
    <x v="0"/>
    <d v="2026-02-15T00:00:00"/>
    <d v="2026-02-11T00:00:00"/>
    <n v="2998"/>
    <n v="599.6"/>
    <n v="2398.4"/>
    <n v="1"/>
    <x v="0"/>
    <s v="Feb"/>
    <x v="4"/>
    <n v="0"/>
  </r>
  <r>
    <s v="ORD-10464"/>
    <d v="2026-01-06T00:00:00"/>
    <s v="CUST-1170"/>
    <s v="Customer 1216"/>
    <x v="2"/>
    <s v="Delhi"/>
    <x v="10"/>
    <x v="0"/>
    <n v="2"/>
    <n v="1899"/>
    <n v="0.2"/>
    <s v="Net Banking"/>
    <x v="1"/>
    <d v="2026-01-13T00:00:00"/>
    <m/>
    <n v="3798"/>
    <n v="759.6"/>
    <n v="3038.4"/>
    <s v=""/>
    <x v="1"/>
    <s v="Jan"/>
    <x v="9"/>
    <n v="0"/>
  </r>
  <r>
    <s v="ORD-10465"/>
    <d v="2026-01-19T00:00:00"/>
    <s v="CUST-1243"/>
    <s v="Customer 1297"/>
    <x v="2"/>
    <s v="Lucknow"/>
    <x v="0"/>
    <x v="0"/>
    <n v="2"/>
    <n v="1799"/>
    <n v="0.2"/>
    <s v="Debit Card"/>
    <x v="2"/>
    <d v="2026-01-25T00:00:00"/>
    <d v="2026-01-25T00:00:00"/>
    <n v="3598"/>
    <n v="719.6"/>
    <n v="2878.4"/>
    <n v="6"/>
    <x v="0"/>
    <s v="Jan"/>
    <x v="9"/>
    <n v="2878.4"/>
  </r>
  <r>
    <s v="ORD-10466"/>
    <d v="2026-01-14T00:00:00"/>
    <s v="CUST-1143"/>
    <s v="Customer 1130"/>
    <x v="1"/>
    <s v="Mumbai"/>
    <x v="10"/>
    <x v="0"/>
    <n v="1"/>
    <n v="1899"/>
    <n v="0"/>
    <s v="Credit Card"/>
    <x v="1"/>
    <d v="2026-01-16T00:00:00"/>
    <m/>
    <n v="1899"/>
    <n v="0"/>
    <n v="1899"/>
    <s v=""/>
    <x v="1"/>
    <s v="Jan"/>
    <x v="9"/>
    <n v="0"/>
  </r>
  <r>
    <s v="ORD-10467"/>
    <d v="2026-01-08T00:00:00"/>
    <s v="CUST-1078"/>
    <s v="Customer 1229"/>
    <x v="1"/>
    <s v="Ahmedabad"/>
    <x v="21"/>
    <x v="0"/>
    <n v="2"/>
    <n v="1999"/>
    <n v="0.2"/>
    <s v="Credit Card"/>
    <x v="1"/>
    <d v="2026-01-15T00:00:00"/>
    <m/>
    <n v="3998"/>
    <n v="799.6"/>
    <n v="3198.4"/>
    <s v=""/>
    <x v="1"/>
    <s v="Jan"/>
    <x v="9"/>
    <n v="0"/>
  </r>
  <r>
    <s v="ORD-10468"/>
    <d v="2026-09-06T00:00:00"/>
    <s v="CUST-1254"/>
    <s v="Customer 1212"/>
    <x v="2"/>
    <s v="Jaipur"/>
    <x v="0"/>
    <x v="0"/>
    <n v="1"/>
    <n v="1799"/>
    <n v="0.2"/>
    <s v="UPI"/>
    <x v="0"/>
    <d v="2026-09-08T00:00:00"/>
    <d v="2026-09-10T00:00:00"/>
    <n v="1799"/>
    <n v="359.8"/>
    <n v="1439.2"/>
    <n v="4"/>
    <x v="2"/>
    <s v="Sep"/>
    <x v="7"/>
    <n v="0"/>
  </r>
  <r>
    <s v="ORD-10469"/>
    <d v="2026-04-18T00:00:00"/>
    <s v="CUST-1027"/>
    <s v="Customer 1086"/>
    <x v="3"/>
    <s v="Bhubaneswar"/>
    <x v="20"/>
    <x v="4"/>
    <n v="2"/>
    <n v="599"/>
    <n v="0.1"/>
    <s v="UPI"/>
    <x v="2"/>
    <d v="2026-04-22T00:00:00"/>
    <d v="2026-04-19T00:00:00"/>
    <n v="1198"/>
    <n v="119.80000000000001"/>
    <n v="1078.2"/>
    <n v="1"/>
    <x v="0"/>
    <s v="Apr"/>
    <x v="0"/>
    <n v="1078.2"/>
  </r>
  <r>
    <s v="ORD-10470"/>
    <d v="2026-09-01T00:00:00"/>
    <s v="CUST-1135"/>
    <s v="Customer 1075"/>
    <x v="3"/>
    <s v="Guwahati"/>
    <x v="15"/>
    <x v="4"/>
    <n v="2"/>
    <n v="749"/>
    <n v="0.2"/>
    <s v="Credit Card"/>
    <x v="0"/>
    <d v="2026-09-08T00:00:00"/>
    <d v="2026-09-05T00:00:00"/>
    <n v="1498"/>
    <n v="299.60000000000002"/>
    <n v="1198.4000000000001"/>
    <n v="4"/>
    <x v="0"/>
    <s v="Sep"/>
    <x v="7"/>
    <n v="0"/>
  </r>
  <r>
    <s v="ORD-10471"/>
    <d v="2026-07-15T00:00:00"/>
    <s v="CUST-1140"/>
    <s v="Customer 1172"/>
    <x v="3"/>
    <s v="Kolkata"/>
    <x v="23"/>
    <x v="0"/>
    <n v="2"/>
    <n v="2999"/>
    <n v="0.2"/>
    <s v="UPI"/>
    <x v="0"/>
    <d v="2026-07-21T00:00:00"/>
    <d v="2026-07-19T00:00:00"/>
    <n v="5998"/>
    <n v="1199.6000000000001"/>
    <n v="4798.3999999999996"/>
    <n v="4"/>
    <x v="0"/>
    <s v="Jul"/>
    <x v="11"/>
    <n v="0"/>
  </r>
  <r>
    <s v="ORD-10472"/>
    <d v="2026-12-02T00:00:00"/>
    <s v="CUST-1267"/>
    <s v="Customer 1173"/>
    <x v="2"/>
    <s v="Lucknow"/>
    <x v="18"/>
    <x v="3"/>
    <n v="2"/>
    <n v="1999"/>
    <n v="0.15"/>
    <s v="Credit Card"/>
    <x v="2"/>
    <d v="2026-12-09T00:00:00"/>
    <d v="2026-12-04T00:00:00"/>
    <n v="3998"/>
    <n v="599.69999999999993"/>
    <n v="3398.3"/>
    <n v="2"/>
    <x v="0"/>
    <s v="Dec"/>
    <x v="6"/>
    <n v="3398.3"/>
  </r>
  <r>
    <s v="ORD-10473"/>
    <d v="2026-12-11T00:00:00"/>
    <s v="CUST-1180"/>
    <s v="Customer 1113"/>
    <x v="1"/>
    <s v="Ahmedabad"/>
    <x v="9"/>
    <x v="1"/>
    <n v="1"/>
    <n v="899"/>
    <n v="0"/>
    <s v="UPI"/>
    <x v="0"/>
    <d v="2026-12-13T00:00:00"/>
    <d v="2026-12-13T00:00:00"/>
    <n v="899"/>
    <n v="0"/>
    <n v="899"/>
    <n v="2"/>
    <x v="0"/>
    <s v="Dec"/>
    <x v="6"/>
    <n v="0"/>
  </r>
  <r>
    <s v="ORD-10474"/>
    <d v="2026-01-13T00:00:00"/>
    <s v="CUST-1062"/>
    <s v="Customer 1045"/>
    <x v="2"/>
    <s v="Lucknow"/>
    <x v="14"/>
    <x v="2"/>
    <n v="2"/>
    <n v="999"/>
    <n v="0"/>
    <s v="COD"/>
    <x v="2"/>
    <d v="2026-01-16T00:00:00"/>
    <d v="2026-01-17T00:00:00"/>
    <n v="1998"/>
    <n v="0"/>
    <n v="1998"/>
    <n v="4"/>
    <x v="2"/>
    <s v="Jan"/>
    <x v="9"/>
    <n v="1998"/>
  </r>
  <r>
    <s v="ORD-10475"/>
    <d v="2026-02-26T00:00:00"/>
    <s v="CUST-1142"/>
    <s v="Customer 1219"/>
    <x v="1"/>
    <s v="Goa"/>
    <x v="1"/>
    <x v="1"/>
    <n v="2"/>
    <n v="599"/>
    <n v="0.1"/>
    <s v="Debit Card"/>
    <x v="0"/>
    <d v="2026-03-05T00:00:00"/>
    <d v="2026-03-09T00:00:00"/>
    <n v="1198"/>
    <n v="119.80000000000001"/>
    <n v="1078.2"/>
    <n v="11"/>
    <x v="2"/>
    <s v="Feb"/>
    <x v="4"/>
    <n v="0"/>
  </r>
  <r>
    <s v="ORD-10476"/>
    <d v="2026-05-22T00:00:00"/>
    <s v="CUST-1092"/>
    <s v="Customer 1226"/>
    <x v="2"/>
    <s v="Lucknow"/>
    <x v="14"/>
    <x v="2"/>
    <n v="3"/>
    <n v="999"/>
    <n v="0.15"/>
    <s v="Net Banking"/>
    <x v="0"/>
    <d v="2026-05-24T00:00:00"/>
    <d v="2026-05-24T00:00:00"/>
    <n v="2997"/>
    <n v="449.55"/>
    <n v="2547.4499999999998"/>
    <n v="2"/>
    <x v="0"/>
    <s v="May"/>
    <x v="3"/>
    <n v="0"/>
  </r>
  <r>
    <s v="ORD-10477"/>
    <d v="2026-07-21T00:00:00"/>
    <s v="CUST-1055"/>
    <s v="Customer 1227"/>
    <x v="0"/>
    <s v="Kochi"/>
    <x v="7"/>
    <x v="2"/>
    <n v="1"/>
    <n v="3499"/>
    <n v="0.15"/>
    <s v="UPI"/>
    <x v="0"/>
    <d v="2026-07-27T00:00:00"/>
    <d v="2026-07-23T00:00:00"/>
    <n v="3499"/>
    <n v="524.85"/>
    <n v="2974.15"/>
    <n v="2"/>
    <x v="0"/>
    <s v="Jul"/>
    <x v="11"/>
    <n v="0"/>
  </r>
  <r>
    <s v="ORD-10478"/>
    <d v="2026-02-06T00:00:00"/>
    <s v="CUST-1020"/>
    <s v="Customer 1200"/>
    <x v="2"/>
    <s v="Delhi"/>
    <x v="8"/>
    <x v="3"/>
    <n v="2"/>
    <n v="799"/>
    <n v="0.1"/>
    <s v="Net Banking"/>
    <x v="0"/>
    <d v="2026-02-11T00:00:00"/>
    <d v="2026-02-07T00:00:00"/>
    <n v="1598"/>
    <n v="159.80000000000001"/>
    <n v="1438.2"/>
    <n v="1"/>
    <x v="0"/>
    <s v="Feb"/>
    <x v="4"/>
    <n v="0"/>
  </r>
  <r>
    <s v="ORD-10479"/>
    <d v="2026-10-22T00:00:00"/>
    <s v="CUST-1277"/>
    <s v="Customer 1116"/>
    <x v="2"/>
    <s v="Jaipur"/>
    <x v="23"/>
    <x v="0"/>
    <n v="1"/>
    <n v="2999"/>
    <n v="0.15"/>
    <s v="Net Banking"/>
    <x v="0"/>
    <d v="2026-10-27T00:00:00"/>
    <d v="2026-10-23T00:00:00"/>
    <n v="2999"/>
    <n v="449.84999999999997"/>
    <n v="2549.15"/>
    <n v="1"/>
    <x v="0"/>
    <s v="Oct"/>
    <x v="5"/>
    <n v="0"/>
  </r>
  <r>
    <s v="ORD-10480"/>
    <d v="2026-10-18T00:00:00"/>
    <s v="CUST-1188"/>
    <s v="Customer 1274"/>
    <x v="0"/>
    <s v="Kochi"/>
    <x v="17"/>
    <x v="4"/>
    <n v="2"/>
    <n v="399"/>
    <n v="0.1"/>
    <s v="Debit Card"/>
    <x v="2"/>
    <d v="2026-10-22T00:00:00"/>
    <d v="2026-10-19T00:00:00"/>
    <n v="798"/>
    <n v="79.800000000000011"/>
    <n v="718.2"/>
    <n v="1"/>
    <x v="0"/>
    <s v="Oct"/>
    <x v="5"/>
    <n v="718.2"/>
  </r>
  <r>
    <s v="ORD-10481"/>
    <d v="2026-11-28T00:00:00"/>
    <s v="CUST-1200"/>
    <s v="Customer 1055"/>
    <x v="2"/>
    <s v="Delhi"/>
    <x v="15"/>
    <x v="4"/>
    <n v="1"/>
    <n v="749"/>
    <n v="0.2"/>
    <s v="UPI"/>
    <x v="0"/>
    <d v="2026-12-05T00:00:00"/>
    <d v="2026-12-04T00:00:00"/>
    <n v="749"/>
    <n v="149.80000000000001"/>
    <n v="599.20000000000005"/>
    <n v="6"/>
    <x v="0"/>
    <s v="Nov"/>
    <x v="1"/>
    <n v="0"/>
  </r>
  <r>
    <s v="ORD-10482"/>
    <d v="2026-04-08T00:00:00"/>
    <s v="CUST-1033"/>
    <s v="Customer 1277"/>
    <x v="2"/>
    <s v="Chandigarh"/>
    <x v="19"/>
    <x v="3"/>
    <n v="1"/>
    <n v="1499"/>
    <n v="0.05"/>
    <s v="UPI"/>
    <x v="2"/>
    <d v="2026-04-14T00:00:00"/>
    <d v="2026-04-12T00:00:00"/>
    <n v="1499"/>
    <n v="74.95"/>
    <n v="1424.05"/>
    <n v="4"/>
    <x v="0"/>
    <s v="Apr"/>
    <x v="0"/>
    <n v="1424.05"/>
  </r>
  <r>
    <s v="ORD-10483"/>
    <d v="2026-01-09T00:00:00"/>
    <s v="CUST-1109"/>
    <s v="Customer 1268"/>
    <x v="2"/>
    <s v="Chandigarh"/>
    <x v="13"/>
    <x v="1"/>
    <n v="1"/>
    <n v="2499"/>
    <n v="0"/>
    <s v="Debit Card"/>
    <x v="3"/>
    <d v="2026-01-16T00:00:00"/>
    <d v="2026-01-10T00:00:00"/>
    <n v="2499"/>
    <n v="0"/>
    <n v="2499"/>
    <n v="1"/>
    <x v="0"/>
    <s v="Jan"/>
    <x v="9"/>
    <n v="0"/>
  </r>
  <r>
    <s v="ORD-10484"/>
    <d v="2026-02-06T00:00:00"/>
    <s v="CUST-1125"/>
    <s v="Customer 1067"/>
    <x v="3"/>
    <s v="Bhubaneswar"/>
    <x v="1"/>
    <x v="1"/>
    <n v="1"/>
    <n v="599"/>
    <n v="0.05"/>
    <s v="Net Banking"/>
    <x v="2"/>
    <d v="2026-02-08T00:00:00"/>
    <d v="2026-02-07T00:00:00"/>
    <n v="599"/>
    <n v="29.950000000000003"/>
    <n v="569.04999999999995"/>
    <n v="1"/>
    <x v="0"/>
    <s v="Feb"/>
    <x v="4"/>
    <n v="569.04999999999995"/>
  </r>
  <r>
    <s v="ORD-10485"/>
    <d v="2026-02-19T00:00:00"/>
    <s v="CUST-1033"/>
    <s v="Customer 1104"/>
    <x v="0"/>
    <s v="Chennai"/>
    <x v="18"/>
    <x v="3"/>
    <n v="2"/>
    <n v="1999"/>
    <n v="0.05"/>
    <s v="COD"/>
    <x v="0"/>
    <d v="2026-02-21T00:00:00"/>
    <d v="2026-02-20T00:00:00"/>
    <n v="3998"/>
    <n v="199.9"/>
    <n v="3798.1"/>
    <n v="1"/>
    <x v="0"/>
    <s v="Feb"/>
    <x v="4"/>
    <n v="0"/>
  </r>
  <r>
    <s v="ORD-10486"/>
    <d v="2026-03-03T00:00:00"/>
    <s v="CUST-1024"/>
    <s v="Customer 1089"/>
    <x v="3"/>
    <s v="Patna"/>
    <x v="15"/>
    <x v="4"/>
    <n v="5"/>
    <n v="749"/>
    <n v="0.2"/>
    <s v="COD"/>
    <x v="0"/>
    <d v="2026-03-07T00:00:00"/>
    <d v="2026-03-05T00:00:00"/>
    <n v="3745"/>
    <n v="749"/>
    <n v="2996"/>
    <n v="2"/>
    <x v="0"/>
    <s v="Mar"/>
    <x v="8"/>
    <n v="0"/>
  </r>
  <r>
    <s v="ORD-10487"/>
    <d v="2026-03-14T00:00:00"/>
    <s v="CUST-1225"/>
    <s v="Customer 1125"/>
    <x v="2"/>
    <s v="Delhi"/>
    <x v="18"/>
    <x v="3"/>
    <n v="3"/>
    <n v="1999"/>
    <n v="0.05"/>
    <s v="Debit Card"/>
    <x v="1"/>
    <d v="2026-03-17T00:00:00"/>
    <m/>
    <n v="5997"/>
    <n v="299.85000000000002"/>
    <n v="5697.15"/>
    <s v=""/>
    <x v="1"/>
    <s v="Mar"/>
    <x v="8"/>
    <n v="0"/>
  </r>
  <r>
    <s v="ORD-10488"/>
    <d v="2026-07-12T00:00:00"/>
    <s v="CUST-1146"/>
    <s v="Customer 1214"/>
    <x v="0"/>
    <s v="Chennai"/>
    <x v="3"/>
    <x v="3"/>
    <n v="3"/>
    <n v="1799"/>
    <n v="0"/>
    <s v="Net Banking"/>
    <x v="0"/>
    <d v="2026-07-14T00:00:00"/>
    <d v="2026-07-13T00:00:00"/>
    <n v="5397"/>
    <n v="0"/>
    <n v="5397"/>
    <n v="1"/>
    <x v="0"/>
    <s v="Jul"/>
    <x v="11"/>
    <n v="0"/>
  </r>
  <r>
    <s v="ORD-10489"/>
    <d v="2026-11-24T00:00:00"/>
    <s v="CUST-1093"/>
    <s v="Customer 1256"/>
    <x v="3"/>
    <s v="Bhubaneswar"/>
    <x v="2"/>
    <x v="2"/>
    <n v="1"/>
    <n v="699"/>
    <n v="0.15"/>
    <s v="Net Banking"/>
    <x v="0"/>
    <d v="2026-11-27T00:00:00"/>
    <d v="2026-11-25T00:00:00"/>
    <n v="699"/>
    <n v="104.85"/>
    <n v="594.15"/>
    <n v="1"/>
    <x v="0"/>
    <s v="Nov"/>
    <x v="1"/>
    <n v="0"/>
  </r>
  <r>
    <s v="ORD-10490"/>
    <d v="2026-01-03T00:00:00"/>
    <s v="CUST-1186"/>
    <s v="Customer 1277"/>
    <x v="0"/>
    <s v="Hyderabad"/>
    <x v="23"/>
    <x v="0"/>
    <n v="2"/>
    <n v="2999"/>
    <n v="0.05"/>
    <s v="UPI"/>
    <x v="1"/>
    <d v="2026-01-05T00:00:00"/>
    <m/>
    <n v="5998"/>
    <n v="299.90000000000003"/>
    <n v="5698.1"/>
    <s v=""/>
    <x v="1"/>
    <s v="Jan"/>
    <x v="9"/>
    <n v="0"/>
  </r>
  <r>
    <s v="ORD-10491"/>
    <d v="2026-01-28T00:00:00"/>
    <s v="CUST-1028"/>
    <s v="Customer 1187"/>
    <x v="1"/>
    <s v="Goa"/>
    <x v="16"/>
    <x v="2"/>
    <n v="1"/>
    <n v="899"/>
    <n v="0.05"/>
    <s v="Net Banking"/>
    <x v="0"/>
    <d v="2026-01-31T00:00:00"/>
    <d v="2026-01-29T00:00:00"/>
    <n v="899"/>
    <n v="44.95"/>
    <n v="854.05"/>
    <n v="1"/>
    <x v="0"/>
    <s v="Jan"/>
    <x v="9"/>
    <n v="0"/>
  </r>
  <r>
    <s v="ORD-10492"/>
    <d v="2026-06-21T00:00:00"/>
    <s v="CUST-1091"/>
    <s v="Customer 1081"/>
    <x v="2"/>
    <s v="Jaipur"/>
    <x v="15"/>
    <x v="4"/>
    <n v="2"/>
    <n v="749"/>
    <n v="0.15"/>
    <s v="UPI"/>
    <x v="0"/>
    <d v="2026-06-28T00:00:00"/>
    <d v="2026-06-26T00:00:00"/>
    <n v="1498"/>
    <n v="224.7"/>
    <n v="1273.3"/>
    <n v="5"/>
    <x v="0"/>
    <s v="Jun"/>
    <x v="2"/>
    <n v="0"/>
  </r>
  <r>
    <s v="ORD-10493"/>
    <d v="2026-02-06T00:00:00"/>
    <s v="CUST-1215"/>
    <s v="Customer 1102"/>
    <x v="0"/>
    <s v="Kochi"/>
    <x v="9"/>
    <x v="1"/>
    <n v="3"/>
    <n v="899"/>
    <n v="0.15"/>
    <s v="COD"/>
    <x v="1"/>
    <d v="2026-02-10T00:00:00"/>
    <m/>
    <n v="2697"/>
    <n v="404.55"/>
    <n v="2292.4499999999998"/>
    <s v=""/>
    <x v="1"/>
    <s v="Feb"/>
    <x v="4"/>
    <n v="0"/>
  </r>
  <r>
    <s v="ORD-10494"/>
    <d v="2026-04-27T00:00:00"/>
    <s v="CUST-1249"/>
    <s v="Customer 1028"/>
    <x v="2"/>
    <s v="Jaipur"/>
    <x v="18"/>
    <x v="3"/>
    <n v="1"/>
    <n v="1999"/>
    <n v="0.15"/>
    <s v="Credit Card"/>
    <x v="0"/>
    <d v="2026-04-30T00:00:00"/>
    <d v="2026-04-30T00:00:00"/>
    <n v="1999"/>
    <n v="299.84999999999997"/>
    <n v="1699.15"/>
    <n v="3"/>
    <x v="0"/>
    <s v="Apr"/>
    <x v="0"/>
    <n v="0"/>
  </r>
  <r>
    <s v="ORD-10495"/>
    <d v="2026-08-21T00:00:00"/>
    <s v="CUST-1139"/>
    <s v="Customer 1104"/>
    <x v="3"/>
    <s v="Bhubaneswar"/>
    <x v="7"/>
    <x v="2"/>
    <n v="1"/>
    <n v="3499"/>
    <n v="0.1"/>
    <s v="Credit Card"/>
    <x v="0"/>
    <d v="2026-08-28T00:00:00"/>
    <d v="2026-08-24T00:00:00"/>
    <n v="3499"/>
    <n v="349.90000000000003"/>
    <n v="3149.1"/>
    <n v="3"/>
    <x v="0"/>
    <s v="Aug"/>
    <x v="10"/>
    <n v="0"/>
  </r>
  <r>
    <s v="ORD-10496"/>
    <d v="2026-01-31T00:00:00"/>
    <s v="CUST-1113"/>
    <s v="Customer 1152"/>
    <x v="2"/>
    <s v="Jaipur"/>
    <x v="3"/>
    <x v="3"/>
    <n v="1"/>
    <n v="1799"/>
    <n v="0"/>
    <s v="Net Banking"/>
    <x v="0"/>
    <d v="2026-02-05T00:00:00"/>
    <d v="2026-02-03T00:00:00"/>
    <n v="1799"/>
    <n v="0"/>
    <n v="1799"/>
    <n v="3"/>
    <x v="0"/>
    <s v="Jan"/>
    <x v="9"/>
    <n v="0"/>
  </r>
  <r>
    <s v="ORD-10497"/>
    <d v="2026-04-28T00:00:00"/>
    <s v="CUST-1143"/>
    <s v="Customer 1008"/>
    <x v="1"/>
    <s v="Pune"/>
    <x v="22"/>
    <x v="1"/>
    <n v="1"/>
    <n v="1199"/>
    <n v="0.2"/>
    <s v="Net Banking"/>
    <x v="3"/>
    <d v="2026-05-01T00:00:00"/>
    <d v="2026-04-30T00:00:00"/>
    <n v="1199"/>
    <n v="239.8"/>
    <n v="959.2"/>
    <n v="2"/>
    <x v="0"/>
    <s v="Apr"/>
    <x v="0"/>
    <n v="0"/>
  </r>
  <r>
    <s v="ORD-10498"/>
    <d v="2026-08-11T00:00:00"/>
    <s v="CUST-1214"/>
    <s v="Customer 1023"/>
    <x v="3"/>
    <s v="Bhubaneswar"/>
    <x v="16"/>
    <x v="2"/>
    <n v="2"/>
    <n v="899"/>
    <n v="0.2"/>
    <s v="Credit Card"/>
    <x v="1"/>
    <d v="2026-08-13T00:00:00"/>
    <m/>
    <n v="1798"/>
    <n v="359.6"/>
    <n v="1438.4"/>
    <s v=""/>
    <x v="1"/>
    <s v="Aug"/>
    <x v="10"/>
    <n v="0"/>
  </r>
  <r>
    <s v="ORD-10499"/>
    <d v="2026-08-06T00:00:00"/>
    <s v="CUST-1007"/>
    <s v="Customer 1209"/>
    <x v="0"/>
    <s v="Kochi"/>
    <x v="9"/>
    <x v="1"/>
    <n v="2"/>
    <n v="899"/>
    <n v="0.15"/>
    <s v="UPI"/>
    <x v="0"/>
    <d v="2026-08-11T00:00:00"/>
    <d v="2026-08-11T00:00:00"/>
    <n v="1798"/>
    <n v="269.7"/>
    <n v="1528.3"/>
    <n v="5"/>
    <x v="0"/>
    <s v="Aug"/>
    <x v="10"/>
    <n v="0"/>
  </r>
  <r>
    <s v="ORD-10500"/>
    <d v="2026-05-03T00:00:00"/>
    <s v="CUST-1236"/>
    <s v="Customer 1293"/>
    <x v="1"/>
    <s v="Pune"/>
    <x v="21"/>
    <x v="0"/>
    <n v="2"/>
    <n v="1999"/>
    <n v="0"/>
    <s v="UPI"/>
    <x v="0"/>
    <d v="2026-05-10T00:00:00"/>
    <d v="2026-05-09T00:00:00"/>
    <n v="3998"/>
    <n v="0"/>
    <n v="3998"/>
    <n v="6"/>
    <x v="0"/>
    <s v="May"/>
    <x v="3"/>
    <n v="0"/>
  </r>
  <r>
    <s v="ORD-10501"/>
    <d v="2026-12-27T00:00:00"/>
    <s v="CUST-1037"/>
    <s v="Customer 1198"/>
    <x v="0"/>
    <s v="Kochi"/>
    <x v="20"/>
    <x v="4"/>
    <n v="1"/>
    <n v="599"/>
    <n v="0.1"/>
    <s v="Net Banking"/>
    <x v="2"/>
    <d v="2027-01-03T00:00:00"/>
    <d v="2027-01-02T00:00:00"/>
    <n v="599"/>
    <n v="59.900000000000006"/>
    <n v="539.1"/>
    <n v="6"/>
    <x v="0"/>
    <s v="Dec"/>
    <x v="6"/>
    <n v="539.1"/>
  </r>
  <r>
    <s v="ORD-10502"/>
    <d v="2026-05-19T00:00:00"/>
    <s v="CUST-1042"/>
    <s v="Customer 1172"/>
    <x v="2"/>
    <s v="Delhi"/>
    <x v="23"/>
    <x v="0"/>
    <n v="2"/>
    <n v="2999"/>
    <n v="0.2"/>
    <s v="COD"/>
    <x v="1"/>
    <d v="2026-05-22T00:00:00"/>
    <m/>
    <n v="5998"/>
    <n v="1199.6000000000001"/>
    <n v="4798.3999999999996"/>
    <s v=""/>
    <x v="1"/>
    <s v="May"/>
    <x v="3"/>
    <n v="0"/>
  </r>
  <r>
    <s v="ORD-10503"/>
    <d v="2026-07-16T00:00:00"/>
    <s v="CUST-1288"/>
    <s v="Customer 1105"/>
    <x v="0"/>
    <s v="Hyderabad"/>
    <x v="8"/>
    <x v="3"/>
    <n v="1"/>
    <n v="799"/>
    <n v="0.2"/>
    <s v="UPI"/>
    <x v="0"/>
    <d v="2026-07-20T00:00:00"/>
    <d v="2026-07-17T00:00:00"/>
    <n v="799"/>
    <n v="159.80000000000001"/>
    <n v="639.20000000000005"/>
    <n v="1"/>
    <x v="0"/>
    <s v="Jul"/>
    <x v="11"/>
    <n v="0"/>
  </r>
  <r>
    <s v="ORD-10504"/>
    <d v="2026-02-28T00:00:00"/>
    <s v="CUST-1181"/>
    <s v="Customer 1137"/>
    <x v="1"/>
    <s v="Ahmedabad"/>
    <x v="7"/>
    <x v="2"/>
    <n v="2"/>
    <n v="3499"/>
    <n v="0.2"/>
    <s v="Credit Card"/>
    <x v="3"/>
    <d v="2026-03-07T00:00:00"/>
    <d v="2026-03-03T00:00:00"/>
    <n v="6998"/>
    <n v="1399.6000000000001"/>
    <n v="5598.4"/>
    <n v="3"/>
    <x v="0"/>
    <s v="Feb"/>
    <x v="4"/>
    <n v="0"/>
  </r>
  <r>
    <s v="ORD-10505"/>
    <d v="2026-07-10T00:00:00"/>
    <s v="CUST-1241"/>
    <s v="Customer 1273"/>
    <x v="3"/>
    <s v="Patna"/>
    <x v="8"/>
    <x v="3"/>
    <n v="1"/>
    <n v="799"/>
    <n v="0.15"/>
    <s v="COD"/>
    <x v="1"/>
    <d v="2026-07-12T00:00:00"/>
    <m/>
    <n v="799"/>
    <n v="119.85"/>
    <n v="679.15"/>
    <s v=""/>
    <x v="1"/>
    <s v="Jul"/>
    <x v="11"/>
    <n v="0"/>
  </r>
  <r>
    <s v="ORD-10506"/>
    <d v="2026-12-11T00:00:00"/>
    <s v="CUST-1148"/>
    <s v="Customer 1040"/>
    <x v="2"/>
    <s v="Chandigarh"/>
    <x v="11"/>
    <x v="1"/>
    <n v="4"/>
    <n v="3299"/>
    <n v="0"/>
    <s v="Credit Card"/>
    <x v="0"/>
    <d v="2026-12-13T00:00:00"/>
    <d v="2026-12-12T00:00:00"/>
    <n v="13196"/>
    <n v="0"/>
    <n v="13196"/>
    <n v="1"/>
    <x v="0"/>
    <s v="Dec"/>
    <x v="6"/>
    <n v="0"/>
  </r>
  <r>
    <s v="ORD-10507"/>
    <d v="2026-12-23T00:00:00"/>
    <s v="CUST-1012"/>
    <s v="Customer 1151"/>
    <x v="0"/>
    <s v="Chennai"/>
    <x v="6"/>
    <x v="0"/>
    <n v="1"/>
    <n v="699"/>
    <n v="0.05"/>
    <s v="Credit Card"/>
    <x v="1"/>
    <d v="2026-12-30T00:00:00"/>
    <m/>
    <n v="699"/>
    <n v="34.950000000000003"/>
    <n v="664.05"/>
    <s v=""/>
    <x v="1"/>
    <s v="Dec"/>
    <x v="6"/>
    <n v="0"/>
  </r>
  <r>
    <s v="ORD-10508"/>
    <d v="2026-08-04T00:00:00"/>
    <s v="CUST-1267"/>
    <s v="Customer 1172"/>
    <x v="3"/>
    <s v="Bhubaneswar"/>
    <x v="15"/>
    <x v="4"/>
    <n v="1"/>
    <n v="749"/>
    <n v="0"/>
    <s v="Debit Card"/>
    <x v="0"/>
    <d v="2026-08-06T00:00:00"/>
    <d v="2026-08-05T00:00:00"/>
    <n v="749"/>
    <n v="0"/>
    <n v="749"/>
    <n v="1"/>
    <x v="0"/>
    <s v="Aug"/>
    <x v="10"/>
    <n v="0"/>
  </r>
  <r>
    <s v="ORD-10509"/>
    <d v="2026-10-31T00:00:00"/>
    <s v="CUST-1157"/>
    <s v="Customer 1088"/>
    <x v="3"/>
    <s v="Patna"/>
    <x v="23"/>
    <x v="0"/>
    <n v="2"/>
    <n v="2999"/>
    <n v="0.2"/>
    <s v="COD"/>
    <x v="0"/>
    <d v="2026-11-05T00:00:00"/>
    <d v="2026-11-02T00:00:00"/>
    <n v="5998"/>
    <n v="1199.6000000000001"/>
    <n v="4798.3999999999996"/>
    <n v="2"/>
    <x v="0"/>
    <s v="Oct"/>
    <x v="5"/>
    <n v="0"/>
  </r>
  <r>
    <s v="ORD-10510"/>
    <d v="2026-05-28T00:00:00"/>
    <s v="CUST-1083"/>
    <s v="Customer 1275"/>
    <x v="2"/>
    <s v="Jaipur"/>
    <x v="15"/>
    <x v="4"/>
    <n v="3"/>
    <n v="749"/>
    <n v="0"/>
    <s v="Credit Card"/>
    <x v="0"/>
    <d v="2026-06-01T00:00:00"/>
    <d v="2026-05-30T00:00:00"/>
    <n v="2247"/>
    <n v="0"/>
    <n v="2247"/>
    <n v="2"/>
    <x v="0"/>
    <s v="May"/>
    <x v="3"/>
    <n v="0"/>
  </r>
  <r>
    <s v="ORD-10511"/>
    <d v="2026-03-24T00:00:00"/>
    <s v="CUST-1226"/>
    <s v="Customer 1134"/>
    <x v="2"/>
    <s v="Jaipur"/>
    <x v="2"/>
    <x v="2"/>
    <n v="1"/>
    <n v="699"/>
    <n v="0"/>
    <s v="Debit Card"/>
    <x v="1"/>
    <d v="2026-03-27T00:00:00"/>
    <m/>
    <n v="699"/>
    <n v="0"/>
    <n v="699"/>
    <s v=""/>
    <x v="1"/>
    <s v="Mar"/>
    <x v="8"/>
    <n v="0"/>
  </r>
  <r>
    <s v="ORD-10512"/>
    <d v="2026-12-29T00:00:00"/>
    <s v="CUST-1274"/>
    <s v="Customer 1155"/>
    <x v="2"/>
    <s v="Jaipur"/>
    <x v="7"/>
    <x v="2"/>
    <n v="1"/>
    <n v="3499"/>
    <n v="0.1"/>
    <s v="Debit Card"/>
    <x v="0"/>
    <d v="2027-01-02T00:00:00"/>
    <d v="2026-12-31T00:00:00"/>
    <n v="3499"/>
    <n v="349.90000000000003"/>
    <n v="3149.1"/>
    <n v="2"/>
    <x v="0"/>
    <s v="Dec"/>
    <x v="6"/>
    <n v="0"/>
  </r>
  <r>
    <s v="ORD-10513"/>
    <d v="2026-03-16T00:00:00"/>
    <s v="CUST-1170"/>
    <s v="Customer 1152"/>
    <x v="0"/>
    <s v="Bengaluru"/>
    <x v="5"/>
    <x v="4"/>
    <n v="4"/>
    <n v="499"/>
    <n v="0.1"/>
    <s v="Credit Card"/>
    <x v="0"/>
    <d v="2026-03-23T00:00:00"/>
    <d v="2026-03-21T00:00:00"/>
    <n v="1996"/>
    <n v="199.60000000000002"/>
    <n v="1796.4"/>
    <n v="5"/>
    <x v="0"/>
    <s v="Mar"/>
    <x v="8"/>
    <n v="0"/>
  </r>
  <r>
    <s v="ORD-10514"/>
    <d v="2026-10-17T00:00:00"/>
    <s v="CUST-1072"/>
    <s v="Customer 1283"/>
    <x v="3"/>
    <s v="Patna"/>
    <x v="1"/>
    <x v="1"/>
    <n v="2"/>
    <n v="599"/>
    <n v="0.15"/>
    <s v="Debit Card"/>
    <x v="2"/>
    <d v="2026-10-19T00:00:00"/>
    <d v="2026-10-18T00:00:00"/>
    <n v="1198"/>
    <n v="179.7"/>
    <n v="1018.3"/>
    <n v="1"/>
    <x v="0"/>
    <s v="Oct"/>
    <x v="5"/>
    <n v="1018.3"/>
  </r>
  <r>
    <s v="ORD-10515"/>
    <d v="2026-11-13T00:00:00"/>
    <s v="CUST-1299"/>
    <s v="Customer 1270"/>
    <x v="0"/>
    <s v="Hyderabad"/>
    <x v="19"/>
    <x v="3"/>
    <n v="3"/>
    <n v="1499"/>
    <n v="0.15"/>
    <s v="Debit Card"/>
    <x v="0"/>
    <d v="2026-11-17T00:00:00"/>
    <d v="2026-11-15T00:00:00"/>
    <n v="4497"/>
    <n v="674.55"/>
    <n v="3822.45"/>
    <n v="2"/>
    <x v="0"/>
    <s v="Nov"/>
    <x v="1"/>
    <n v="0"/>
  </r>
  <r>
    <s v="ORD-10516"/>
    <d v="2026-02-12T00:00:00"/>
    <s v="CUST-1100"/>
    <s v="Customer 1252"/>
    <x v="1"/>
    <s v="Ahmedabad"/>
    <x v="14"/>
    <x v="2"/>
    <n v="2"/>
    <n v="999"/>
    <n v="0.15"/>
    <s v="UPI"/>
    <x v="1"/>
    <d v="2026-02-17T00:00:00"/>
    <m/>
    <n v="1998"/>
    <n v="299.7"/>
    <n v="1698.3"/>
    <s v=""/>
    <x v="1"/>
    <s v="Feb"/>
    <x v="4"/>
    <n v="0"/>
  </r>
  <r>
    <s v="ORD-10517"/>
    <d v="2026-03-17T00:00:00"/>
    <s v="CUST-1180"/>
    <s v="Customer 1158"/>
    <x v="2"/>
    <s v="Delhi"/>
    <x v="23"/>
    <x v="0"/>
    <n v="2"/>
    <n v="2999"/>
    <n v="0.15"/>
    <s v="Debit Card"/>
    <x v="0"/>
    <d v="2026-03-21T00:00:00"/>
    <d v="2026-03-20T00:00:00"/>
    <n v="5998"/>
    <n v="899.69999999999993"/>
    <n v="5098.3"/>
    <n v="3"/>
    <x v="0"/>
    <s v="Mar"/>
    <x v="8"/>
    <n v="0"/>
  </r>
  <r>
    <s v="ORD-10518"/>
    <d v="2026-08-01T00:00:00"/>
    <s v="CUST-1213"/>
    <s v="Customer 1072"/>
    <x v="3"/>
    <s v="Kolkata"/>
    <x v="12"/>
    <x v="2"/>
    <n v="3"/>
    <n v="1599"/>
    <n v="0.1"/>
    <s v="Credit Card"/>
    <x v="3"/>
    <d v="2026-08-08T00:00:00"/>
    <d v="2026-08-12T00:00:00"/>
    <n v="4797"/>
    <n v="479.70000000000005"/>
    <n v="4317.3"/>
    <n v="11"/>
    <x v="2"/>
    <s v="Aug"/>
    <x v="10"/>
    <n v="0"/>
  </r>
  <r>
    <s v="ORD-10519"/>
    <d v="2026-09-01T00:00:00"/>
    <s v="CUST-1004"/>
    <s v="Customer 1210"/>
    <x v="0"/>
    <s v="Chennai"/>
    <x v="16"/>
    <x v="2"/>
    <n v="5"/>
    <n v="899"/>
    <n v="0.2"/>
    <s v="Debit Card"/>
    <x v="0"/>
    <d v="2026-09-07T00:00:00"/>
    <d v="2026-09-02T00:00:00"/>
    <n v="4495"/>
    <n v="899"/>
    <n v="3596"/>
    <n v="1"/>
    <x v="0"/>
    <s v="Sep"/>
    <x v="7"/>
    <n v="0"/>
  </r>
  <r>
    <s v="ORD-10520"/>
    <d v="2026-08-25T00:00:00"/>
    <s v="CUST-1022"/>
    <s v="Customer 1155"/>
    <x v="2"/>
    <s v="Chandigarh"/>
    <x v="7"/>
    <x v="2"/>
    <n v="2"/>
    <n v="3499"/>
    <n v="0.05"/>
    <s v="Credit Card"/>
    <x v="0"/>
    <d v="2026-08-30T00:00:00"/>
    <d v="2026-08-29T00:00:00"/>
    <n v="6998"/>
    <n v="349.90000000000003"/>
    <n v="6648.1"/>
    <n v="4"/>
    <x v="0"/>
    <s v="Aug"/>
    <x v="10"/>
    <n v="0"/>
  </r>
  <r>
    <s v="ORD-10521"/>
    <d v="2026-04-25T00:00:00"/>
    <s v="CUST-1064"/>
    <s v="Customer 1148"/>
    <x v="2"/>
    <s v="Chandigarh"/>
    <x v="13"/>
    <x v="1"/>
    <n v="1"/>
    <n v="2499"/>
    <n v="0"/>
    <s v="Credit Card"/>
    <x v="0"/>
    <d v="2026-04-29T00:00:00"/>
    <d v="2026-05-03T00:00:00"/>
    <n v="2499"/>
    <n v="0"/>
    <n v="2499"/>
    <n v="8"/>
    <x v="2"/>
    <s v="Apr"/>
    <x v="0"/>
    <n v="0"/>
  </r>
  <r>
    <s v="ORD-10522"/>
    <d v="2026-01-15T00:00:00"/>
    <s v="CUST-1247"/>
    <s v="Customer 1290"/>
    <x v="3"/>
    <s v="Bhubaneswar"/>
    <x v="20"/>
    <x v="4"/>
    <n v="1"/>
    <n v="599"/>
    <n v="0.1"/>
    <s v="Net Banking"/>
    <x v="0"/>
    <d v="2026-01-21T00:00:00"/>
    <d v="2026-01-20T00:00:00"/>
    <n v="599"/>
    <n v="59.900000000000006"/>
    <n v="539.1"/>
    <n v="5"/>
    <x v="0"/>
    <s v="Jan"/>
    <x v="9"/>
    <n v="0"/>
  </r>
  <r>
    <s v="ORD-10523"/>
    <d v="2026-07-11T00:00:00"/>
    <s v="CUST-1075"/>
    <s v="Customer 1164"/>
    <x v="3"/>
    <s v="Patna"/>
    <x v="17"/>
    <x v="4"/>
    <n v="2"/>
    <n v="399"/>
    <n v="0.2"/>
    <s v="UPI"/>
    <x v="3"/>
    <d v="2026-07-15T00:00:00"/>
    <d v="2026-07-12T00:00:00"/>
    <n v="798"/>
    <n v="159.60000000000002"/>
    <n v="638.4"/>
    <n v="1"/>
    <x v="0"/>
    <s v="Jul"/>
    <x v="11"/>
    <n v="0"/>
  </r>
  <r>
    <s v="ORD-10524"/>
    <d v="2026-01-28T00:00:00"/>
    <s v="CUST-1264"/>
    <s v="Customer 1100"/>
    <x v="3"/>
    <s v="Bhubaneswar"/>
    <x v="0"/>
    <x v="0"/>
    <n v="1"/>
    <n v="1799"/>
    <n v="0.15"/>
    <s v="Debit Card"/>
    <x v="0"/>
    <d v="2026-02-01T00:00:00"/>
    <d v="2026-01-29T00:00:00"/>
    <n v="1799"/>
    <n v="269.84999999999997"/>
    <n v="1529.15"/>
    <n v="1"/>
    <x v="0"/>
    <s v="Jan"/>
    <x v="9"/>
    <n v="0"/>
  </r>
  <r>
    <s v="ORD-10525"/>
    <d v="2026-10-06T00:00:00"/>
    <s v="CUST-1050"/>
    <s v="Customer 1274"/>
    <x v="1"/>
    <s v="Mumbai"/>
    <x v="1"/>
    <x v="1"/>
    <n v="1"/>
    <n v="599"/>
    <n v="0.1"/>
    <s v="Debit Card"/>
    <x v="0"/>
    <d v="2026-10-13T00:00:00"/>
    <d v="2026-10-09T00:00:00"/>
    <n v="599"/>
    <n v="59.900000000000006"/>
    <n v="539.1"/>
    <n v="3"/>
    <x v="0"/>
    <s v="Oct"/>
    <x v="5"/>
    <n v="0"/>
  </r>
  <r>
    <s v="ORD-10526"/>
    <d v="2026-09-23T00:00:00"/>
    <s v="CUST-1258"/>
    <s v="Customer 1114"/>
    <x v="2"/>
    <s v="Jaipur"/>
    <x v="4"/>
    <x v="3"/>
    <n v="1"/>
    <n v="1299"/>
    <n v="0.15"/>
    <s v="Net Banking"/>
    <x v="0"/>
    <d v="2026-09-26T00:00:00"/>
    <d v="2026-09-24T00:00:00"/>
    <n v="1299"/>
    <n v="194.85"/>
    <n v="1104.1500000000001"/>
    <n v="1"/>
    <x v="0"/>
    <s v="Sep"/>
    <x v="7"/>
    <n v="0"/>
  </r>
  <r>
    <s v="ORD-10527"/>
    <d v="2026-02-09T00:00:00"/>
    <s v="CUST-1072"/>
    <s v="Customer 1227"/>
    <x v="1"/>
    <s v="Mumbai"/>
    <x v="5"/>
    <x v="4"/>
    <n v="1"/>
    <n v="499"/>
    <n v="0.05"/>
    <s v="UPI"/>
    <x v="0"/>
    <d v="2026-02-13T00:00:00"/>
    <d v="2026-02-12T00:00:00"/>
    <n v="499"/>
    <n v="24.950000000000003"/>
    <n v="474.05"/>
    <n v="3"/>
    <x v="0"/>
    <s v="Feb"/>
    <x v="4"/>
    <n v="0"/>
  </r>
  <r>
    <s v="ORD-10528"/>
    <d v="2026-03-02T00:00:00"/>
    <s v="CUST-1218"/>
    <s v="Customer 1058"/>
    <x v="2"/>
    <s v="Jaipur"/>
    <x v="6"/>
    <x v="0"/>
    <n v="1"/>
    <n v="699"/>
    <n v="0.05"/>
    <s v="Credit Card"/>
    <x v="0"/>
    <d v="2026-03-05T00:00:00"/>
    <d v="2026-03-03T00:00:00"/>
    <n v="699"/>
    <n v="34.950000000000003"/>
    <n v="664.05"/>
    <n v="1"/>
    <x v="0"/>
    <s v="Mar"/>
    <x v="8"/>
    <n v="0"/>
  </r>
  <r>
    <s v="ORD-10529"/>
    <d v="2026-01-22T00:00:00"/>
    <s v="CUST-1241"/>
    <s v="Customer 1061"/>
    <x v="0"/>
    <s v="Bengaluru"/>
    <x v="5"/>
    <x v="4"/>
    <n v="1"/>
    <n v="499"/>
    <n v="0"/>
    <s v="COD"/>
    <x v="1"/>
    <d v="2026-01-24T00:00:00"/>
    <m/>
    <n v="499"/>
    <n v="0"/>
    <n v="499"/>
    <s v=""/>
    <x v="1"/>
    <s v="Jan"/>
    <x v="9"/>
    <n v="0"/>
  </r>
  <r>
    <s v="ORD-10530"/>
    <d v="2026-12-08T00:00:00"/>
    <s v="CUST-1103"/>
    <s v="Customer 1095"/>
    <x v="2"/>
    <s v="Delhi"/>
    <x v="18"/>
    <x v="3"/>
    <n v="1"/>
    <n v="1999"/>
    <n v="0"/>
    <s v="UPI"/>
    <x v="1"/>
    <d v="2026-12-11T00:00:00"/>
    <m/>
    <n v="1999"/>
    <n v="0"/>
    <n v="1999"/>
    <s v=""/>
    <x v="1"/>
    <s v="Dec"/>
    <x v="6"/>
    <n v="0"/>
  </r>
  <r>
    <s v="ORD-10531"/>
    <d v="2026-05-23T00:00:00"/>
    <s v="CUST-1124"/>
    <s v="Customer 1259"/>
    <x v="2"/>
    <s v="Delhi"/>
    <x v="4"/>
    <x v="3"/>
    <n v="4"/>
    <n v="1299"/>
    <n v="0.1"/>
    <s v="Debit Card"/>
    <x v="0"/>
    <d v="2026-05-29T00:00:00"/>
    <d v="2026-05-28T00:00:00"/>
    <n v="5196"/>
    <n v="519.6"/>
    <n v="4676.3999999999996"/>
    <n v="5"/>
    <x v="0"/>
    <s v="May"/>
    <x v="3"/>
    <n v="0"/>
  </r>
  <r>
    <s v="ORD-10532"/>
    <d v="2026-09-28T00:00:00"/>
    <s v="CUST-1051"/>
    <s v="Customer 1110"/>
    <x v="0"/>
    <s v="Bengaluru"/>
    <x v="9"/>
    <x v="1"/>
    <n v="1"/>
    <n v="899"/>
    <n v="0.05"/>
    <s v="Debit Card"/>
    <x v="0"/>
    <d v="2026-10-04T00:00:00"/>
    <d v="2026-10-04T00:00:00"/>
    <n v="899"/>
    <n v="44.95"/>
    <n v="854.05"/>
    <n v="6"/>
    <x v="0"/>
    <s v="Sep"/>
    <x v="7"/>
    <n v="0"/>
  </r>
  <r>
    <s v="ORD-10533"/>
    <d v="2026-08-14T00:00:00"/>
    <s v="CUST-1110"/>
    <s v="Customer 1264"/>
    <x v="3"/>
    <s v="Patna"/>
    <x v="1"/>
    <x v="1"/>
    <n v="2"/>
    <n v="599"/>
    <n v="0"/>
    <s v="Credit Card"/>
    <x v="3"/>
    <d v="2026-08-18T00:00:00"/>
    <d v="2026-08-22T00:00:00"/>
    <n v="1198"/>
    <n v="0"/>
    <n v="1198"/>
    <n v="8"/>
    <x v="2"/>
    <s v="Aug"/>
    <x v="10"/>
    <n v="0"/>
  </r>
  <r>
    <s v="ORD-10534"/>
    <d v="2026-03-05T00:00:00"/>
    <s v="CUST-1043"/>
    <s v="Customer 1168"/>
    <x v="1"/>
    <s v="Goa"/>
    <x v="18"/>
    <x v="3"/>
    <n v="2"/>
    <n v="1999"/>
    <n v="0.2"/>
    <s v="Credit Card"/>
    <x v="0"/>
    <d v="2026-03-09T00:00:00"/>
    <d v="2026-03-06T00:00:00"/>
    <n v="3998"/>
    <n v="799.6"/>
    <n v="3198.4"/>
    <n v="1"/>
    <x v="0"/>
    <s v="Mar"/>
    <x v="8"/>
    <n v="0"/>
  </r>
  <r>
    <s v="ORD-10535"/>
    <d v="2026-08-22T00:00:00"/>
    <s v="CUST-1097"/>
    <s v="Customer 1036"/>
    <x v="3"/>
    <s v="Kolkata"/>
    <x v="15"/>
    <x v="4"/>
    <n v="2"/>
    <n v="749"/>
    <n v="0.1"/>
    <s v="Net Banking"/>
    <x v="0"/>
    <d v="2026-08-28T00:00:00"/>
    <d v="2026-08-26T00:00:00"/>
    <n v="1498"/>
    <n v="149.80000000000001"/>
    <n v="1348.2"/>
    <n v="4"/>
    <x v="0"/>
    <s v="Aug"/>
    <x v="10"/>
    <n v="0"/>
  </r>
  <r>
    <s v="ORD-10536"/>
    <d v="2026-12-12T00:00:00"/>
    <s v="CUST-1062"/>
    <s v="Customer 1074"/>
    <x v="3"/>
    <s v="Patna"/>
    <x v="14"/>
    <x v="2"/>
    <n v="2"/>
    <n v="999"/>
    <n v="0"/>
    <s v="Net Banking"/>
    <x v="0"/>
    <d v="2026-12-18T00:00:00"/>
    <d v="2026-12-13T00:00:00"/>
    <n v="1998"/>
    <n v="0"/>
    <n v="1998"/>
    <n v="1"/>
    <x v="0"/>
    <s v="Dec"/>
    <x v="6"/>
    <n v="0"/>
  </r>
  <r>
    <s v="ORD-10537"/>
    <d v="2026-03-28T00:00:00"/>
    <s v="CUST-1063"/>
    <s v="Customer 1120"/>
    <x v="3"/>
    <s v="Guwahati"/>
    <x v="9"/>
    <x v="1"/>
    <n v="1"/>
    <n v="899"/>
    <n v="0.05"/>
    <s v="Debit Card"/>
    <x v="0"/>
    <d v="2026-04-03T00:00:00"/>
    <d v="2026-04-01T00:00:00"/>
    <n v="899"/>
    <n v="44.95"/>
    <n v="854.05"/>
    <n v="4"/>
    <x v="0"/>
    <s v="Mar"/>
    <x v="8"/>
    <n v="0"/>
  </r>
  <r>
    <s v="ORD-10538"/>
    <d v="2026-10-31T00:00:00"/>
    <s v="CUST-1249"/>
    <s v="Customer 1262"/>
    <x v="3"/>
    <s v="Guwahati"/>
    <x v="10"/>
    <x v="0"/>
    <n v="1"/>
    <n v="1899"/>
    <n v="0.15"/>
    <s v="Debit Card"/>
    <x v="0"/>
    <d v="2026-11-07T00:00:00"/>
    <d v="2026-11-04T00:00:00"/>
    <n v="1899"/>
    <n v="284.84999999999997"/>
    <n v="1614.15"/>
    <n v="4"/>
    <x v="0"/>
    <s v="Oct"/>
    <x v="5"/>
    <n v="0"/>
  </r>
  <r>
    <s v="ORD-10539"/>
    <d v="2026-03-04T00:00:00"/>
    <s v="CUST-1028"/>
    <s v="Customer 1035"/>
    <x v="2"/>
    <s v="Jaipur"/>
    <x v="17"/>
    <x v="4"/>
    <n v="1"/>
    <n v="399"/>
    <n v="0.15"/>
    <s v="Credit Card"/>
    <x v="2"/>
    <d v="2026-03-07T00:00:00"/>
    <d v="2026-03-07T00:00:00"/>
    <n v="399"/>
    <n v="59.849999999999994"/>
    <n v="339.15"/>
    <n v="3"/>
    <x v="0"/>
    <s v="Mar"/>
    <x v="8"/>
    <n v="339.15"/>
  </r>
  <r>
    <s v="ORD-10540"/>
    <d v="2026-11-06T00:00:00"/>
    <s v="CUST-1050"/>
    <s v="Customer 1040"/>
    <x v="3"/>
    <s v="Kolkata"/>
    <x v="12"/>
    <x v="2"/>
    <n v="2"/>
    <n v="1599"/>
    <n v="0.05"/>
    <s v="Debit Card"/>
    <x v="1"/>
    <d v="2026-11-12T00:00:00"/>
    <m/>
    <n v="3198"/>
    <n v="159.9"/>
    <n v="3038.1"/>
    <s v=""/>
    <x v="1"/>
    <s v="Nov"/>
    <x v="1"/>
    <n v="0"/>
  </r>
  <r>
    <s v="ORD-10541"/>
    <d v="2026-12-05T00:00:00"/>
    <s v="CUST-1277"/>
    <s v="Customer 1280"/>
    <x v="3"/>
    <s v="Guwahati"/>
    <x v="16"/>
    <x v="2"/>
    <n v="2"/>
    <n v="899"/>
    <n v="0.2"/>
    <s v="Debit Card"/>
    <x v="1"/>
    <d v="2026-12-09T00:00:00"/>
    <m/>
    <n v="1798"/>
    <n v="359.6"/>
    <n v="1438.4"/>
    <s v=""/>
    <x v="1"/>
    <s v="Dec"/>
    <x v="6"/>
    <n v="0"/>
  </r>
  <r>
    <s v="ORD-10542"/>
    <d v="2026-07-16T00:00:00"/>
    <s v="CUST-1085"/>
    <s v="Customer 1252"/>
    <x v="0"/>
    <s v="Bengaluru"/>
    <x v="17"/>
    <x v="4"/>
    <n v="2"/>
    <n v="399"/>
    <n v="0.15"/>
    <s v="Net Banking"/>
    <x v="0"/>
    <d v="2026-07-18T00:00:00"/>
    <d v="2026-07-18T00:00:00"/>
    <n v="798"/>
    <n v="119.69999999999999"/>
    <n v="678.3"/>
    <n v="2"/>
    <x v="0"/>
    <s v="Jul"/>
    <x v="11"/>
    <n v="0"/>
  </r>
  <r>
    <s v="ORD-10543"/>
    <d v="2026-09-07T00:00:00"/>
    <s v="CUST-1241"/>
    <s v="Customer 1244"/>
    <x v="3"/>
    <s v="Bhubaneswar"/>
    <x v="23"/>
    <x v="0"/>
    <n v="3"/>
    <n v="2999"/>
    <n v="0.2"/>
    <s v="Net Banking"/>
    <x v="2"/>
    <d v="2026-09-13T00:00:00"/>
    <d v="2026-09-12T00:00:00"/>
    <n v="8997"/>
    <n v="1799.4"/>
    <n v="7197.6"/>
    <n v="5"/>
    <x v="0"/>
    <s v="Sep"/>
    <x v="7"/>
    <n v="7197.6"/>
  </r>
  <r>
    <s v="ORD-10544"/>
    <d v="2026-09-11T00:00:00"/>
    <s v="CUST-1165"/>
    <s v="Customer 1032"/>
    <x v="1"/>
    <s v="Mumbai"/>
    <x v="15"/>
    <x v="4"/>
    <n v="2"/>
    <n v="749"/>
    <n v="0.15"/>
    <s v="COD"/>
    <x v="2"/>
    <d v="2026-09-15T00:00:00"/>
    <d v="2026-09-14T00:00:00"/>
    <n v="1498"/>
    <n v="224.7"/>
    <n v="1273.3"/>
    <n v="3"/>
    <x v="0"/>
    <s v="Sep"/>
    <x v="7"/>
    <n v="1273.3"/>
  </r>
  <r>
    <s v="ORD-10545"/>
    <d v="2026-06-28T00:00:00"/>
    <s v="CUST-1220"/>
    <s v="Customer 1177"/>
    <x v="0"/>
    <s v="Bengaluru"/>
    <x v="16"/>
    <x v="2"/>
    <n v="3"/>
    <n v="899"/>
    <n v="0.2"/>
    <s v="UPI"/>
    <x v="3"/>
    <d v="2026-07-05T00:00:00"/>
    <d v="2026-06-29T00:00:00"/>
    <n v="2697"/>
    <n v="539.4"/>
    <n v="2157.6"/>
    <n v="1"/>
    <x v="0"/>
    <s v="Jun"/>
    <x v="2"/>
    <n v="0"/>
  </r>
  <r>
    <s v="ORD-10546"/>
    <d v="2026-12-05T00:00:00"/>
    <s v="CUST-1034"/>
    <s v="Customer 1157"/>
    <x v="2"/>
    <s v="Chandigarh"/>
    <x v="6"/>
    <x v="0"/>
    <n v="1"/>
    <n v="699"/>
    <n v="0.05"/>
    <s v="Debit Card"/>
    <x v="1"/>
    <d v="2026-12-07T00:00:00"/>
    <m/>
    <n v="699"/>
    <n v="34.950000000000003"/>
    <n v="664.05"/>
    <s v=""/>
    <x v="1"/>
    <s v="Dec"/>
    <x v="6"/>
    <n v="0"/>
  </r>
  <r>
    <s v="ORD-10547"/>
    <d v="2026-10-03T00:00:00"/>
    <s v="CUST-1216"/>
    <s v="Customer 1137"/>
    <x v="0"/>
    <s v="Hyderabad"/>
    <x v="14"/>
    <x v="2"/>
    <n v="1"/>
    <n v="999"/>
    <n v="0.15"/>
    <s v="Net Banking"/>
    <x v="1"/>
    <d v="2026-10-09T00:00:00"/>
    <m/>
    <n v="999"/>
    <n v="149.85"/>
    <n v="849.15"/>
    <s v=""/>
    <x v="1"/>
    <s v="Oct"/>
    <x v="5"/>
    <n v="0"/>
  </r>
  <r>
    <s v="ORD-10548"/>
    <d v="2026-06-12T00:00:00"/>
    <s v="CUST-1251"/>
    <s v="Customer 1052"/>
    <x v="0"/>
    <s v="Kochi"/>
    <x v="9"/>
    <x v="1"/>
    <n v="1"/>
    <n v="899"/>
    <n v="0.15"/>
    <s v="Debit Card"/>
    <x v="1"/>
    <d v="2026-06-14T00:00:00"/>
    <m/>
    <n v="899"/>
    <n v="134.85"/>
    <n v="764.15"/>
    <s v=""/>
    <x v="1"/>
    <s v="Jun"/>
    <x v="2"/>
    <n v="0"/>
  </r>
  <r>
    <s v="ORD-10549"/>
    <d v="2026-12-08T00:00:00"/>
    <s v="CUST-1275"/>
    <s v="Customer 1110"/>
    <x v="1"/>
    <s v="Ahmedabad"/>
    <x v="24"/>
    <x v="4"/>
    <n v="1"/>
    <n v="1499"/>
    <n v="0.2"/>
    <s v="Debit Card"/>
    <x v="0"/>
    <d v="2026-12-13T00:00:00"/>
    <d v="2026-12-09T00:00:00"/>
    <n v="1499"/>
    <n v="299.8"/>
    <n v="1199.2"/>
    <n v="1"/>
    <x v="0"/>
    <s v="Dec"/>
    <x v="6"/>
    <n v="0"/>
  </r>
  <r>
    <s v="ORD-10550"/>
    <d v="2026-10-21T00:00:00"/>
    <s v="CUST-1173"/>
    <s v="Customer 1140"/>
    <x v="2"/>
    <s v="Lucknow"/>
    <x v="18"/>
    <x v="3"/>
    <n v="1"/>
    <n v="1999"/>
    <n v="0.05"/>
    <s v="COD"/>
    <x v="2"/>
    <d v="2026-10-23T00:00:00"/>
    <d v="2026-10-22T00:00:00"/>
    <n v="1999"/>
    <n v="99.95"/>
    <n v="1899.05"/>
    <n v="1"/>
    <x v="0"/>
    <s v="Oct"/>
    <x v="5"/>
    <n v="1899.05"/>
  </r>
  <r>
    <s v="ORD-10551"/>
    <d v="2026-06-27T00:00:00"/>
    <s v="CUST-1103"/>
    <s v="Customer 1213"/>
    <x v="0"/>
    <s v="Kochi"/>
    <x v="20"/>
    <x v="4"/>
    <n v="3"/>
    <n v="599"/>
    <n v="0.1"/>
    <s v="COD"/>
    <x v="3"/>
    <d v="2026-07-01T00:00:00"/>
    <d v="2026-06-30T00:00:00"/>
    <n v="1797"/>
    <n v="179.70000000000002"/>
    <n v="1617.3"/>
    <n v="3"/>
    <x v="0"/>
    <s v="Jun"/>
    <x v="2"/>
    <n v="0"/>
  </r>
  <r>
    <s v="ORD-10552"/>
    <d v="2026-08-21T00:00:00"/>
    <s v="CUST-1096"/>
    <s v="Customer 1296"/>
    <x v="3"/>
    <s v="Patna"/>
    <x v="22"/>
    <x v="1"/>
    <n v="2"/>
    <n v="1199"/>
    <n v="0.2"/>
    <s v="Credit Card"/>
    <x v="0"/>
    <d v="2026-08-28T00:00:00"/>
    <d v="2026-08-28T00:00:00"/>
    <n v="2398"/>
    <n v="479.6"/>
    <n v="1918.4"/>
    <n v="7"/>
    <x v="0"/>
    <s v="Aug"/>
    <x v="10"/>
    <n v="0"/>
  </r>
  <r>
    <s v="ORD-10553"/>
    <d v="2026-11-23T00:00:00"/>
    <s v="CUST-1031"/>
    <s v="Customer 1268"/>
    <x v="3"/>
    <s v="Bhubaneswar"/>
    <x v="15"/>
    <x v="4"/>
    <n v="2"/>
    <n v="749"/>
    <n v="0.2"/>
    <s v="Net Banking"/>
    <x v="1"/>
    <d v="2026-11-30T00:00:00"/>
    <m/>
    <n v="1498"/>
    <n v="299.60000000000002"/>
    <n v="1198.4000000000001"/>
    <s v=""/>
    <x v="1"/>
    <s v="Nov"/>
    <x v="1"/>
    <n v="0"/>
  </r>
  <r>
    <s v="ORD-10554"/>
    <d v="2026-05-04T00:00:00"/>
    <s v="CUST-1105"/>
    <s v="Customer 1212"/>
    <x v="1"/>
    <s v="Ahmedabad"/>
    <x v="20"/>
    <x v="4"/>
    <n v="1"/>
    <n v="599"/>
    <n v="0.1"/>
    <s v="Net Banking"/>
    <x v="0"/>
    <d v="2026-05-08T00:00:00"/>
    <d v="2026-05-05T00:00:00"/>
    <n v="599"/>
    <n v="59.900000000000006"/>
    <n v="539.1"/>
    <n v="1"/>
    <x v="0"/>
    <s v="May"/>
    <x v="3"/>
    <n v="0"/>
  </r>
  <r>
    <s v="ORD-10555"/>
    <d v="2026-12-18T00:00:00"/>
    <s v="CUST-1159"/>
    <s v="Customer 1238"/>
    <x v="2"/>
    <s v="Lucknow"/>
    <x v="16"/>
    <x v="2"/>
    <n v="2"/>
    <n v="899"/>
    <n v="0.15"/>
    <s v="Credit Card"/>
    <x v="0"/>
    <d v="2026-12-21T00:00:00"/>
    <d v="2026-12-19T00:00:00"/>
    <n v="1798"/>
    <n v="269.7"/>
    <n v="1528.3"/>
    <n v="1"/>
    <x v="0"/>
    <s v="Dec"/>
    <x v="6"/>
    <n v="0"/>
  </r>
  <r>
    <s v="ORD-10556"/>
    <d v="2026-04-14T00:00:00"/>
    <s v="CUST-1022"/>
    <s v="Customer 1249"/>
    <x v="3"/>
    <s v="Guwahati"/>
    <x v="17"/>
    <x v="4"/>
    <n v="1"/>
    <n v="399"/>
    <n v="0.05"/>
    <s v="UPI"/>
    <x v="0"/>
    <d v="2026-04-18T00:00:00"/>
    <d v="2026-04-16T00:00:00"/>
    <n v="399"/>
    <n v="19.950000000000003"/>
    <n v="379.05"/>
    <n v="2"/>
    <x v="0"/>
    <s v="Apr"/>
    <x v="0"/>
    <n v="0"/>
  </r>
  <r>
    <s v="ORD-10557"/>
    <d v="2026-11-05T00:00:00"/>
    <s v="CUST-1204"/>
    <s v="Customer 1072"/>
    <x v="0"/>
    <s v="Bengaluru"/>
    <x v="18"/>
    <x v="3"/>
    <n v="1"/>
    <n v="1999"/>
    <n v="0"/>
    <s v="Net Banking"/>
    <x v="0"/>
    <d v="2026-11-12T00:00:00"/>
    <d v="2026-11-06T00:00:00"/>
    <n v="1999"/>
    <n v="0"/>
    <n v="1999"/>
    <n v="1"/>
    <x v="0"/>
    <s v="Nov"/>
    <x v="1"/>
    <n v="0"/>
  </r>
  <r>
    <s v="ORD-10558"/>
    <d v="2026-03-03T00:00:00"/>
    <s v="CUST-1063"/>
    <s v="Customer 1161"/>
    <x v="1"/>
    <s v="Mumbai"/>
    <x v="22"/>
    <x v="1"/>
    <n v="2"/>
    <n v="1199"/>
    <n v="0.2"/>
    <s v="COD"/>
    <x v="0"/>
    <d v="2026-03-08T00:00:00"/>
    <d v="2026-03-10T00:00:00"/>
    <n v="2398"/>
    <n v="479.6"/>
    <n v="1918.4"/>
    <n v="7"/>
    <x v="2"/>
    <s v="Mar"/>
    <x v="8"/>
    <n v="0"/>
  </r>
  <r>
    <s v="ORD-10559"/>
    <d v="2026-04-22T00:00:00"/>
    <s v="CUST-1029"/>
    <s v="Customer 1252"/>
    <x v="2"/>
    <s v="Chandigarh"/>
    <x v="12"/>
    <x v="2"/>
    <n v="1"/>
    <n v="1599"/>
    <n v="0.05"/>
    <s v="Credit Card"/>
    <x v="0"/>
    <d v="2026-04-27T00:00:00"/>
    <d v="2026-04-27T00:00:00"/>
    <n v="1599"/>
    <n v="79.95"/>
    <n v="1519.05"/>
    <n v="5"/>
    <x v="0"/>
    <s v="Apr"/>
    <x v="0"/>
    <n v="0"/>
  </r>
  <r>
    <s v="ORD-10560"/>
    <d v="2026-08-05T00:00:00"/>
    <s v="CUST-1189"/>
    <s v="Customer 1158"/>
    <x v="2"/>
    <s v="Delhi"/>
    <x v="10"/>
    <x v="0"/>
    <n v="2"/>
    <n v="1899"/>
    <n v="0.05"/>
    <s v="Debit Card"/>
    <x v="3"/>
    <d v="2026-08-08T00:00:00"/>
    <d v="2026-08-08T00:00:00"/>
    <n v="3798"/>
    <n v="189.9"/>
    <n v="3608.1"/>
    <n v="3"/>
    <x v="0"/>
    <s v="Aug"/>
    <x v="10"/>
    <n v="0"/>
  </r>
  <r>
    <s v="ORD-10561"/>
    <d v="2026-05-10T00:00:00"/>
    <s v="CUST-1122"/>
    <s v="Customer 1227"/>
    <x v="0"/>
    <s v="Bengaluru"/>
    <x v="4"/>
    <x v="3"/>
    <n v="2"/>
    <n v="1299"/>
    <n v="0.1"/>
    <s v="Debit Card"/>
    <x v="3"/>
    <d v="2026-05-17T00:00:00"/>
    <d v="2026-05-17T00:00:00"/>
    <n v="2598"/>
    <n v="259.8"/>
    <n v="2338.1999999999998"/>
    <n v="7"/>
    <x v="0"/>
    <s v="May"/>
    <x v="3"/>
    <n v="0"/>
  </r>
  <r>
    <s v="ORD-10562"/>
    <d v="2026-06-04T00:00:00"/>
    <s v="CUST-1209"/>
    <s v="Customer 1018"/>
    <x v="3"/>
    <s v="Kolkata"/>
    <x v="15"/>
    <x v="4"/>
    <n v="1"/>
    <n v="749"/>
    <n v="0.05"/>
    <s v="Debit Card"/>
    <x v="0"/>
    <d v="2026-06-07T00:00:00"/>
    <d v="2026-06-10T00:00:00"/>
    <n v="749"/>
    <n v="37.450000000000003"/>
    <n v="711.55"/>
    <n v="6"/>
    <x v="2"/>
    <s v="Jun"/>
    <x v="2"/>
    <n v="0"/>
  </r>
  <r>
    <s v="ORD-10563"/>
    <d v="2026-07-31T00:00:00"/>
    <s v="CUST-1260"/>
    <s v="Customer 1034"/>
    <x v="2"/>
    <s v="Delhi"/>
    <x v="5"/>
    <x v="4"/>
    <n v="4"/>
    <n v="499"/>
    <n v="0.1"/>
    <s v="Net Banking"/>
    <x v="3"/>
    <d v="2026-08-02T00:00:00"/>
    <d v="2026-08-02T00:00:00"/>
    <n v="1996"/>
    <n v="199.60000000000002"/>
    <n v="1796.4"/>
    <n v="2"/>
    <x v="0"/>
    <s v="Jul"/>
    <x v="11"/>
    <n v="0"/>
  </r>
  <r>
    <s v="ORD-10564"/>
    <d v="2026-06-17T00:00:00"/>
    <s v="CUST-1070"/>
    <s v="Customer 1002"/>
    <x v="2"/>
    <s v="Chandigarh"/>
    <x v="22"/>
    <x v="1"/>
    <n v="2"/>
    <n v="1199"/>
    <n v="0"/>
    <s v="UPI"/>
    <x v="2"/>
    <d v="2026-06-24T00:00:00"/>
    <d v="2026-06-21T00:00:00"/>
    <n v="2398"/>
    <n v="0"/>
    <n v="2398"/>
    <n v="4"/>
    <x v="0"/>
    <s v="Jun"/>
    <x v="2"/>
    <n v="2398"/>
  </r>
  <r>
    <s v="ORD-10565"/>
    <d v="2026-10-22T00:00:00"/>
    <s v="CUST-1067"/>
    <s v="Customer 1211"/>
    <x v="3"/>
    <s v="Bhubaneswar"/>
    <x v="21"/>
    <x v="0"/>
    <n v="1"/>
    <n v="1999"/>
    <n v="0.05"/>
    <s v="Credit Card"/>
    <x v="1"/>
    <d v="2026-10-29T00:00:00"/>
    <m/>
    <n v="1999"/>
    <n v="99.95"/>
    <n v="1899.05"/>
    <s v=""/>
    <x v="1"/>
    <s v="Oct"/>
    <x v="5"/>
    <n v="0"/>
  </r>
  <r>
    <s v="ORD-10566"/>
    <d v="2026-05-14T00:00:00"/>
    <s v="CUST-1189"/>
    <s v="Customer 1094"/>
    <x v="2"/>
    <s v="Chandigarh"/>
    <x v="20"/>
    <x v="4"/>
    <n v="1"/>
    <n v="599"/>
    <n v="0.2"/>
    <s v="Debit Card"/>
    <x v="3"/>
    <d v="2026-05-18T00:00:00"/>
    <d v="2026-05-18T00:00:00"/>
    <n v="599"/>
    <n v="119.80000000000001"/>
    <n v="479.2"/>
    <n v="4"/>
    <x v="0"/>
    <s v="May"/>
    <x v="3"/>
    <n v="0"/>
  </r>
  <r>
    <s v="ORD-10567"/>
    <d v="2026-01-11T00:00:00"/>
    <s v="CUST-1102"/>
    <s v="Customer 1135"/>
    <x v="3"/>
    <s v="Guwahati"/>
    <x v="1"/>
    <x v="1"/>
    <n v="4"/>
    <n v="599"/>
    <n v="0.2"/>
    <s v="COD"/>
    <x v="2"/>
    <d v="2026-01-14T00:00:00"/>
    <d v="2026-01-18T00:00:00"/>
    <n v="2396"/>
    <n v="479.20000000000005"/>
    <n v="1916.8"/>
    <n v="7"/>
    <x v="2"/>
    <s v="Jan"/>
    <x v="9"/>
    <n v="1916.8"/>
  </r>
  <r>
    <s v="ORD-10568"/>
    <d v="2026-08-08T00:00:00"/>
    <s v="CUST-1008"/>
    <s v="Customer 1270"/>
    <x v="1"/>
    <s v="Mumbai"/>
    <x v="24"/>
    <x v="4"/>
    <n v="2"/>
    <n v="1499"/>
    <n v="0.05"/>
    <s v="UPI"/>
    <x v="0"/>
    <d v="2026-08-11T00:00:00"/>
    <d v="2026-08-12T00:00:00"/>
    <n v="2998"/>
    <n v="149.9"/>
    <n v="2848.1"/>
    <n v="4"/>
    <x v="2"/>
    <s v="Aug"/>
    <x v="10"/>
    <n v="0"/>
  </r>
  <r>
    <s v="ORD-10569"/>
    <d v="2026-04-25T00:00:00"/>
    <s v="CUST-1221"/>
    <s v="Customer 1106"/>
    <x v="3"/>
    <s v="Guwahati"/>
    <x v="17"/>
    <x v="4"/>
    <n v="2"/>
    <n v="399"/>
    <n v="0.05"/>
    <s v="Debit Card"/>
    <x v="0"/>
    <d v="2026-05-02T00:00:00"/>
    <d v="2026-04-27T00:00:00"/>
    <n v="798"/>
    <n v="39.900000000000006"/>
    <n v="758.1"/>
    <n v="2"/>
    <x v="0"/>
    <s v="Apr"/>
    <x v="0"/>
    <n v="0"/>
  </r>
  <r>
    <s v="ORD-10570"/>
    <d v="2026-04-03T00:00:00"/>
    <s v="CUST-1128"/>
    <s v="Customer 1190"/>
    <x v="1"/>
    <s v="Ahmedabad"/>
    <x v="12"/>
    <x v="2"/>
    <n v="1"/>
    <n v="1599"/>
    <n v="0.05"/>
    <s v="UPI"/>
    <x v="0"/>
    <d v="2026-04-07T00:00:00"/>
    <d v="2026-04-07T00:00:00"/>
    <n v="1599"/>
    <n v="79.95"/>
    <n v="1519.05"/>
    <n v="4"/>
    <x v="0"/>
    <s v="Apr"/>
    <x v="0"/>
    <n v="0"/>
  </r>
  <r>
    <s v="ORD-10571"/>
    <d v="2026-03-10T00:00:00"/>
    <s v="CUST-1132"/>
    <s v="Customer 1038"/>
    <x v="3"/>
    <s v="Kolkata"/>
    <x v="19"/>
    <x v="3"/>
    <n v="3"/>
    <n v="1499"/>
    <n v="0.15"/>
    <s v="Credit Card"/>
    <x v="2"/>
    <d v="2026-03-15T00:00:00"/>
    <d v="2026-03-15T00:00:00"/>
    <n v="4497"/>
    <n v="674.55"/>
    <n v="3822.45"/>
    <n v="5"/>
    <x v="0"/>
    <s v="Mar"/>
    <x v="8"/>
    <n v="3822.45"/>
  </r>
  <r>
    <s v="ORD-10572"/>
    <d v="2026-05-01T00:00:00"/>
    <s v="CUST-1003"/>
    <s v="Customer 1130"/>
    <x v="0"/>
    <s v="Bengaluru"/>
    <x v="18"/>
    <x v="3"/>
    <n v="2"/>
    <n v="1999"/>
    <n v="0.1"/>
    <s v="COD"/>
    <x v="2"/>
    <d v="2026-05-07T00:00:00"/>
    <d v="2026-05-02T00:00:00"/>
    <n v="3998"/>
    <n v="399.8"/>
    <n v="3598.2"/>
    <n v="1"/>
    <x v="0"/>
    <s v="May"/>
    <x v="3"/>
    <n v="3598.2"/>
  </r>
  <r>
    <s v="ORD-10573"/>
    <d v="2026-03-09T00:00:00"/>
    <s v="CUST-1134"/>
    <s v="Customer 1087"/>
    <x v="3"/>
    <s v="Patna"/>
    <x v="15"/>
    <x v="4"/>
    <n v="4"/>
    <n v="749"/>
    <n v="0.2"/>
    <s v="UPI"/>
    <x v="1"/>
    <d v="2026-03-12T00:00:00"/>
    <m/>
    <n v="2996"/>
    <n v="599.20000000000005"/>
    <n v="2396.8000000000002"/>
    <s v=""/>
    <x v="1"/>
    <s v="Mar"/>
    <x v="8"/>
    <n v="0"/>
  </r>
  <r>
    <s v="ORD-10574"/>
    <d v="2026-02-15T00:00:00"/>
    <s v="CUST-1066"/>
    <s v="Customer 1256"/>
    <x v="3"/>
    <s v="Patna"/>
    <x v="20"/>
    <x v="4"/>
    <n v="1"/>
    <n v="599"/>
    <n v="0.2"/>
    <s v="Net Banking"/>
    <x v="0"/>
    <d v="2026-02-19T00:00:00"/>
    <d v="2026-02-16T00:00:00"/>
    <n v="599"/>
    <n v="119.80000000000001"/>
    <n v="479.2"/>
    <n v="1"/>
    <x v="0"/>
    <s v="Feb"/>
    <x v="4"/>
    <n v="0"/>
  </r>
  <r>
    <s v="ORD-10575"/>
    <d v="2026-05-15T00:00:00"/>
    <s v="CUST-1252"/>
    <s v="Customer 1078"/>
    <x v="2"/>
    <s v="Lucknow"/>
    <x v="15"/>
    <x v="4"/>
    <n v="2"/>
    <n v="749"/>
    <n v="0.1"/>
    <s v="COD"/>
    <x v="0"/>
    <d v="2026-05-20T00:00:00"/>
    <d v="2026-05-23T00:00:00"/>
    <n v="1498"/>
    <n v="149.80000000000001"/>
    <n v="1348.2"/>
    <n v="8"/>
    <x v="2"/>
    <s v="May"/>
    <x v="3"/>
    <n v="0"/>
  </r>
  <r>
    <s v="ORD-10576"/>
    <d v="2026-01-28T00:00:00"/>
    <s v="CUST-1060"/>
    <s v="Customer 1254"/>
    <x v="3"/>
    <s v="Kolkata"/>
    <x v="2"/>
    <x v="2"/>
    <n v="1"/>
    <n v="699"/>
    <n v="0"/>
    <s v="Net Banking"/>
    <x v="0"/>
    <d v="2026-01-31T00:00:00"/>
    <d v="2026-01-30T00:00:00"/>
    <n v="699"/>
    <n v="0"/>
    <n v="699"/>
    <n v="2"/>
    <x v="0"/>
    <s v="Jan"/>
    <x v="9"/>
    <n v="0"/>
  </r>
  <r>
    <s v="ORD-10577"/>
    <d v="2026-09-06T00:00:00"/>
    <s v="CUST-1093"/>
    <s v="Customer 1087"/>
    <x v="0"/>
    <s v="Kochi"/>
    <x v="10"/>
    <x v="0"/>
    <n v="2"/>
    <n v="1899"/>
    <n v="0"/>
    <s v="Credit Card"/>
    <x v="0"/>
    <d v="2026-09-10T00:00:00"/>
    <d v="2026-09-09T00:00:00"/>
    <n v="3798"/>
    <n v="0"/>
    <n v="3798"/>
    <n v="3"/>
    <x v="0"/>
    <s v="Sep"/>
    <x v="7"/>
    <n v="0"/>
  </r>
  <r>
    <s v="ORD-10578"/>
    <d v="2026-09-27T00:00:00"/>
    <s v="CUST-1049"/>
    <s v="Customer 1169"/>
    <x v="2"/>
    <s v="Jaipur"/>
    <x v="9"/>
    <x v="1"/>
    <n v="3"/>
    <n v="899"/>
    <n v="0.05"/>
    <s v="Net Banking"/>
    <x v="0"/>
    <d v="2026-09-30T00:00:00"/>
    <d v="2026-09-30T00:00:00"/>
    <n v="2697"/>
    <n v="134.85"/>
    <n v="2562.15"/>
    <n v="3"/>
    <x v="0"/>
    <s v="Sep"/>
    <x v="7"/>
    <n v="0"/>
  </r>
  <r>
    <s v="ORD-10579"/>
    <d v="2026-07-11T00:00:00"/>
    <s v="CUST-1233"/>
    <s v="Customer 1138"/>
    <x v="0"/>
    <s v="Hyderabad"/>
    <x v="19"/>
    <x v="3"/>
    <n v="2"/>
    <n v="1499"/>
    <n v="0"/>
    <s v="Debit Card"/>
    <x v="0"/>
    <d v="2026-07-13T00:00:00"/>
    <d v="2026-07-13T00:00:00"/>
    <n v="2998"/>
    <n v="0"/>
    <n v="2998"/>
    <n v="2"/>
    <x v="0"/>
    <s v="Jul"/>
    <x v="11"/>
    <n v="0"/>
  </r>
  <r>
    <s v="ORD-10580"/>
    <d v="2026-08-20T00:00:00"/>
    <s v="CUST-1166"/>
    <s v="Customer 1029"/>
    <x v="0"/>
    <s v="Hyderabad"/>
    <x v="3"/>
    <x v="3"/>
    <n v="1"/>
    <n v="1799"/>
    <n v="0.2"/>
    <s v="Credit Card"/>
    <x v="0"/>
    <d v="2026-08-22T00:00:00"/>
    <d v="2026-08-22T00:00:00"/>
    <n v="1799"/>
    <n v="359.8"/>
    <n v="1439.2"/>
    <n v="2"/>
    <x v="0"/>
    <s v="Aug"/>
    <x v="10"/>
    <n v="0"/>
  </r>
  <r>
    <s v="ORD-10581"/>
    <d v="2026-05-11T00:00:00"/>
    <s v="CUST-1146"/>
    <s v="Customer 1079"/>
    <x v="0"/>
    <s v="Kochi"/>
    <x v="19"/>
    <x v="3"/>
    <n v="1"/>
    <n v="1499"/>
    <n v="0.15"/>
    <s v="UPI"/>
    <x v="0"/>
    <d v="2026-05-14T00:00:00"/>
    <d v="2026-05-13T00:00:00"/>
    <n v="1499"/>
    <n v="224.85"/>
    <n v="1274.1500000000001"/>
    <n v="2"/>
    <x v="0"/>
    <s v="May"/>
    <x v="3"/>
    <n v="0"/>
  </r>
  <r>
    <s v="ORD-10582"/>
    <d v="2026-06-08T00:00:00"/>
    <s v="CUST-1263"/>
    <s v="Customer 1103"/>
    <x v="0"/>
    <s v="Hyderabad"/>
    <x v="5"/>
    <x v="4"/>
    <n v="4"/>
    <n v="499"/>
    <n v="0.2"/>
    <s v="Credit Card"/>
    <x v="0"/>
    <d v="2026-06-15T00:00:00"/>
    <d v="2026-06-11T00:00:00"/>
    <n v="1996"/>
    <n v="399.20000000000005"/>
    <n v="1596.8"/>
    <n v="3"/>
    <x v="0"/>
    <s v="Jun"/>
    <x v="2"/>
    <n v="0"/>
  </r>
  <r>
    <s v="ORD-10583"/>
    <d v="2026-05-18T00:00:00"/>
    <s v="CUST-1096"/>
    <s v="Customer 1223"/>
    <x v="3"/>
    <s v="Guwahati"/>
    <x v="5"/>
    <x v="4"/>
    <n v="2"/>
    <n v="499"/>
    <n v="0.15"/>
    <s v="UPI"/>
    <x v="3"/>
    <d v="2026-05-23T00:00:00"/>
    <d v="2026-05-23T00:00:00"/>
    <n v="998"/>
    <n v="149.69999999999999"/>
    <n v="848.3"/>
    <n v="5"/>
    <x v="0"/>
    <s v="May"/>
    <x v="3"/>
    <n v="0"/>
  </r>
  <r>
    <s v="ORD-10584"/>
    <d v="2026-06-24T00:00:00"/>
    <s v="CUST-1043"/>
    <s v="Customer 1149"/>
    <x v="3"/>
    <s v="Kolkata"/>
    <x v="3"/>
    <x v="3"/>
    <n v="5"/>
    <n v="1799"/>
    <n v="0.05"/>
    <s v="Credit Card"/>
    <x v="0"/>
    <d v="2026-06-30T00:00:00"/>
    <d v="2026-06-29T00:00:00"/>
    <n v="8995"/>
    <n v="449.75"/>
    <n v="8545.25"/>
    <n v="5"/>
    <x v="0"/>
    <s v="Jun"/>
    <x v="2"/>
    <n v="0"/>
  </r>
  <r>
    <s v="ORD-10585"/>
    <d v="2026-06-03T00:00:00"/>
    <s v="CUST-1292"/>
    <s v="Customer 1025"/>
    <x v="3"/>
    <s v="Guwahati"/>
    <x v="19"/>
    <x v="3"/>
    <n v="1"/>
    <n v="1499"/>
    <n v="0.05"/>
    <s v="Debit Card"/>
    <x v="3"/>
    <d v="2026-06-06T00:00:00"/>
    <d v="2026-06-05T00:00:00"/>
    <n v="1499"/>
    <n v="74.95"/>
    <n v="1424.05"/>
    <n v="2"/>
    <x v="0"/>
    <s v="Jun"/>
    <x v="2"/>
    <n v="0"/>
  </r>
  <r>
    <s v="ORD-10586"/>
    <d v="2026-09-19T00:00:00"/>
    <s v="CUST-1182"/>
    <s v="Customer 1131"/>
    <x v="0"/>
    <s v="Bengaluru"/>
    <x v="9"/>
    <x v="1"/>
    <n v="1"/>
    <n v="899"/>
    <n v="0"/>
    <s v="Net Banking"/>
    <x v="2"/>
    <d v="2026-09-26T00:00:00"/>
    <d v="2026-09-22T00:00:00"/>
    <n v="899"/>
    <n v="0"/>
    <n v="899"/>
    <n v="3"/>
    <x v="0"/>
    <s v="Sep"/>
    <x v="7"/>
    <n v="899"/>
  </r>
  <r>
    <s v="ORD-10587"/>
    <d v="2026-04-02T00:00:00"/>
    <s v="CUST-1161"/>
    <s v="Customer 1233"/>
    <x v="0"/>
    <s v="Bengaluru"/>
    <x v="19"/>
    <x v="3"/>
    <n v="3"/>
    <n v="1499"/>
    <n v="0.15"/>
    <s v="UPI"/>
    <x v="0"/>
    <d v="2026-04-07T00:00:00"/>
    <d v="2026-04-05T00:00:00"/>
    <n v="4497"/>
    <n v="674.55"/>
    <n v="3822.45"/>
    <n v="3"/>
    <x v="0"/>
    <s v="Apr"/>
    <x v="0"/>
    <n v="0"/>
  </r>
  <r>
    <s v="ORD-10588"/>
    <d v="2026-04-19T00:00:00"/>
    <s v="CUST-1010"/>
    <s v="Customer 1003"/>
    <x v="3"/>
    <s v="Patna"/>
    <x v="0"/>
    <x v="0"/>
    <n v="1"/>
    <n v="1799"/>
    <n v="0.2"/>
    <s v="Debit Card"/>
    <x v="3"/>
    <d v="2026-04-26T00:00:00"/>
    <d v="2026-04-24T00:00:00"/>
    <n v="1799"/>
    <n v="359.8"/>
    <n v="1439.2"/>
    <n v="5"/>
    <x v="0"/>
    <s v="Apr"/>
    <x v="0"/>
    <n v="0"/>
  </r>
  <r>
    <s v="ORD-10589"/>
    <d v="2026-12-02T00:00:00"/>
    <s v="CUST-1185"/>
    <s v="Customer 1203"/>
    <x v="3"/>
    <s v="Kolkata"/>
    <x v="4"/>
    <x v="3"/>
    <n v="2"/>
    <n v="1299"/>
    <n v="0.15"/>
    <s v="COD"/>
    <x v="2"/>
    <d v="2026-12-07T00:00:00"/>
    <d v="2026-12-07T00:00:00"/>
    <n v="2598"/>
    <n v="389.7"/>
    <n v="2208.3000000000002"/>
    <n v="5"/>
    <x v="0"/>
    <s v="Dec"/>
    <x v="6"/>
    <n v="2208.3000000000002"/>
  </r>
  <r>
    <s v="ORD-10590"/>
    <d v="2026-01-08T00:00:00"/>
    <s v="CUST-1124"/>
    <s v="Customer 1224"/>
    <x v="2"/>
    <s v="Delhi"/>
    <x v="2"/>
    <x v="2"/>
    <n v="1"/>
    <n v="699"/>
    <n v="0"/>
    <s v="Credit Card"/>
    <x v="3"/>
    <d v="2026-01-10T00:00:00"/>
    <d v="2026-01-09T00:00:00"/>
    <n v="699"/>
    <n v="0"/>
    <n v="699"/>
    <n v="1"/>
    <x v="0"/>
    <s v="Jan"/>
    <x v="9"/>
    <n v="0"/>
  </r>
  <r>
    <s v="ORD-10591"/>
    <d v="2026-03-17T00:00:00"/>
    <s v="CUST-1249"/>
    <s v="Customer 1242"/>
    <x v="1"/>
    <s v="Mumbai"/>
    <x v="23"/>
    <x v="0"/>
    <n v="2"/>
    <n v="2999"/>
    <n v="0"/>
    <s v="UPI"/>
    <x v="0"/>
    <d v="2026-03-20T00:00:00"/>
    <d v="2026-03-19T00:00:00"/>
    <n v="5998"/>
    <n v="0"/>
    <n v="5998"/>
    <n v="2"/>
    <x v="0"/>
    <s v="Mar"/>
    <x v="8"/>
    <n v="0"/>
  </r>
  <r>
    <s v="ORD-10592"/>
    <d v="2026-04-14T00:00:00"/>
    <s v="CUST-1213"/>
    <s v="Customer 1254"/>
    <x v="0"/>
    <s v="Kochi"/>
    <x v="1"/>
    <x v="1"/>
    <n v="1"/>
    <n v="599"/>
    <n v="0.15"/>
    <s v="UPI"/>
    <x v="0"/>
    <d v="2026-04-16T00:00:00"/>
    <d v="2026-04-16T00:00:00"/>
    <n v="599"/>
    <n v="89.85"/>
    <n v="509.15"/>
    <n v="2"/>
    <x v="0"/>
    <s v="Apr"/>
    <x v="0"/>
    <n v="0"/>
  </r>
  <r>
    <s v="ORD-10593"/>
    <d v="2026-09-06T00:00:00"/>
    <s v="CUST-1217"/>
    <s v="Customer 1296"/>
    <x v="2"/>
    <s v="Delhi"/>
    <x v="5"/>
    <x v="4"/>
    <n v="2"/>
    <n v="499"/>
    <n v="0.2"/>
    <s v="Net Banking"/>
    <x v="0"/>
    <d v="2026-09-13T00:00:00"/>
    <d v="2026-09-07T00:00:00"/>
    <n v="998"/>
    <n v="199.60000000000002"/>
    <n v="798.4"/>
    <n v="1"/>
    <x v="0"/>
    <s v="Sep"/>
    <x v="7"/>
    <n v="0"/>
  </r>
  <r>
    <s v="ORD-10594"/>
    <d v="2026-08-31T00:00:00"/>
    <s v="CUST-1148"/>
    <s v="Customer 1099"/>
    <x v="2"/>
    <s v="Delhi"/>
    <x v="23"/>
    <x v="0"/>
    <n v="1"/>
    <n v="2999"/>
    <n v="0.2"/>
    <s v="Debit Card"/>
    <x v="0"/>
    <d v="2026-09-07T00:00:00"/>
    <d v="2026-09-02T00:00:00"/>
    <n v="2999"/>
    <n v="599.80000000000007"/>
    <n v="2399.1999999999998"/>
    <n v="2"/>
    <x v="0"/>
    <s v="Aug"/>
    <x v="10"/>
    <n v="0"/>
  </r>
  <r>
    <s v="ORD-10595"/>
    <d v="2026-09-17T00:00:00"/>
    <s v="CUST-1151"/>
    <s v="Customer 1200"/>
    <x v="3"/>
    <s v="Patna"/>
    <x v="20"/>
    <x v="4"/>
    <n v="1"/>
    <n v="599"/>
    <n v="0.1"/>
    <s v="COD"/>
    <x v="3"/>
    <d v="2026-09-24T00:00:00"/>
    <d v="2026-09-19T00:00:00"/>
    <n v="599"/>
    <n v="59.900000000000006"/>
    <n v="539.1"/>
    <n v="2"/>
    <x v="0"/>
    <s v="Sep"/>
    <x v="7"/>
    <n v="0"/>
  </r>
  <r>
    <s v="ORD-10596"/>
    <d v="2026-11-15T00:00:00"/>
    <s v="CUST-1252"/>
    <s v="Customer 1052"/>
    <x v="3"/>
    <s v="Patna"/>
    <x v="20"/>
    <x v="4"/>
    <n v="1"/>
    <n v="599"/>
    <n v="0"/>
    <s v="Net Banking"/>
    <x v="0"/>
    <d v="2026-11-18T00:00:00"/>
    <d v="2026-11-18T00:00:00"/>
    <n v="599"/>
    <n v="0"/>
    <n v="599"/>
    <n v="3"/>
    <x v="0"/>
    <s v="Nov"/>
    <x v="1"/>
    <n v="0"/>
  </r>
  <r>
    <s v="ORD-10597"/>
    <d v="2026-04-18T00:00:00"/>
    <s v="CUST-1258"/>
    <s v="Customer 1017"/>
    <x v="3"/>
    <s v="Guwahati"/>
    <x v="0"/>
    <x v="0"/>
    <n v="2"/>
    <n v="1799"/>
    <n v="0"/>
    <s v="Debit Card"/>
    <x v="0"/>
    <d v="2026-04-22T00:00:00"/>
    <d v="2026-04-20T00:00:00"/>
    <n v="3598"/>
    <n v="0"/>
    <n v="3598"/>
    <n v="2"/>
    <x v="0"/>
    <s v="Apr"/>
    <x v="0"/>
    <n v="0"/>
  </r>
  <r>
    <s v="ORD-10598"/>
    <d v="2026-11-13T00:00:00"/>
    <s v="CUST-1024"/>
    <s v="Customer 1286"/>
    <x v="0"/>
    <s v="Hyderabad"/>
    <x v="17"/>
    <x v="4"/>
    <n v="1"/>
    <n v="399"/>
    <n v="0.2"/>
    <s v="Credit Card"/>
    <x v="0"/>
    <d v="2026-11-17T00:00:00"/>
    <d v="2026-11-20T00:00:00"/>
    <n v="399"/>
    <n v="79.800000000000011"/>
    <n v="319.2"/>
    <n v="7"/>
    <x v="2"/>
    <s v="Nov"/>
    <x v="1"/>
    <n v="0"/>
  </r>
  <r>
    <s v="ORD-10599"/>
    <d v="2026-12-09T00:00:00"/>
    <s v="CUST-1055"/>
    <s v="Customer 1053"/>
    <x v="2"/>
    <s v="Jaipur"/>
    <x v="22"/>
    <x v="1"/>
    <n v="1"/>
    <n v="1199"/>
    <n v="0"/>
    <s v="Net Banking"/>
    <x v="3"/>
    <d v="2026-12-14T00:00:00"/>
    <d v="2026-12-15T00:00:00"/>
    <n v="1199"/>
    <n v="0"/>
    <n v="1199"/>
    <n v="6"/>
    <x v="2"/>
    <s v="Dec"/>
    <x v="6"/>
    <n v="0"/>
  </r>
  <r>
    <s v="ORD-10600"/>
    <d v="2026-04-16T00:00:00"/>
    <s v="CUST-1051"/>
    <s v="Customer 1079"/>
    <x v="0"/>
    <s v="Bengaluru"/>
    <x v="14"/>
    <x v="2"/>
    <n v="4"/>
    <n v="999"/>
    <n v="0.05"/>
    <s v="Debit Card"/>
    <x v="2"/>
    <d v="2026-04-21T00:00:00"/>
    <d v="2026-04-20T00:00:00"/>
    <n v="3996"/>
    <n v="199.8"/>
    <n v="3796.2"/>
    <n v="4"/>
    <x v="0"/>
    <s v="Apr"/>
    <x v="0"/>
    <n v="3796.2"/>
  </r>
  <r>
    <s v="ORD-10601"/>
    <d v="2026-04-14T00:00:00"/>
    <s v="CUST-1088"/>
    <s v="Customer 1044"/>
    <x v="2"/>
    <s v="Lucknow"/>
    <x v="14"/>
    <x v="2"/>
    <n v="1"/>
    <n v="999"/>
    <n v="0.15"/>
    <s v="UPI"/>
    <x v="0"/>
    <d v="2026-04-19T00:00:00"/>
    <d v="2026-04-19T00:00:00"/>
    <n v="999"/>
    <n v="149.85"/>
    <n v="849.15"/>
    <n v="5"/>
    <x v="0"/>
    <s v="Apr"/>
    <x v="0"/>
    <n v="0"/>
  </r>
  <r>
    <s v="ORD-10602"/>
    <d v="2026-11-19T00:00:00"/>
    <s v="CUST-1212"/>
    <s v="Customer 1210"/>
    <x v="2"/>
    <s v="Lucknow"/>
    <x v="15"/>
    <x v="4"/>
    <n v="2"/>
    <n v="749"/>
    <n v="0.05"/>
    <s v="COD"/>
    <x v="0"/>
    <d v="2026-11-22T00:00:00"/>
    <d v="2026-11-21T00:00:00"/>
    <n v="1498"/>
    <n v="74.900000000000006"/>
    <n v="1423.1"/>
    <n v="2"/>
    <x v="0"/>
    <s v="Nov"/>
    <x v="1"/>
    <n v="0"/>
  </r>
  <r>
    <s v="ORD-10603"/>
    <d v="2026-03-16T00:00:00"/>
    <s v="CUST-1223"/>
    <s v="Customer 1032"/>
    <x v="3"/>
    <s v="Patna"/>
    <x v="19"/>
    <x v="3"/>
    <n v="3"/>
    <n v="1499"/>
    <n v="0.2"/>
    <s v="UPI"/>
    <x v="0"/>
    <d v="2026-03-20T00:00:00"/>
    <d v="2026-03-18T00:00:00"/>
    <n v="4497"/>
    <n v="899.40000000000009"/>
    <n v="3597.6"/>
    <n v="2"/>
    <x v="0"/>
    <s v="Mar"/>
    <x v="8"/>
    <n v="0"/>
  </r>
  <r>
    <s v="ORD-10604"/>
    <d v="2026-01-30T00:00:00"/>
    <s v="CUST-1161"/>
    <s v="Customer 1177"/>
    <x v="3"/>
    <s v="Kolkata"/>
    <x v="7"/>
    <x v="2"/>
    <n v="5"/>
    <n v="3499"/>
    <n v="0.2"/>
    <s v="Debit Card"/>
    <x v="0"/>
    <d v="2026-02-04T00:00:00"/>
    <d v="2026-02-07T00:00:00"/>
    <n v="17495"/>
    <n v="3499"/>
    <n v="13996"/>
    <n v="8"/>
    <x v="2"/>
    <s v="Jan"/>
    <x v="9"/>
    <n v="0"/>
  </r>
  <r>
    <s v="ORD-10605"/>
    <d v="2026-03-17T00:00:00"/>
    <s v="CUST-1227"/>
    <s v="Customer 1177"/>
    <x v="0"/>
    <s v="Hyderabad"/>
    <x v="22"/>
    <x v="1"/>
    <n v="2"/>
    <n v="1199"/>
    <n v="0.15"/>
    <s v="Credit Card"/>
    <x v="1"/>
    <d v="2026-03-23T00:00:00"/>
    <m/>
    <n v="2398"/>
    <n v="359.7"/>
    <n v="2038.3"/>
    <s v=""/>
    <x v="1"/>
    <s v="Mar"/>
    <x v="8"/>
    <n v="0"/>
  </r>
  <r>
    <s v="ORD-10606"/>
    <d v="2026-01-19T00:00:00"/>
    <s v="CUST-1146"/>
    <s v="Customer 1110"/>
    <x v="3"/>
    <s v="Bhubaneswar"/>
    <x v="6"/>
    <x v="0"/>
    <n v="2"/>
    <n v="699"/>
    <n v="0.15"/>
    <s v="Credit Card"/>
    <x v="1"/>
    <d v="2026-01-25T00:00:00"/>
    <m/>
    <n v="1398"/>
    <n v="209.7"/>
    <n v="1188.3"/>
    <s v=""/>
    <x v="1"/>
    <s v="Jan"/>
    <x v="9"/>
    <n v="0"/>
  </r>
  <r>
    <s v="ORD-10607"/>
    <d v="2026-11-22T00:00:00"/>
    <s v="CUST-1124"/>
    <s v="Customer 1156"/>
    <x v="0"/>
    <s v="Hyderabad"/>
    <x v="11"/>
    <x v="1"/>
    <n v="1"/>
    <n v="3299"/>
    <n v="0"/>
    <s v="COD"/>
    <x v="1"/>
    <d v="2026-11-26T00:00:00"/>
    <m/>
    <n v="3299"/>
    <n v="0"/>
    <n v="3299"/>
    <s v=""/>
    <x v="1"/>
    <s v="Nov"/>
    <x v="1"/>
    <n v="0"/>
  </r>
  <r>
    <s v="ORD-10608"/>
    <d v="2026-05-13T00:00:00"/>
    <s v="CUST-1153"/>
    <s v="Customer 1294"/>
    <x v="3"/>
    <s v="Kolkata"/>
    <x v="18"/>
    <x v="3"/>
    <n v="2"/>
    <n v="1999"/>
    <n v="0.1"/>
    <s v="UPI"/>
    <x v="0"/>
    <d v="2026-05-20T00:00:00"/>
    <d v="2026-05-24T00:00:00"/>
    <n v="3998"/>
    <n v="399.8"/>
    <n v="3598.2"/>
    <n v="11"/>
    <x v="2"/>
    <s v="May"/>
    <x v="3"/>
    <n v="0"/>
  </r>
  <r>
    <s v="ORD-10609"/>
    <d v="2026-10-25T00:00:00"/>
    <s v="CUST-1194"/>
    <s v="Customer 1267"/>
    <x v="0"/>
    <s v="Kochi"/>
    <x v="0"/>
    <x v="0"/>
    <n v="2"/>
    <n v="1799"/>
    <n v="0.2"/>
    <s v="COD"/>
    <x v="0"/>
    <d v="2026-10-29T00:00:00"/>
    <d v="2026-10-27T00:00:00"/>
    <n v="3598"/>
    <n v="719.6"/>
    <n v="2878.4"/>
    <n v="2"/>
    <x v="0"/>
    <s v="Oct"/>
    <x v="5"/>
    <n v="0"/>
  </r>
  <r>
    <s v="ORD-10610"/>
    <d v="2026-10-26T00:00:00"/>
    <s v="CUST-1042"/>
    <s v="Customer 1048"/>
    <x v="1"/>
    <s v="Mumbai"/>
    <x v="10"/>
    <x v="0"/>
    <n v="1"/>
    <n v="1899"/>
    <n v="0.1"/>
    <s v="Net Banking"/>
    <x v="0"/>
    <d v="2026-10-29T00:00:00"/>
    <d v="2026-10-28T00:00:00"/>
    <n v="1899"/>
    <n v="189.9"/>
    <n v="1709.1"/>
    <n v="2"/>
    <x v="0"/>
    <s v="Oct"/>
    <x v="5"/>
    <n v="0"/>
  </r>
  <r>
    <s v="ORD-10611"/>
    <d v="2026-04-20T00:00:00"/>
    <s v="CUST-1136"/>
    <s v="Customer 1300"/>
    <x v="0"/>
    <s v="Kochi"/>
    <x v="12"/>
    <x v="2"/>
    <n v="1"/>
    <n v="1599"/>
    <n v="0.1"/>
    <s v="COD"/>
    <x v="0"/>
    <d v="2026-04-26T00:00:00"/>
    <d v="2026-04-24T00:00:00"/>
    <n v="1599"/>
    <n v="159.9"/>
    <n v="1439.1"/>
    <n v="4"/>
    <x v="0"/>
    <s v="Apr"/>
    <x v="0"/>
    <n v="0"/>
  </r>
  <r>
    <s v="ORD-10612"/>
    <d v="2026-08-02T00:00:00"/>
    <s v="CUST-1263"/>
    <s v="Customer 1271"/>
    <x v="3"/>
    <s v="Guwahati"/>
    <x v="5"/>
    <x v="4"/>
    <n v="3"/>
    <n v="499"/>
    <n v="0.05"/>
    <s v="COD"/>
    <x v="0"/>
    <d v="2026-08-07T00:00:00"/>
    <d v="2026-08-04T00:00:00"/>
    <n v="1497"/>
    <n v="74.850000000000009"/>
    <n v="1422.15"/>
    <n v="2"/>
    <x v="0"/>
    <s v="Aug"/>
    <x v="10"/>
    <n v="0"/>
  </r>
  <r>
    <s v="ORD-10613"/>
    <d v="2026-01-17T00:00:00"/>
    <s v="CUST-1062"/>
    <s v="Customer 1190"/>
    <x v="0"/>
    <s v="Chennai"/>
    <x v="5"/>
    <x v="4"/>
    <n v="2"/>
    <n v="499"/>
    <n v="0.2"/>
    <s v="Debit Card"/>
    <x v="0"/>
    <d v="2026-01-23T00:00:00"/>
    <d v="2026-01-18T00:00:00"/>
    <n v="998"/>
    <n v="199.60000000000002"/>
    <n v="798.4"/>
    <n v="1"/>
    <x v="0"/>
    <s v="Jan"/>
    <x v="9"/>
    <n v="0"/>
  </r>
  <r>
    <s v="ORD-10614"/>
    <d v="2026-03-02T00:00:00"/>
    <s v="CUST-1073"/>
    <s v="Customer 1216"/>
    <x v="2"/>
    <s v="Delhi"/>
    <x v="1"/>
    <x v="1"/>
    <n v="1"/>
    <n v="599"/>
    <n v="0.1"/>
    <s v="Debit Card"/>
    <x v="0"/>
    <d v="2026-03-07T00:00:00"/>
    <d v="2026-03-04T00:00:00"/>
    <n v="599"/>
    <n v="59.900000000000006"/>
    <n v="539.1"/>
    <n v="2"/>
    <x v="0"/>
    <s v="Mar"/>
    <x v="8"/>
    <n v="0"/>
  </r>
  <r>
    <s v="ORD-10615"/>
    <d v="2026-04-04T00:00:00"/>
    <s v="CUST-1214"/>
    <s v="Customer 1247"/>
    <x v="0"/>
    <s v="Hyderabad"/>
    <x v="0"/>
    <x v="0"/>
    <n v="3"/>
    <n v="1799"/>
    <n v="0.15"/>
    <s v="UPI"/>
    <x v="0"/>
    <d v="2026-04-10T00:00:00"/>
    <d v="2026-04-05T00:00:00"/>
    <n v="5397"/>
    <n v="809.55"/>
    <n v="4587.45"/>
    <n v="1"/>
    <x v="0"/>
    <s v="Apr"/>
    <x v="0"/>
    <n v="0"/>
  </r>
  <r>
    <s v="ORD-10616"/>
    <d v="2026-09-01T00:00:00"/>
    <s v="CUST-1231"/>
    <s v="Customer 1230"/>
    <x v="2"/>
    <s v="Chandigarh"/>
    <x v="23"/>
    <x v="0"/>
    <n v="3"/>
    <n v="2999"/>
    <n v="0.2"/>
    <s v="Credit Card"/>
    <x v="3"/>
    <d v="2026-09-04T00:00:00"/>
    <d v="2026-09-03T00:00:00"/>
    <n v="8997"/>
    <n v="1799.4"/>
    <n v="7197.6"/>
    <n v="2"/>
    <x v="0"/>
    <s v="Sep"/>
    <x v="7"/>
    <n v="0"/>
  </r>
  <r>
    <s v="ORD-10617"/>
    <d v="2026-12-07T00:00:00"/>
    <s v="CUST-1143"/>
    <s v="Customer 1046"/>
    <x v="1"/>
    <s v="Ahmedabad"/>
    <x v="3"/>
    <x v="3"/>
    <n v="2"/>
    <n v="1799"/>
    <n v="0.15"/>
    <s v="Credit Card"/>
    <x v="0"/>
    <d v="2026-12-11T00:00:00"/>
    <d v="2026-12-11T00:00:00"/>
    <n v="3598"/>
    <n v="539.69999999999993"/>
    <n v="3058.3"/>
    <n v="4"/>
    <x v="0"/>
    <s v="Dec"/>
    <x v="6"/>
    <n v="0"/>
  </r>
  <r>
    <s v="ORD-10618"/>
    <d v="2026-10-15T00:00:00"/>
    <s v="CUST-1292"/>
    <s v="Customer 1268"/>
    <x v="1"/>
    <s v="Mumbai"/>
    <x v="11"/>
    <x v="1"/>
    <n v="2"/>
    <n v="3299"/>
    <n v="0.2"/>
    <s v="UPI"/>
    <x v="0"/>
    <d v="2026-10-21T00:00:00"/>
    <d v="2026-10-16T00:00:00"/>
    <n v="6598"/>
    <n v="1319.6000000000001"/>
    <n v="5278.4"/>
    <n v="1"/>
    <x v="0"/>
    <s v="Oct"/>
    <x v="5"/>
    <n v="0"/>
  </r>
  <r>
    <s v="ORD-10619"/>
    <d v="2026-03-03T00:00:00"/>
    <s v="CUST-1297"/>
    <s v="Customer 1228"/>
    <x v="1"/>
    <s v="Goa"/>
    <x v="9"/>
    <x v="1"/>
    <n v="2"/>
    <n v="899"/>
    <n v="0.2"/>
    <s v="Credit Card"/>
    <x v="0"/>
    <d v="2026-03-07T00:00:00"/>
    <d v="2026-03-05T00:00:00"/>
    <n v="1798"/>
    <n v="359.6"/>
    <n v="1438.4"/>
    <n v="2"/>
    <x v="0"/>
    <s v="Mar"/>
    <x v="8"/>
    <n v="0"/>
  </r>
  <r>
    <s v="ORD-10620"/>
    <d v="2026-01-24T00:00:00"/>
    <s v="CUST-1163"/>
    <s v="Customer 1196"/>
    <x v="0"/>
    <s v="Hyderabad"/>
    <x v="24"/>
    <x v="4"/>
    <n v="2"/>
    <n v="1499"/>
    <n v="0"/>
    <s v="Debit Card"/>
    <x v="0"/>
    <d v="2026-01-27T00:00:00"/>
    <d v="2026-01-27T00:00:00"/>
    <n v="2998"/>
    <n v="0"/>
    <n v="2998"/>
    <n v="3"/>
    <x v="0"/>
    <s v="Jan"/>
    <x v="9"/>
    <n v="0"/>
  </r>
  <r>
    <s v="ORD-10621"/>
    <d v="2026-10-05T00:00:00"/>
    <s v="CUST-1087"/>
    <s v="Customer 1031"/>
    <x v="2"/>
    <s v="Delhi"/>
    <x v="8"/>
    <x v="3"/>
    <n v="1"/>
    <n v="799"/>
    <n v="0.05"/>
    <s v="Credit Card"/>
    <x v="0"/>
    <d v="2026-10-07T00:00:00"/>
    <d v="2026-10-07T00:00:00"/>
    <n v="799"/>
    <n v="39.950000000000003"/>
    <n v="759.05"/>
    <n v="2"/>
    <x v="0"/>
    <s v="Oct"/>
    <x v="5"/>
    <n v="0"/>
  </r>
  <r>
    <s v="ORD-10622"/>
    <d v="2026-06-02T00:00:00"/>
    <s v="CUST-1027"/>
    <s v="Customer 1104"/>
    <x v="2"/>
    <s v="Jaipur"/>
    <x v="8"/>
    <x v="3"/>
    <n v="1"/>
    <n v="799"/>
    <n v="0.1"/>
    <s v="Credit Card"/>
    <x v="0"/>
    <d v="2026-06-06T00:00:00"/>
    <d v="2026-06-03T00:00:00"/>
    <n v="799"/>
    <n v="79.900000000000006"/>
    <n v="719.1"/>
    <n v="1"/>
    <x v="0"/>
    <s v="Jun"/>
    <x v="2"/>
    <n v="0"/>
  </r>
  <r>
    <s v="ORD-10623"/>
    <d v="2026-09-16T00:00:00"/>
    <s v="CUST-1034"/>
    <s v="Customer 1248"/>
    <x v="1"/>
    <s v="Pune"/>
    <x v="24"/>
    <x v="4"/>
    <n v="1"/>
    <n v="1499"/>
    <n v="0"/>
    <s v="Debit Card"/>
    <x v="0"/>
    <d v="2026-09-20T00:00:00"/>
    <d v="2026-09-20T00:00:00"/>
    <n v="1499"/>
    <n v="0"/>
    <n v="1499"/>
    <n v="4"/>
    <x v="0"/>
    <s v="Sep"/>
    <x v="7"/>
    <n v="0"/>
  </r>
  <r>
    <s v="ORD-10624"/>
    <d v="2026-05-18T00:00:00"/>
    <s v="CUST-1156"/>
    <s v="Customer 1291"/>
    <x v="0"/>
    <s v="Kochi"/>
    <x v="14"/>
    <x v="2"/>
    <n v="2"/>
    <n v="999"/>
    <n v="0.2"/>
    <s v="UPI"/>
    <x v="0"/>
    <d v="2026-05-24T00:00:00"/>
    <d v="2026-05-20T00:00:00"/>
    <n v="1998"/>
    <n v="399.6"/>
    <n v="1598.4"/>
    <n v="2"/>
    <x v="0"/>
    <s v="May"/>
    <x v="3"/>
    <n v="0"/>
  </r>
  <r>
    <s v="ORD-10625"/>
    <d v="2026-04-15T00:00:00"/>
    <s v="CUST-1126"/>
    <s v="Customer 1276"/>
    <x v="3"/>
    <s v="Guwahati"/>
    <x v="3"/>
    <x v="3"/>
    <n v="3"/>
    <n v="1799"/>
    <n v="0.05"/>
    <s v="Debit Card"/>
    <x v="1"/>
    <d v="2026-04-18T00:00:00"/>
    <m/>
    <n v="5397"/>
    <n v="269.85000000000002"/>
    <n v="5127.1499999999996"/>
    <s v=""/>
    <x v="1"/>
    <s v="Apr"/>
    <x v="0"/>
    <n v="0"/>
  </r>
  <r>
    <s v="ORD-10626"/>
    <d v="2026-08-26T00:00:00"/>
    <s v="CUST-1140"/>
    <s v="Customer 1129"/>
    <x v="3"/>
    <s v="Guwahati"/>
    <x v="8"/>
    <x v="3"/>
    <n v="4"/>
    <n v="799"/>
    <n v="0.2"/>
    <s v="Debit Card"/>
    <x v="2"/>
    <d v="2026-08-29T00:00:00"/>
    <d v="2026-08-28T00:00:00"/>
    <n v="3196"/>
    <n v="639.20000000000005"/>
    <n v="2556.8000000000002"/>
    <n v="2"/>
    <x v="0"/>
    <s v="Aug"/>
    <x v="10"/>
    <n v="2556.8000000000002"/>
  </r>
  <r>
    <s v="ORD-10627"/>
    <d v="2026-09-19T00:00:00"/>
    <s v="CUST-1154"/>
    <s v="Customer 1046"/>
    <x v="3"/>
    <s v="Patna"/>
    <x v="7"/>
    <x v="2"/>
    <n v="1"/>
    <n v="3499"/>
    <n v="0.05"/>
    <s v="COD"/>
    <x v="1"/>
    <d v="2026-09-21T00:00:00"/>
    <m/>
    <n v="3499"/>
    <n v="174.95000000000002"/>
    <n v="3324.05"/>
    <s v=""/>
    <x v="1"/>
    <s v="Sep"/>
    <x v="7"/>
    <n v="0"/>
  </r>
  <r>
    <s v="ORD-10628"/>
    <d v="2026-05-24T00:00:00"/>
    <s v="CUST-1176"/>
    <s v="Customer 1134"/>
    <x v="3"/>
    <s v="Kolkata"/>
    <x v="7"/>
    <x v="2"/>
    <n v="3"/>
    <n v="3499"/>
    <n v="0.05"/>
    <s v="COD"/>
    <x v="1"/>
    <d v="2026-05-28T00:00:00"/>
    <m/>
    <n v="10497"/>
    <n v="524.85"/>
    <n v="9972.15"/>
    <s v=""/>
    <x v="1"/>
    <s v="May"/>
    <x v="3"/>
    <n v="0"/>
  </r>
  <r>
    <s v="ORD-10629"/>
    <d v="2026-06-24T00:00:00"/>
    <s v="CUST-1244"/>
    <s v="Customer 1003"/>
    <x v="3"/>
    <s v="Patna"/>
    <x v="16"/>
    <x v="2"/>
    <n v="1"/>
    <n v="899"/>
    <n v="0.2"/>
    <s v="Debit Card"/>
    <x v="0"/>
    <d v="2026-07-01T00:00:00"/>
    <d v="2026-06-25T00:00:00"/>
    <n v="899"/>
    <n v="179.8"/>
    <n v="719.2"/>
    <n v="1"/>
    <x v="0"/>
    <s v="Jun"/>
    <x v="2"/>
    <n v="0"/>
  </r>
  <r>
    <s v="ORD-10630"/>
    <d v="2026-12-23T00:00:00"/>
    <s v="CUST-1016"/>
    <s v="Customer 1228"/>
    <x v="0"/>
    <s v="Chennai"/>
    <x v="24"/>
    <x v="4"/>
    <n v="2"/>
    <n v="1499"/>
    <n v="0.15"/>
    <s v="COD"/>
    <x v="0"/>
    <d v="2026-12-30T00:00:00"/>
    <d v="2026-12-28T00:00:00"/>
    <n v="2998"/>
    <n v="449.7"/>
    <n v="2548.3000000000002"/>
    <n v="5"/>
    <x v="0"/>
    <s v="Dec"/>
    <x v="6"/>
    <n v="0"/>
  </r>
  <r>
    <s v="ORD-10631"/>
    <d v="2026-07-03T00:00:00"/>
    <s v="CUST-1005"/>
    <s v="Customer 1114"/>
    <x v="0"/>
    <s v="Hyderabad"/>
    <x v="24"/>
    <x v="4"/>
    <n v="1"/>
    <n v="1499"/>
    <n v="0"/>
    <s v="UPI"/>
    <x v="0"/>
    <d v="2026-07-07T00:00:00"/>
    <d v="2026-07-11T00:00:00"/>
    <n v="1499"/>
    <n v="0"/>
    <n v="1499"/>
    <n v="8"/>
    <x v="2"/>
    <s v="Jul"/>
    <x v="11"/>
    <n v="0"/>
  </r>
  <r>
    <s v="ORD-10632"/>
    <d v="2026-02-16T00:00:00"/>
    <s v="CUST-1144"/>
    <s v="Customer 1253"/>
    <x v="0"/>
    <s v="Hyderabad"/>
    <x v="0"/>
    <x v="0"/>
    <n v="3"/>
    <n v="1799"/>
    <n v="0.1"/>
    <s v="Credit Card"/>
    <x v="0"/>
    <d v="2026-02-21T00:00:00"/>
    <d v="2026-02-22T00:00:00"/>
    <n v="5397"/>
    <n v="539.70000000000005"/>
    <n v="4857.3"/>
    <n v="6"/>
    <x v="2"/>
    <s v="Feb"/>
    <x v="4"/>
    <n v="0"/>
  </r>
  <r>
    <s v="ORD-10633"/>
    <d v="2026-02-26T00:00:00"/>
    <s v="CUST-1290"/>
    <s v="Customer 1290"/>
    <x v="1"/>
    <s v="Mumbai"/>
    <x v="12"/>
    <x v="2"/>
    <n v="3"/>
    <n v="1599"/>
    <n v="0.2"/>
    <s v="COD"/>
    <x v="0"/>
    <d v="2026-03-01T00:00:00"/>
    <d v="2026-03-01T00:00:00"/>
    <n v="4797"/>
    <n v="959.40000000000009"/>
    <n v="3837.6"/>
    <n v="3"/>
    <x v="0"/>
    <s v="Feb"/>
    <x v="4"/>
    <n v="0"/>
  </r>
  <r>
    <s v="ORD-10634"/>
    <d v="2026-02-03T00:00:00"/>
    <s v="CUST-1141"/>
    <s v="Customer 1099"/>
    <x v="1"/>
    <s v="Mumbai"/>
    <x v="1"/>
    <x v="1"/>
    <n v="1"/>
    <n v="599"/>
    <n v="0.2"/>
    <s v="Credit Card"/>
    <x v="1"/>
    <d v="2026-02-10T00:00:00"/>
    <m/>
    <n v="599"/>
    <n v="119.80000000000001"/>
    <n v="479.2"/>
    <s v=""/>
    <x v="1"/>
    <s v="Feb"/>
    <x v="4"/>
    <n v="0"/>
  </r>
  <r>
    <s v="ORD-10635"/>
    <d v="2026-01-02T00:00:00"/>
    <s v="CUST-1239"/>
    <s v="Customer 1254"/>
    <x v="0"/>
    <s v="Hyderabad"/>
    <x v="13"/>
    <x v="1"/>
    <n v="4"/>
    <n v="2499"/>
    <n v="0"/>
    <s v="Debit Card"/>
    <x v="0"/>
    <d v="2026-01-07T00:00:00"/>
    <d v="2026-01-07T00:00:00"/>
    <n v="9996"/>
    <n v="0"/>
    <n v="9996"/>
    <n v="5"/>
    <x v="0"/>
    <s v="Jan"/>
    <x v="9"/>
    <n v="0"/>
  </r>
  <r>
    <s v="ORD-10636"/>
    <d v="2026-05-23T00:00:00"/>
    <s v="CUST-1042"/>
    <s v="Customer 1293"/>
    <x v="2"/>
    <s v="Delhi"/>
    <x v="14"/>
    <x v="2"/>
    <n v="4"/>
    <n v="999"/>
    <n v="0.2"/>
    <s v="Net Banking"/>
    <x v="0"/>
    <d v="2026-05-25T00:00:00"/>
    <d v="2026-05-25T00:00:00"/>
    <n v="3996"/>
    <n v="799.2"/>
    <n v="3196.8"/>
    <n v="2"/>
    <x v="0"/>
    <s v="May"/>
    <x v="3"/>
    <n v="0"/>
  </r>
  <r>
    <s v="ORD-10637"/>
    <d v="2026-05-08T00:00:00"/>
    <s v="CUST-1246"/>
    <s v="Customer 1222"/>
    <x v="0"/>
    <s v="Chennai"/>
    <x v="17"/>
    <x v="4"/>
    <n v="1"/>
    <n v="399"/>
    <n v="0.1"/>
    <s v="Debit Card"/>
    <x v="0"/>
    <d v="2026-05-15T00:00:00"/>
    <d v="2026-05-09T00:00:00"/>
    <n v="399"/>
    <n v="39.900000000000006"/>
    <n v="359.1"/>
    <n v="1"/>
    <x v="0"/>
    <s v="May"/>
    <x v="3"/>
    <n v="0"/>
  </r>
  <r>
    <s v="ORD-10638"/>
    <d v="2026-02-25T00:00:00"/>
    <s v="CUST-1038"/>
    <s v="Customer 1225"/>
    <x v="0"/>
    <s v="Hyderabad"/>
    <x v="0"/>
    <x v="0"/>
    <n v="2"/>
    <n v="1799"/>
    <n v="0.1"/>
    <s v="UPI"/>
    <x v="3"/>
    <d v="2026-03-01T00:00:00"/>
    <d v="2026-02-27T00:00:00"/>
    <n v="3598"/>
    <n v="359.8"/>
    <n v="3238.2"/>
    <n v="2"/>
    <x v="0"/>
    <s v="Feb"/>
    <x v="4"/>
    <n v="0"/>
  </r>
  <r>
    <s v="ORD-10639"/>
    <d v="2026-02-13T00:00:00"/>
    <s v="CUST-1032"/>
    <s v="Customer 1227"/>
    <x v="0"/>
    <s v="Kochi"/>
    <x v="9"/>
    <x v="1"/>
    <n v="5"/>
    <n v="899"/>
    <n v="0"/>
    <s v="Net Banking"/>
    <x v="0"/>
    <d v="2026-02-20T00:00:00"/>
    <d v="2026-02-15T00:00:00"/>
    <n v="4495"/>
    <n v="0"/>
    <n v="4495"/>
    <n v="2"/>
    <x v="0"/>
    <s v="Feb"/>
    <x v="4"/>
    <n v="0"/>
  </r>
  <r>
    <s v="ORD-10640"/>
    <d v="2026-02-03T00:00:00"/>
    <s v="CUST-1050"/>
    <s v="Customer 1211"/>
    <x v="0"/>
    <s v="Hyderabad"/>
    <x v="13"/>
    <x v="1"/>
    <n v="1"/>
    <n v="2499"/>
    <n v="0"/>
    <s v="COD"/>
    <x v="0"/>
    <d v="2026-02-07T00:00:00"/>
    <d v="2026-02-07T00:00:00"/>
    <n v="2499"/>
    <n v="0"/>
    <n v="2499"/>
    <n v="4"/>
    <x v="0"/>
    <s v="Feb"/>
    <x v="4"/>
    <n v="0"/>
  </r>
  <r>
    <s v="ORD-10641"/>
    <d v="2026-08-26T00:00:00"/>
    <s v="CUST-1233"/>
    <s v="Customer 1265"/>
    <x v="1"/>
    <s v="Mumbai"/>
    <x v="5"/>
    <x v="4"/>
    <n v="3"/>
    <n v="499"/>
    <n v="0.2"/>
    <s v="COD"/>
    <x v="0"/>
    <d v="2026-08-30T00:00:00"/>
    <d v="2026-08-27T00:00:00"/>
    <n v="1497"/>
    <n v="299.40000000000003"/>
    <n v="1197.5999999999999"/>
    <n v="1"/>
    <x v="0"/>
    <s v="Aug"/>
    <x v="10"/>
    <n v="0"/>
  </r>
  <r>
    <s v="ORD-10642"/>
    <d v="2026-01-07T00:00:00"/>
    <s v="CUST-1261"/>
    <s v="Customer 1132"/>
    <x v="2"/>
    <s v="Jaipur"/>
    <x v="8"/>
    <x v="3"/>
    <n v="2"/>
    <n v="799"/>
    <n v="0"/>
    <s v="COD"/>
    <x v="3"/>
    <d v="2026-01-10T00:00:00"/>
    <d v="2026-01-12T00:00:00"/>
    <n v="1598"/>
    <n v="0"/>
    <n v="1598"/>
    <n v="5"/>
    <x v="2"/>
    <s v="Jan"/>
    <x v="9"/>
    <n v="0"/>
  </r>
  <r>
    <s v="ORD-10643"/>
    <d v="2026-08-16T00:00:00"/>
    <s v="CUST-1263"/>
    <s v="Customer 1184"/>
    <x v="2"/>
    <s v="Chandigarh"/>
    <x v="24"/>
    <x v="4"/>
    <n v="1"/>
    <n v="1499"/>
    <n v="0.05"/>
    <s v="UPI"/>
    <x v="0"/>
    <d v="2026-08-19T00:00:00"/>
    <d v="2026-08-18T00:00:00"/>
    <n v="1499"/>
    <n v="74.95"/>
    <n v="1424.05"/>
    <n v="2"/>
    <x v="0"/>
    <s v="Aug"/>
    <x v="10"/>
    <n v="0"/>
  </r>
  <r>
    <s v="ORD-10644"/>
    <d v="2026-06-08T00:00:00"/>
    <s v="CUST-1075"/>
    <s v="Customer 1030"/>
    <x v="2"/>
    <s v="Jaipur"/>
    <x v="12"/>
    <x v="2"/>
    <n v="2"/>
    <n v="1599"/>
    <n v="0.1"/>
    <s v="Debit Card"/>
    <x v="0"/>
    <d v="2026-06-14T00:00:00"/>
    <d v="2026-06-14T00:00:00"/>
    <n v="3198"/>
    <n v="319.8"/>
    <n v="2878.2"/>
    <n v="6"/>
    <x v="0"/>
    <s v="Jun"/>
    <x v="2"/>
    <n v="0"/>
  </r>
  <r>
    <s v="ORD-10645"/>
    <d v="2026-04-11T00:00:00"/>
    <s v="CUST-1240"/>
    <s v="Customer 1170"/>
    <x v="1"/>
    <s v="Mumbai"/>
    <x v="15"/>
    <x v="4"/>
    <n v="5"/>
    <n v="749"/>
    <n v="0.05"/>
    <s v="UPI"/>
    <x v="0"/>
    <d v="2026-04-14T00:00:00"/>
    <d v="2026-04-14T00:00:00"/>
    <n v="3745"/>
    <n v="187.25"/>
    <n v="3557.75"/>
    <n v="3"/>
    <x v="0"/>
    <s v="Apr"/>
    <x v="0"/>
    <n v="0"/>
  </r>
  <r>
    <s v="ORD-10646"/>
    <d v="2026-03-25T00:00:00"/>
    <s v="CUST-1239"/>
    <s v="Customer 1110"/>
    <x v="2"/>
    <s v="Lucknow"/>
    <x v="15"/>
    <x v="4"/>
    <n v="1"/>
    <n v="749"/>
    <n v="0"/>
    <s v="Net Banking"/>
    <x v="0"/>
    <d v="2026-03-27T00:00:00"/>
    <d v="2026-03-26T00:00:00"/>
    <n v="749"/>
    <n v="0"/>
    <n v="749"/>
    <n v="1"/>
    <x v="0"/>
    <s v="Mar"/>
    <x v="8"/>
    <n v="0"/>
  </r>
  <r>
    <s v="ORD-10647"/>
    <d v="2026-04-16T00:00:00"/>
    <s v="CUST-1073"/>
    <s v="Customer 1149"/>
    <x v="1"/>
    <s v="Goa"/>
    <x v="23"/>
    <x v="0"/>
    <n v="1"/>
    <n v="2999"/>
    <n v="0"/>
    <s v="Debit Card"/>
    <x v="0"/>
    <d v="2026-04-18T00:00:00"/>
    <d v="2026-04-17T00:00:00"/>
    <n v="2999"/>
    <n v="0"/>
    <n v="2999"/>
    <n v="1"/>
    <x v="0"/>
    <s v="Apr"/>
    <x v="0"/>
    <n v="0"/>
  </r>
  <r>
    <s v="ORD-10648"/>
    <d v="2026-01-23T00:00:00"/>
    <s v="CUST-1090"/>
    <s v="Customer 1174"/>
    <x v="3"/>
    <s v="Bhubaneswar"/>
    <x v="11"/>
    <x v="1"/>
    <n v="5"/>
    <n v="3299"/>
    <n v="0.05"/>
    <s v="Credit Card"/>
    <x v="0"/>
    <d v="2026-01-26T00:00:00"/>
    <d v="2026-01-25T00:00:00"/>
    <n v="16495"/>
    <n v="824.75"/>
    <n v="15670.25"/>
    <n v="2"/>
    <x v="0"/>
    <s v="Jan"/>
    <x v="9"/>
    <n v="0"/>
  </r>
  <r>
    <s v="ORD-10649"/>
    <d v="2026-04-01T00:00:00"/>
    <s v="CUST-1057"/>
    <s v="Customer 1174"/>
    <x v="1"/>
    <s v="Pune"/>
    <x v="14"/>
    <x v="2"/>
    <n v="3"/>
    <n v="999"/>
    <n v="0"/>
    <s v="UPI"/>
    <x v="3"/>
    <d v="2026-04-08T00:00:00"/>
    <d v="2026-04-07T00:00:00"/>
    <n v="2997"/>
    <n v="0"/>
    <n v="2997"/>
    <n v="6"/>
    <x v="0"/>
    <s v="Apr"/>
    <x v="0"/>
    <n v="0"/>
  </r>
  <r>
    <s v="ORD-10650"/>
    <d v="2026-07-09T00:00:00"/>
    <s v="CUST-1061"/>
    <s v="Customer 1074"/>
    <x v="1"/>
    <s v="Ahmedabad"/>
    <x v="20"/>
    <x v="4"/>
    <n v="3"/>
    <n v="599"/>
    <n v="0.05"/>
    <s v="COD"/>
    <x v="3"/>
    <d v="2026-07-15T00:00:00"/>
    <d v="2026-07-16T00:00:00"/>
    <n v="1797"/>
    <n v="89.850000000000009"/>
    <n v="1707.15"/>
    <n v="7"/>
    <x v="2"/>
    <s v="Jul"/>
    <x v="11"/>
    <n v="0"/>
  </r>
  <r>
    <s v="ORD-10651"/>
    <d v="2026-07-13T00:00:00"/>
    <s v="CUST-1097"/>
    <s v="Customer 1275"/>
    <x v="1"/>
    <s v="Pune"/>
    <x v="7"/>
    <x v="2"/>
    <n v="2"/>
    <n v="3499"/>
    <n v="0.1"/>
    <s v="COD"/>
    <x v="0"/>
    <d v="2026-07-20T00:00:00"/>
    <d v="2026-07-14T00:00:00"/>
    <n v="6998"/>
    <n v="699.80000000000007"/>
    <n v="6298.2"/>
    <n v="1"/>
    <x v="0"/>
    <s v="Jul"/>
    <x v="11"/>
    <n v="0"/>
  </r>
  <r>
    <s v="ORD-10652"/>
    <d v="2026-01-28T00:00:00"/>
    <s v="CUST-1108"/>
    <s v="Customer 1042"/>
    <x v="2"/>
    <s v="Jaipur"/>
    <x v="0"/>
    <x v="0"/>
    <n v="2"/>
    <n v="1799"/>
    <n v="0.1"/>
    <s v="Credit Card"/>
    <x v="3"/>
    <d v="2026-02-03T00:00:00"/>
    <d v="2026-02-07T00:00:00"/>
    <n v="3598"/>
    <n v="359.8"/>
    <n v="3238.2"/>
    <n v="10"/>
    <x v="2"/>
    <s v="Jan"/>
    <x v="9"/>
    <n v="0"/>
  </r>
  <r>
    <s v="ORD-10653"/>
    <d v="2026-07-18T00:00:00"/>
    <s v="CUST-1192"/>
    <s v="Customer 1270"/>
    <x v="3"/>
    <s v="Kolkata"/>
    <x v="7"/>
    <x v="2"/>
    <n v="3"/>
    <n v="3499"/>
    <n v="0.2"/>
    <s v="Debit Card"/>
    <x v="0"/>
    <d v="2026-07-24T00:00:00"/>
    <d v="2026-07-21T00:00:00"/>
    <n v="10497"/>
    <n v="2099.4"/>
    <n v="8397.6"/>
    <n v="3"/>
    <x v="0"/>
    <s v="Jul"/>
    <x v="11"/>
    <n v="0"/>
  </r>
  <r>
    <s v="ORD-10654"/>
    <d v="2026-10-25T00:00:00"/>
    <s v="CUST-1121"/>
    <s v="Customer 1203"/>
    <x v="3"/>
    <s v="Guwahati"/>
    <x v="15"/>
    <x v="4"/>
    <n v="1"/>
    <n v="749"/>
    <n v="0.2"/>
    <s v="UPI"/>
    <x v="0"/>
    <d v="2026-10-28T00:00:00"/>
    <d v="2026-11-01T00:00:00"/>
    <n v="749"/>
    <n v="149.80000000000001"/>
    <n v="599.20000000000005"/>
    <n v="7"/>
    <x v="2"/>
    <s v="Oct"/>
    <x v="5"/>
    <n v="0"/>
  </r>
  <r>
    <s v="ORD-10655"/>
    <d v="2026-10-20T00:00:00"/>
    <s v="CUST-1069"/>
    <s v="Customer 1044"/>
    <x v="1"/>
    <s v="Ahmedabad"/>
    <x v="5"/>
    <x v="4"/>
    <n v="1"/>
    <n v="499"/>
    <n v="0.1"/>
    <s v="Debit Card"/>
    <x v="1"/>
    <d v="2026-10-22T00:00:00"/>
    <m/>
    <n v="499"/>
    <n v="49.900000000000006"/>
    <n v="449.1"/>
    <s v=""/>
    <x v="1"/>
    <s v="Oct"/>
    <x v="5"/>
    <n v="0"/>
  </r>
  <r>
    <s v="ORD-10656"/>
    <d v="2026-04-28T00:00:00"/>
    <s v="CUST-1219"/>
    <s v="Customer 1231"/>
    <x v="2"/>
    <s v="Chandigarh"/>
    <x v="11"/>
    <x v="1"/>
    <n v="2"/>
    <n v="3299"/>
    <n v="0.15"/>
    <s v="COD"/>
    <x v="1"/>
    <d v="2026-05-02T00:00:00"/>
    <m/>
    <n v="6598"/>
    <n v="989.69999999999993"/>
    <n v="5608.3"/>
    <s v=""/>
    <x v="1"/>
    <s v="Apr"/>
    <x v="0"/>
    <n v="0"/>
  </r>
  <r>
    <s v="ORD-10657"/>
    <d v="2026-09-12T00:00:00"/>
    <s v="CUST-1184"/>
    <s v="Customer 1043"/>
    <x v="3"/>
    <s v="Guwahati"/>
    <x v="15"/>
    <x v="4"/>
    <n v="1"/>
    <n v="749"/>
    <n v="0.15"/>
    <s v="UPI"/>
    <x v="0"/>
    <d v="2026-09-17T00:00:00"/>
    <d v="2026-09-13T00:00:00"/>
    <n v="749"/>
    <n v="112.35"/>
    <n v="636.65"/>
    <n v="1"/>
    <x v="0"/>
    <s v="Sep"/>
    <x v="7"/>
    <n v="0"/>
  </r>
  <r>
    <s v="ORD-10658"/>
    <d v="2026-02-20T00:00:00"/>
    <s v="CUST-1171"/>
    <s v="Customer 1101"/>
    <x v="2"/>
    <s v="Delhi"/>
    <x v="0"/>
    <x v="0"/>
    <n v="1"/>
    <n v="1799"/>
    <n v="0.1"/>
    <s v="UPI"/>
    <x v="1"/>
    <d v="2026-02-23T00:00:00"/>
    <m/>
    <n v="1799"/>
    <n v="179.9"/>
    <n v="1619.1"/>
    <s v=""/>
    <x v="1"/>
    <s v="Feb"/>
    <x v="4"/>
    <n v="0"/>
  </r>
  <r>
    <s v="ORD-10659"/>
    <d v="2026-04-08T00:00:00"/>
    <s v="CUST-1178"/>
    <s v="Customer 1207"/>
    <x v="2"/>
    <s v="Lucknow"/>
    <x v="21"/>
    <x v="0"/>
    <n v="2"/>
    <n v="1999"/>
    <n v="0.05"/>
    <s v="COD"/>
    <x v="0"/>
    <d v="2026-04-10T00:00:00"/>
    <d v="2026-04-10T00:00:00"/>
    <n v="3998"/>
    <n v="199.9"/>
    <n v="3798.1"/>
    <n v="2"/>
    <x v="0"/>
    <s v="Apr"/>
    <x v="0"/>
    <n v="0"/>
  </r>
  <r>
    <s v="ORD-10660"/>
    <d v="2026-03-18T00:00:00"/>
    <s v="CUST-1265"/>
    <s v="Customer 1283"/>
    <x v="3"/>
    <s v="Kolkata"/>
    <x v="24"/>
    <x v="4"/>
    <n v="3"/>
    <n v="1499"/>
    <n v="0.05"/>
    <s v="Credit Card"/>
    <x v="2"/>
    <d v="2026-03-25T00:00:00"/>
    <d v="2026-03-20T00:00:00"/>
    <n v="4497"/>
    <n v="224.85000000000002"/>
    <n v="4272.1499999999996"/>
    <n v="2"/>
    <x v="0"/>
    <s v="Mar"/>
    <x v="8"/>
    <n v="4272.1499999999996"/>
  </r>
  <r>
    <s v="ORD-10661"/>
    <d v="2026-06-10T00:00:00"/>
    <s v="CUST-1016"/>
    <s v="Customer 1192"/>
    <x v="3"/>
    <s v="Guwahati"/>
    <x v="6"/>
    <x v="0"/>
    <n v="3"/>
    <n v="699"/>
    <n v="0.15"/>
    <s v="Net Banking"/>
    <x v="0"/>
    <d v="2026-06-15T00:00:00"/>
    <d v="2026-06-15T00:00:00"/>
    <n v="2097"/>
    <n v="314.55"/>
    <n v="1782.45"/>
    <n v="5"/>
    <x v="0"/>
    <s v="Jun"/>
    <x v="2"/>
    <n v="0"/>
  </r>
  <r>
    <s v="ORD-10662"/>
    <d v="2026-09-13T00:00:00"/>
    <s v="CUST-1276"/>
    <s v="Customer 1154"/>
    <x v="1"/>
    <s v="Pune"/>
    <x v="6"/>
    <x v="0"/>
    <n v="3"/>
    <n v="699"/>
    <n v="0.1"/>
    <s v="Debit Card"/>
    <x v="0"/>
    <d v="2026-09-18T00:00:00"/>
    <d v="2026-09-17T00:00:00"/>
    <n v="2097"/>
    <n v="209.70000000000002"/>
    <n v="1887.3"/>
    <n v="4"/>
    <x v="0"/>
    <s v="Sep"/>
    <x v="7"/>
    <n v="0"/>
  </r>
  <r>
    <s v="ORD-10663"/>
    <d v="2026-03-13T00:00:00"/>
    <s v="CUST-1196"/>
    <s v="Customer 1105"/>
    <x v="2"/>
    <s v="Delhi"/>
    <x v="9"/>
    <x v="1"/>
    <n v="1"/>
    <n v="899"/>
    <n v="0.1"/>
    <s v="COD"/>
    <x v="2"/>
    <d v="2026-03-19T00:00:00"/>
    <d v="2026-03-23T00:00:00"/>
    <n v="899"/>
    <n v="89.9"/>
    <n v="809.1"/>
    <n v="10"/>
    <x v="2"/>
    <s v="Mar"/>
    <x v="8"/>
    <n v="809.1"/>
  </r>
  <r>
    <s v="ORD-10664"/>
    <d v="2026-04-07T00:00:00"/>
    <s v="CUST-1088"/>
    <s v="Customer 1054"/>
    <x v="3"/>
    <s v="Kolkata"/>
    <x v="13"/>
    <x v="1"/>
    <n v="2"/>
    <n v="2499"/>
    <n v="0.1"/>
    <s v="COD"/>
    <x v="0"/>
    <d v="2026-04-14T00:00:00"/>
    <d v="2026-04-15T00:00:00"/>
    <n v="4998"/>
    <n v="499.8"/>
    <n v="4498.2"/>
    <n v="8"/>
    <x v="2"/>
    <s v="Apr"/>
    <x v="0"/>
    <n v="0"/>
  </r>
  <r>
    <s v="ORD-10665"/>
    <d v="2026-01-14T00:00:00"/>
    <s v="CUST-1269"/>
    <s v="Customer 1036"/>
    <x v="1"/>
    <s v="Mumbai"/>
    <x v="13"/>
    <x v="1"/>
    <n v="1"/>
    <n v="2499"/>
    <n v="0"/>
    <s v="Net Banking"/>
    <x v="0"/>
    <d v="2026-01-17T00:00:00"/>
    <d v="2026-01-17T00:00:00"/>
    <n v="2499"/>
    <n v="0"/>
    <n v="2499"/>
    <n v="3"/>
    <x v="0"/>
    <s v="Jan"/>
    <x v="9"/>
    <n v="0"/>
  </r>
  <r>
    <s v="ORD-10666"/>
    <d v="2026-01-06T00:00:00"/>
    <s v="CUST-1245"/>
    <s v="Customer 1036"/>
    <x v="3"/>
    <s v="Kolkata"/>
    <x v="10"/>
    <x v="0"/>
    <n v="1"/>
    <n v="1899"/>
    <n v="0.15"/>
    <s v="Net Banking"/>
    <x v="0"/>
    <d v="2026-01-08T00:00:00"/>
    <d v="2026-01-08T00:00:00"/>
    <n v="1899"/>
    <n v="284.84999999999997"/>
    <n v="1614.15"/>
    <n v="2"/>
    <x v="0"/>
    <s v="Jan"/>
    <x v="9"/>
    <n v="0"/>
  </r>
  <r>
    <s v="ORD-10667"/>
    <d v="2026-06-08T00:00:00"/>
    <s v="CUST-1159"/>
    <s v="Customer 1104"/>
    <x v="3"/>
    <s v="Bhubaneswar"/>
    <x v="2"/>
    <x v="2"/>
    <n v="1"/>
    <n v="699"/>
    <n v="0.15"/>
    <s v="Credit Card"/>
    <x v="1"/>
    <d v="2026-06-14T00:00:00"/>
    <m/>
    <n v="699"/>
    <n v="104.85"/>
    <n v="594.15"/>
    <s v=""/>
    <x v="1"/>
    <s v="Jun"/>
    <x v="2"/>
    <n v="0"/>
  </r>
  <r>
    <s v="ORD-10668"/>
    <d v="2026-03-15T00:00:00"/>
    <s v="CUST-1252"/>
    <s v="Customer 1236"/>
    <x v="3"/>
    <s v="Patna"/>
    <x v="14"/>
    <x v="2"/>
    <n v="1"/>
    <n v="999"/>
    <n v="0.15"/>
    <s v="COD"/>
    <x v="3"/>
    <d v="2026-03-18T00:00:00"/>
    <d v="2026-03-18T00:00:00"/>
    <n v="999"/>
    <n v="149.85"/>
    <n v="849.15"/>
    <n v="3"/>
    <x v="0"/>
    <s v="Mar"/>
    <x v="8"/>
    <n v="0"/>
  </r>
  <r>
    <s v="ORD-10669"/>
    <d v="2026-11-27T00:00:00"/>
    <s v="CUST-1090"/>
    <s v="Customer 1213"/>
    <x v="3"/>
    <s v="Kolkata"/>
    <x v="18"/>
    <x v="3"/>
    <n v="3"/>
    <n v="1999"/>
    <n v="0.15"/>
    <s v="Debit Card"/>
    <x v="2"/>
    <d v="2026-12-04T00:00:00"/>
    <d v="2026-12-01T00:00:00"/>
    <n v="5997"/>
    <n v="899.55"/>
    <n v="5097.45"/>
    <n v="4"/>
    <x v="0"/>
    <s v="Nov"/>
    <x v="1"/>
    <n v="5097.45"/>
  </r>
  <r>
    <s v="ORD-10670"/>
    <d v="2026-08-23T00:00:00"/>
    <s v="CUST-1123"/>
    <s v="Customer 1081"/>
    <x v="1"/>
    <s v="Pune"/>
    <x v="13"/>
    <x v="1"/>
    <n v="1"/>
    <n v="2499"/>
    <n v="0.05"/>
    <s v="COD"/>
    <x v="0"/>
    <d v="2026-08-28T00:00:00"/>
    <d v="2026-08-24T00:00:00"/>
    <n v="2499"/>
    <n v="124.95"/>
    <n v="2374.0500000000002"/>
    <n v="1"/>
    <x v="0"/>
    <s v="Aug"/>
    <x v="10"/>
    <n v="0"/>
  </r>
  <r>
    <s v="ORD-10671"/>
    <d v="2026-09-10T00:00:00"/>
    <s v="CUST-1210"/>
    <s v="Customer 1231"/>
    <x v="2"/>
    <s v="Lucknow"/>
    <x v="4"/>
    <x v="3"/>
    <n v="1"/>
    <n v="1299"/>
    <n v="0.2"/>
    <s v="UPI"/>
    <x v="0"/>
    <d v="2026-09-12T00:00:00"/>
    <d v="2026-09-12T00:00:00"/>
    <n v="1299"/>
    <n v="259.8"/>
    <n v="1039.2"/>
    <n v="2"/>
    <x v="0"/>
    <s v="Sep"/>
    <x v="7"/>
    <n v="0"/>
  </r>
  <r>
    <s v="ORD-10672"/>
    <d v="2026-01-23T00:00:00"/>
    <s v="CUST-1204"/>
    <s v="Customer 1020"/>
    <x v="1"/>
    <s v="Ahmedabad"/>
    <x v="7"/>
    <x v="2"/>
    <n v="2"/>
    <n v="3499"/>
    <n v="0"/>
    <s v="Net Banking"/>
    <x v="0"/>
    <d v="2026-01-27T00:00:00"/>
    <d v="2026-01-25T00:00:00"/>
    <n v="6998"/>
    <n v="0"/>
    <n v="6998"/>
    <n v="2"/>
    <x v="0"/>
    <s v="Jan"/>
    <x v="9"/>
    <n v="0"/>
  </r>
  <r>
    <s v="ORD-10673"/>
    <d v="2026-06-17T00:00:00"/>
    <s v="CUST-1225"/>
    <s v="Customer 1072"/>
    <x v="0"/>
    <s v="Hyderabad"/>
    <x v="4"/>
    <x v="3"/>
    <n v="2"/>
    <n v="1299"/>
    <n v="0.15"/>
    <s v="Net Banking"/>
    <x v="0"/>
    <d v="2026-06-19T00:00:00"/>
    <d v="2026-06-18T00:00:00"/>
    <n v="2598"/>
    <n v="389.7"/>
    <n v="2208.3000000000002"/>
    <n v="1"/>
    <x v="0"/>
    <s v="Jun"/>
    <x v="2"/>
    <n v="0"/>
  </r>
  <r>
    <s v="ORD-10674"/>
    <d v="2026-01-10T00:00:00"/>
    <s v="CUST-1040"/>
    <s v="Customer 1006"/>
    <x v="3"/>
    <s v="Patna"/>
    <x v="2"/>
    <x v="2"/>
    <n v="2"/>
    <n v="699"/>
    <n v="0.05"/>
    <s v="Debit Card"/>
    <x v="0"/>
    <d v="2026-01-16T00:00:00"/>
    <d v="2026-01-12T00:00:00"/>
    <n v="1398"/>
    <n v="69.900000000000006"/>
    <n v="1328.1"/>
    <n v="2"/>
    <x v="0"/>
    <s v="Jan"/>
    <x v="9"/>
    <n v="0"/>
  </r>
  <r>
    <s v="ORD-10675"/>
    <d v="2026-04-02T00:00:00"/>
    <s v="CUST-1053"/>
    <s v="Customer 1200"/>
    <x v="2"/>
    <s v="Jaipur"/>
    <x v="15"/>
    <x v="4"/>
    <n v="1"/>
    <n v="749"/>
    <n v="0"/>
    <s v="COD"/>
    <x v="0"/>
    <d v="2026-04-07T00:00:00"/>
    <d v="2026-04-07T00:00:00"/>
    <n v="749"/>
    <n v="0"/>
    <n v="749"/>
    <n v="5"/>
    <x v="0"/>
    <s v="Apr"/>
    <x v="0"/>
    <n v="0"/>
  </r>
  <r>
    <s v="ORD-10676"/>
    <d v="2026-01-03T00:00:00"/>
    <s v="CUST-1047"/>
    <s v="Customer 1009"/>
    <x v="2"/>
    <s v="Chandigarh"/>
    <x v="3"/>
    <x v="3"/>
    <n v="1"/>
    <n v="1799"/>
    <n v="0.15"/>
    <s v="Credit Card"/>
    <x v="0"/>
    <d v="2026-01-07T00:00:00"/>
    <d v="2026-01-09T00:00:00"/>
    <n v="1799"/>
    <n v="269.84999999999997"/>
    <n v="1529.15"/>
    <n v="6"/>
    <x v="2"/>
    <s v="Jan"/>
    <x v="9"/>
    <n v="0"/>
  </r>
  <r>
    <s v="ORD-10677"/>
    <d v="2026-04-09T00:00:00"/>
    <s v="CUST-1023"/>
    <s v="Customer 1213"/>
    <x v="3"/>
    <s v="Kolkata"/>
    <x v="18"/>
    <x v="3"/>
    <n v="2"/>
    <n v="1999"/>
    <n v="0"/>
    <s v="Credit Card"/>
    <x v="0"/>
    <d v="2026-04-16T00:00:00"/>
    <d v="2026-04-11T00:00:00"/>
    <n v="3998"/>
    <n v="0"/>
    <n v="3998"/>
    <n v="2"/>
    <x v="0"/>
    <s v="Apr"/>
    <x v="0"/>
    <n v="0"/>
  </r>
  <r>
    <s v="ORD-10678"/>
    <d v="2026-11-17T00:00:00"/>
    <s v="CUST-1055"/>
    <s v="Customer 1183"/>
    <x v="0"/>
    <s v="Hyderabad"/>
    <x v="10"/>
    <x v="0"/>
    <n v="1"/>
    <n v="1899"/>
    <n v="0.05"/>
    <s v="COD"/>
    <x v="0"/>
    <d v="2026-11-22T00:00:00"/>
    <d v="2026-11-19T00:00:00"/>
    <n v="1899"/>
    <n v="94.95"/>
    <n v="1804.05"/>
    <n v="2"/>
    <x v="0"/>
    <s v="Nov"/>
    <x v="1"/>
    <n v="0"/>
  </r>
  <r>
    <s v="ORD-10679"/>
    <d v="2026-12-01T00:00:00"/>
    <s v="CUST-1189"/>
    <s v="Customer 1023"/>
    <x v="2"/>
    <s v="Jaipur"/>
    <x v="19"/>
    <x v="3"/>
    <n v="1"/>
    <n v="1499"/>
    <n v="0.15"/>
    <s v="Credit Card"/>
    <x v="0"/>
    <d v="2026-12-04T00:00:00"/>
    <d v="2026-12-03T00:00:00"/>
    <n v="1499"/>
    <n v="224.85"/>
    <n v="1274.1500000000001"/>
    <n v="2"/>
    <x v="0"/>
    <s v="Dec"/>
    <x v="6"/>
    <n v="0"/>
  </r>
  <r>
    <s v="ORD-10680"/>
    <d v="2026-11-03T00:00:00"/>
    <s v="CUST-1167"/>
    <s v="Customer 1199"/>
    <x v="0"/>
    <s v="Chennai"/>
    <x v="15"/>
    <x v="4"/>
    <n v="2"/>
    <n v="749"/>
    <n v="0"/>
    <s v="COD"/>
    <x v="3"/>
    <d v="2026-11-09T00:00:00"/>
    <d v="2026-11-04T00:00:00"/>
    <n v="1498"/>
    <n v="0"/>
    <n v="1498"/>
    <n v="1"/>
    <x v="0"/>
    <s v="Nov"/>
    <x v="1"/>
    <n v="0"/>
  </r>
  <r>
    <s v="ORD-10681"/>
    <d v="2026-12-08T00:00:00"/>
    <s v="CUST-1230"/>
    <s v="Customer 1196"/>
    <x v="1"/>
    <s v="Ahmedabad"/>
    <x v="16"/>
    <x v="2"/>
    <n v="2"/>
    <n v="899"/>
    <n v="0.1"/>
    <s v="UPI"/>
    <x v="1"/>
    <d v="2026-12-14T00:00:00"/>
    <m/>
    <n v="1798"/>
    <n v="179.8"/>
    <n v="1618.2"/>
    <s v=""/>
    <x v="1"/>
    <s v="Dec"/>
    <x v="6"/>
    <n v="0"/>
  </r>
  <r>
    <s v="ORD-10682"/>
    <d v="2026-11-12T00:00:00"/>
    <s v="CUST-1041"/>
    <s v="Customer 1031"/>
    <x v="1"/>
    <s v="Mumbai"/>
    <x v="14"/>
    <x v="2"/>
    <n v="3"/>
    <n v="999"/>
    <n v="0"/>
    <s v="Debit Card"/>
    <x v="0"/>
    <d v="2026-11-19T00:00:00"/>
    <d v="2026-11-14T00:00:00"/>
    <n v="2997"/>
    <n v="0"/>
    <n v="2997"/>
    <n v="2"/>
    <x v="0"/>
    <s v="Nov"/>
    <x v="1"/>
    <n v="0"/>
  </r>
  <r>
    <s v="ORD-10683"/>
    <d v="2026-04-14T00:00:00"/>
    <s v="CUST-1169"/>
    <s v="Customer 1069"/>
    <x v="1"/>
    <s v="Ahmedabad"/>
    <x v="15"/>
    <x v="4"/>
    <n v="1"/>
    <n v="749"/>
    <n v="0.05"/>
    <s v="UPI"/>
    <x v="0"/>
    <d v="2026-04-21T00:00:00"/>
    <d v="2026-04-18T00:00:00"/>
    <n v="749"/>
    <n v="37.450000000000003"/>
    <n v="711.55"/>
    <n v="4"/>
    <x v="0"/>
    <s v="Apr"/>
    <x v="0"/>
    <n v="0"/>
  </r>
  <r>
    <s v="ORD-10684"/>
    <d v="2026-08-01T00:00:00"/>
    <s v="CUST-1106"/>
    <s v="Customer 1277"/>
    <x v="2"/>
    <s v="Lucknow"/>
    <x v="3"/>
    <x v="3"/>
    <n v="2"/>
    <n v="1799"/>
    <n v="0.1"/>
    <s v="UPI"/>
    <x v="0"/>
    <d v="2026-08-08T00:00:00"/>
    <d v="2026-08-03T00:00:00"/>
    <n v="3598"/>
    <n v="359.8"/>
    <n v="3238.2"/>
    <n v="2"/>
    <x v="0"/>
    <s v="Aug"/>
    <x v="10"/>
    <n v="0"/>
  </r>
  <r>
    <s v="ORD-10685"/>
    <d v="2026-07-15T00:00:00"/>
    <s v="CUST-1036"/>
    <s v="Customer 1099"/>
    <x v="0"/>
    <s v="Chennai"/>
    <x v="7"/>
    <x v="2"/>
    <n v="2"/>
    <n v="3499"/>
    <n v="0.05"/>
    <s v="Net Banking"/>
    <x v="2"/>
    <d v="2026-07-17T00:00:00"/>
    <d v="2026-07-17T00:00:00"/>
    <n v="6998"/>
    <n v="349.90000000000003"/>
    <n v="6648.1"/>
    <n v="2"/>
    <x v="0"/>
    <s v="Jul"/>
    <x v="11"/>
    <n v="6648.1"/>
  </r>
  <r>
    <s v="ORD-10686"/>
    <d v="2026-02-16T00:00:00"/>
    <s v="CUST-1240"/>
    <s v="Customer 1160"/>
    <x v="0"/>
    <s v="Chennai"/>
    <x v="2"/>
    <x v="2"/>
    <n v="1"/>
    <n v="699"/>
    <n v="0.2"/>
    <s v="Credit Card"/>
    <x v="0"/>
    <d v="2026-02-22T00:00:00"/>
    <d v="2026-02-22T00:00:00"/>
    <n v="699"/>
    <n v="139.80000000000001"/>
    <n v="559.20000000000005"/>
    <n v="6"/>
    <x v="0"/>
    <s v="Feb"/>
    <x v="4"/>
    <n v="0"/>
  </r>
  <r>
    <s v="ORD-10687"/>
    <d v="2026-04-01T00:00:00"/>
    <s v="CUST-1104"/>
    <s v="Customer 1140"/>
    <x v="1"/>
    <s v="Pune"/>
    <x v="12"/>
    <x v="2"/>
    <n v="2"/>
    <n v="1599"/>
    <n v="0.1"/>
    <s v="Debit Card"/>
    <x v="1"/>
    <d v="2026-04-06T00:00:00"/>
    <m/>
    <n v="3198"/>
    <n v="319.8"/>
    <n v="2878.2"/>
    <s v=""/>
    <x v="1"/>
    <s v="Apr"/>
    <x v="0"/>
    <n v="0"/>
  </r>
  <r>
    <s v="ORD-10688"/>
    <d v="2026-07-13T00:00:00"/>
    <s v="CUST-1222"/>
    <s v="Customer 1080"/>
    <x v="3"/>
    <s v="Kolkata"/>
    <x v="23"/>
    <x v="0"/>
    <n v="1"/>
    <n v="2999"/>
    <n v="0.15"/>
    <s v="Net Banking"/>
    <x v="1"/>
    <d v="2026-07-19T00:00:00"/>
    <m/>
    <n v="2999"/>
    <n v="449.84999999999997"/>
    <n v="2549.15"/>
    <s v=""/>
    <x v="1"/>
    <s v="Jul"/>
    <x v="11"/>
    <n v="0"/>
  </r>
  <r>
    <s v="ORD-10689"/>
    <d v="2026-02-12T00:00:00"/>
    <s v="CUST-1284"/>
    <s v="Customer 1090"/>
    <x v="3"/>
    <s v="Kolkata"/>
    <x v="5"/>
    <x v="4"/>
    <n v="3"/>
    <n v="499"/>
    <n v="0.1"/>
    <s v="COD"/>
    <x v="1"/>
    <d v="2026-02-15T00:00:00"/>
    <m/>
    <n v="1497"/>
    <n v="149.70000000000002"/>
    <n v="1347.3"/>
    <s v=""/>
    <x v="1"/>
    <s v="Feb"/>
    <x v="4"/>
    <n v="0"/>
  </r>
  <r>
    <s v="ORD-10690"/>
    <d v="2026-08-21T00:00:00"/>
    <s v="CUST-1101"/>
    <s v="Customer 1080"/>
    <x v="2"/>
    <s v="Chandigarh"/>
    <x v="15"/>
    <x v="4"/>
    <n v="1"/>
    <n v="749"/>
    <n v="0.2"/>
    <s v="COD"/>
    <x v="0"/>
    <d v="2026-08-23T00:00:00"/>
    <d v="2026-08-23T00:00:00"/>
    <n v="749"/>
    <n v="149.80000000000001"/>
    <n v="599.20000000000005"/>
    <n v="2"/>
    <x v="0"/>
    <s v="Aug"/>
    <x v="10"/>
    <n v="0"/>
  </r>
  <r>
    <s v="ORD-10691"/>
    <d v="2026-07-11T00:00:00"/>
    <s v="CUST-1037"/>
    <s v="Customer 1210"/>
    <x v="1"/>
    <s v="Mumbai"/>
    <x v="3"/>
    <x v="3"/>
    <n v="2"/>
    <n v="1799"/>
    <n v="0.15"/>
    <s v="Net Banking"/>
    <x v="2"/>
    <d v="2026-07-15T00:00:00"/>
    <d v="2026-07-14T00:00:00"/>
    <n v="3598"/>
    <n v="539.69999999999993"/>
    <n v="3058.3"/>
    <n v="3"/>
    <x v="0"/>
    <s v="Jul"/>
    <x v="11"/>
    <n v="3058.3"/>
  </r>
  <r>
    <s v="ORD-10692"/>
    <d v="2026-03-25T00:00:00"/>
    <s v="CUST-1251"/>
    <s v="Customer 1189"/>
    <x v="0"/>
    <s v="Bengaluru"/>
    <x v="24"/>
    <x v="4"/>
    <n v="1"/>
    <n v="1499"/>
    <n v="0.15"/>
    <s v="Debit Card"/>
    <x v="3"/>
    <d v="2026-04-01T00:00:00"/>
    <d v="2026-03-31T00:00:00"/>
    <n v="1499"/>
    <n v="224.85"/>
    <n v="1274.1500000000001"/>
    <n v="6"/>
    <x v="0"/>
    <s v="Mar"/>
    <x v="8"/>
    <n v="0"/>
  </r>
  <r>
    <s v="ORD-10693"/>
    <d v="2026-05-05T00:00:00"/>
    <s v="CUST-1234"/>
    <s v="Customer 1076"/>
    <x v="0"/>
    <s v="Kochi"/>
    <x v="20"/>
    <x v="4"/>
    <n v="2"/>
    <n v="599"/>
    <n v="0.1"/>
    <s v="UPI"/>
    <x v="2"/>
    <d v="2026-05-12T00:00:00"/>
    <d v="2026-05-08T00:00:00"/>
    <n v="1198"/>
    <n v="119.80000000000001"/>
    <n v="1078.2"/>
    <n v="3"/>
    <x v="0"/>
    <s v="May"/>
    <x v="3"/>
    <n v="1078.2"/>
  </r>
  <r>
    <s v="ORD-10694"/>
    <d v="2026-12-06T00:00:00"/>
    <s v="CUST-1204"/>
    <s v="Customer 1042"/>
    <x v="2"/>
    <s v="Jaipur"/>
    <x v="22"/>
    <x v="1"/>
    <n v="3"/>
    <n v="1199"/>
    <n v="0"/>
    <s v="UPI"/>
    <x v="3"/>
    <d v="2026-12-08T00:00:00"/>
    <d v="2026-12-08T00:00:00"/>
    <n v="3597"/>
    <n v="0"/>
    <n v="3597"/>
    <n v="2"/>
    <x v="0"/>
    <s v="Dec"/>
    <x v="6"/>
    <n v="0"/>
  </r>
  <r>
    <s v="ORD-10695"/>
    <d v="2026-05-10T00:00:00"/>
    <s v="CUST-1046"/>
    <s v="Customer 1056"/>
    <x v="1"/>
    <s v="Goa"/>
    <x v="12"/>
    <x v="2"/>
    <n v="2"/>
    <n v="1599"/>
    <n v="0.2"/>
    <s v="COD"/>
    <x v="2"/>
    <d v="2026-05-15T00:00:00"/>
    <d v="2026-05-14T00:00:00"/>
    <n v="3198"/>
    <n v="639.6"/>
    <n v="2558.4"/>
    <n v="4"/>
    <x v="0"/>
    <s v="May"/>
    <x v="3"/>
    <n v="2558.4"/>
  </r>
  <r>
    <s v="ORD-10696"/>
    <d v="2026-07-23T00:00:00"/>
    <s v="CUST-1214"/>
    <s v="Customer 1269"/>
    <x v="2"/>
    <s v="Jaipur"/>
    <x v="0"/>
    <x v="0"/>
    <n v="2"/>
    <n v="1799"/>
    <n v="0"/>
    <s v="Credit Card"/>
    <x v="3"/>
    <d v="2026-07-28T00:00:00"/>
    <d v="2026-07-24T00:00:00"/>
    <n v="3598"/>
    <n v="0"/>
    <n v="3598"/>
    <n v="1"/>
    <x v="0"/>
    <s v="Jul"/>
    <x v="11"/>
    <n v="0"/>
  </r>
  <r>
    <s v="ORD-10697"/>
    <d v="2026-04-01T00:00:00"/>
    <s v="CUST-1231"/>
    <s v="Customer 1291"/>
    <x v="3"/>
    <s v="Patna"/>
    <x v="20"/>
    <x v="4"/>
    <n v="1"/>
    <n v="599"/>
    <n v="0.05"/>
    <s v="Credit Card"/>
    <x v="0"/>
    <d v="2026-04-04T00:00:00"/>
    <d v="2026-04-02T00:00:00"/>
    <n v="599"/>
    <n v="29.950000000000003"/>
    <n v="569.04999999999995"/>
    <n v="1"/>
    <x v="0"/>
    <s v="Apr"/>
    <x v="0"/>
    <n v="0"/>
  </r>
  <r>
    <s v="ORD-10698"/>
    <d v="2026-04-04T00:00:00"/>
    <s v="CUST-1056"/>
    <s v="Customer 1086"/>
    <x v="1"/>
    <s v="Pune"/>
    <x v="14"/>
    <x v="2"/>
    <n v="3"/>
    <n v="999"/>
    <n v="0.05"/>
    <s v="Debit Card"/>
    <x v="3"/>
    <d v="2026-04-09T00:00:00"/>
    <d v="2026-04-09T00:00:00"/>
    <n v="2997"/>
    <n v="149.85"/>
    <n v="2847.15"/>
    <n v="5"/>
    <x v="0"/>
    <s v="Apr"/>
    <x v="0"/>
    <n v="0"/>
  </r>
  <r>
    <s v="ORD-10699"/>
    <d v="2026-03-05T00:00:00"/>
    <s v="CUST-1245"/>
    <s v="Customer 1249"/>
    <x v="0"/>
    <s v="Hyderabad"/>
    <x v="19"/>
    <x v="3"/>
    <n v="1"/>
    <n v="1499"/>
    <n v="0.1"/>
    <s v="UPI"/>
    <x v="1"/>
    <d v="2026-03-08T00:00:00"/>
    <m/>
    <n v="1499"/>
    <n v="149.9"/>
    <n v="1349.1"/>
    <s v=""/>
    <x v="1"/>
    <s v="Mar"/>
    <x v="8"/>
    <n v="0"/>
  </r>
  <r>
    <s v="ORD-10700"/>
    <d v="2026-01-04T00:00:00"/>
    <s v="CUST-1267"/>
    <s v="Customer 1137"/>
    <x v="0"/>
    <s v="Bengaluru"/>
    <x v="18"/>
    <x v="3"/>
    <n v="2"/>
    <n v="1999"/>
    <n v="0"/>
    <s v="UPI"/>
    <x v="0"/>
    <d v="2026-01-10T00:00:00"/>
    <d v="2026-01-08T00:00:00"/>
    <n v="3998"/>
    <n v="0"/>
    <n v="3998"/>
    <n v="4"/>
    <x v="0"/>
    <s v="Jan"/>
    <x v="9"/>
    <n v="0"/>
  </r>
  <r>
    <s v="ORD-10701"/>
    <d v="2026-08-08T00:00:00"/>
    <s v="CUST-1194"/>
    <s v="Customer 1030"/>
    <x v="3"/>
    <s v="Guwahati"/>
    <x v="10"/>
    <x v="0"/>
    <n v="1"/>
    <n v="1899"/>
    <n v="0.1"/>
    <s v="Debit Card"/>
    <x v="3"/>
    <d v="2026-08-11T00:00:00"/>
    <d v="2026-08-15T00:00:00"/>
    <n v="1899"/>
    <n v="189.9"/>
    <n v="1709.1"/>
    <n v="7"/>
    <x v="2"/>
    <s v="Aug"/>
    <x v="10"/>
    <n v="0"/>
  </r>
  <r>
    <s v="ORD-10702"/>
    <d v="2026-08-22T00:00:00"/>
    <s v="CUST-1144"/>
    <s v="Customer 1128"/>
    <x v="2"/>
    <s v="Lucknow"/>
    <x v="8"/>
    <x v="3"/>
    <n v="3"/>
    <n v="799"/>
    <n v="0.15"/>
    <s v="Credit Card"/>
    <x v="0"/>
    <d v="2026-08-28T00:00:00"/>
    <d v="2026-08-27T00:00:00"/>
    <n v="2397"/>
    <n v="359.55"/>
    <n v="2037.45"/>
    <n v="5"/>
    <x v="0"/>
    <s v="Aug"/>
    <x v="10"/>
    <n v="0"/>
  </r>
  <r>
    <s v="ORD-10703"/>
    <d v="2026-09-21T00:00:00"/>
    <s v="CUST-1024"/>
    <s v="Customer 1167"/>
    <x v="2"/>
    <s v="Chandigarh"/>
    <x v="13"/>
    <x v="1"/>
    <n v="1"/>
    <n v="2499"/>
    <n v="0.05"/>
    <s v="UPI"/>
    <x v="2"/>
    <d v="2026-09-25T00:00:00"/>
    <d v="2026-09-24T00:00:00"/>
    <n v="2499"/>
    <n v="124.95"/>
    <n v="2374.0500000000002"/>
    <n v="3"/>
    <x v="0"/>
    <s v="Sep"/>
    <x v="7"/>
    <n v="2374.0500000000002"/>
  </r>
  <r>
    <s v="ORD-10704"/>
    <d v="2026-07-24T00:00:00"/>
    <s v="CUST-1198"/>
    <s v="Customer 1151"/>
    <x v="3"/>
    <s v="Bhubaneswar"/>
    <x v="13"/>
    <x v="1"/>
    <n v="2"/>
    <n v="2499"/>
    <n v="0"/>
    <s v="Debit Card"/>
    <x v="0"/>
    <d v="2026-07-29T00:00:00"/>
    <d v="2026-07-30T00:00:00"/>
    <n v="4998"/>
    <n v="0"/>
    <n v="4998"/>
    <n v="6"/>
    <x v="2"/>
    <s v="Jul"/>
    <x v="11"/>
    <n v="0"/>
  </r>
  <r>
    <s v="ORD-10705"/>
    <d v="2026-09-16T00:00:00"/>
    <s v="CUST-1087"/>
    <s v="Customer 1229"/>
    <x v="1"/>
    <s v="Pune"/>
    <x v="22"/>
    <x v="1"/>
    <n v="1"/>
    <n v="1199"/>
    <n v="0.15"/>
    <s v="UPI"/>
    <x v="0"/>
    <d v="2026-09-23T00:00:00"/>
    <d v="2026-09-27T00:00:00"/>
    <n v="1199"/>
    <n v="179.85"/>
    <n v="1019.15"/>
    <n v="11"/>
    <x v="2"/>
    <s v="Sep"/>
    <x v="7"/>
    <n v="0"/>
  </r>
  <r>
    <s v="ORD-10706"/>
    <d v="2026-05-05T00:00:00"/>
    <s v="CUST-1197"/>
    <s v="Customer 1144"/>
    <x v="0"/>
    <s v="Kochi"/>
    <x v="1"/>
    <x v="1"/>
    <n v="1"/>
    <n v="599"/>
    <n v="0"/>
    <s v="UPI"/>
    <x v="0"/>
    <d v="2026-05-12T00:00:00"/>
    <d v="2026-05-08T00:00:00"/>
    <n v="599"/>
    <n v="0"/>
    <n v="599"/>
    <n v="3"/>
    <x v="0"/>
    <s v="May"/>
    <x v="3"/>
    <n v="0"/>
  </r>
  <r>
    <s v="ORD-10707"/>
    <d v="2026-12-07T00:00:00"/>
    <s v="CUST-1295"/>
    <s v="Customer 1034"/>
    <x v="1"/>
    <s v="Ahmedabad"/>
    <x v="17"/>
    <x v="4"/>
    <n v="1"/>
    <n v="399"/>
    <n v="0.2"/>
    <s v="Net Banking"/>
    <x v="0"/>
    <d v="2026-12-14T00:00:00"/>
    <d v="2026-12-09T00:00:00"/>
    <n v="399"/>
    <n v="79.800000000000011"/>
    <n v="319.2"/>
    <n v="2"/>
    <x v="0"/>
    <s v="Dec"/>
    <x v="6"/>
    <n v="0"/>
  </r>
  <r>
    <s v="ORD-10708"/>
    <d v="2026-08-12T00:00:00"/>
    <s v="CUST-1175"/>
    <s v="Customer 1097"/>
    <x v="2"/>
    <s v="Chandigarh"/>
    <x v="24"/>
    <x v="4"/>
    <n v="3"/>
    <n v="1499"/>
    <n v="0.05"/>
    <s v="Debit Card"/>
    <x v="0"/>
    <d v="2026-08-16T00:00:00"/>
    <d v="2026-08-13T00:00:00"/>
    <n v="4497"/>
    <n v="224.85000000000002"/>
    <n v="4272.1499999999996"/>
    <n v="1"/>
    <x v="0"/>
    <s v="Aug"/>
    <x v="10"/>
    <n v="0"/>
  </r>
  <r>
    <s v="ORD-10709"/>
    <d v="2026-07-14T00:00:00"/>
    <s v="CUST-1217"/>
    <s v="Customer 1164"/>
    <x v="0"/>
    <s v="Hyderabad"/>
    <x v="16"/>
    <x v="2"/>
    <n v="2"/>
    <n v="899"/>
    <n v="0"/>
    <s v="Debit Card"/>
    <x v="0"/>
    <d v="2026-07-20T00:00:00"/>
    <d v="2026-07-18T00:00:00"/>
    <n v="1798"/>
    <n v="0"/>
    <n v="1798"/>
    <n v="4"/>
    <x v="0"/>
    <s v="Jul"/>
    <x v="11"/>
    <n v="0"/>
  </r>
  <r>
    <s v="ORD-10710"/>
    <d v="2026-10-30T00:00:00"/>
    <s v="CUST-1162"/>
    <s v="Customer 1075"/>
    <x v="2"/>
    <s v="Jaipur"/>
    <x v="22"/>
    <x v="1"/>
    <n v="1"/>
    <n v="1199"/>
    <n v="0.15"/>
    <s v="UPI"/>
    <x v="1"/>
    <d v="2026-11-04T00:00:00"/>
    <m/>
    <n v="1199"/>
    <n v="179.85"/>
    <n v="1019.15"/>
    <s v=""/>
    <x v="1"/>
    <s v="Oct"/>
    <x v="5"/>
    <n v="0"/>
  </r>
  <r>
    <s v="ORD-10711"/>
    <d v="2026-03-17T00:00:00"/>
    <s v="CUST-1159"/>
    <s v="Customer 1258"/>
    <x v="2"/>
    <s v="Jaipur"/>
    <x v="5"/>
    <x v="4"/>
    <n v="2"/>
    <n v="499"/>
    <n v="0.05"/>
    <s v="UPI"/>
    <x v="1"/>
    <d v="2026-03-21T00:00:00"/>
    <m/>
    <n v="998"/>
    <n v="49.900000000000006"/>
    <n v="948.1"/>
    <s v=""/>
    <x v="1"/>
    <s v="Mar"/>
    <x v="8"/>
    <n v="0"/>
  </r>
  <r>
    <s v="ORD-10712"/>
    <d v="2026-11-20T00:00:00"/>
    <s v="CUST-1079"/>
    <s v="Customer 1108"/>
    <x v="0"/>
    <s v="Hyderabad"/>
    <x v="13"/>
    <x v="1"/>
    <n v="3"/>
    <n v="2499"/>
    <n v="0.15"/>
    <s v="Debit Card"/>
    <x v="2"/>
    <d v="2026-11-25T00:00:00"/>
    <d v="2026-11-23T00:00:00"/>
    <n v="7497"/>
    <n v="1124.55"/>
    <n v="6372.45"/>
    <n v="3"/>
    <x v="0"/>
    <s v="Nov"/>
    <x v="1"/>
    <n v="6372.45"/>
  </r>
  <r>
    <s v="ORD-10713"/>
    <d v="2026-07-20T00:00:00"/>
    <s v="CUST-1173"/>
    <s v="Customer 1217"/>
    <x v="1"/>
    <s v="Mumbai"/>
    <x v="12"/>
    <x v="2"/>
    <n v="1"/>
    <n v="1599"/>
    <n v="0.05"/>
    <s v="UPI"/>
    <x v="1"/>
    <d v="2026-07-25T00:00:00"/>
    <m/>
    <n v="1599"/>
    <n v="79.95"/>
    <n v="1519.05"/>
    <s v=""/>
    <x v="1"/>
    <s v="Jul"/>
    <x v="11"/>
    <n v="0"/>
  </r>
  <r>
    <s v="ORD-10714"/>
    <d v="2026-02-06T00:00:00"/>
    <s v="CUST-1202"/>
    <s v="Customer 1050"/>
    <x v="3"/>
    <s v="Patna"/>
    <x v="5"/>
    <x v="4"/>
    <n v="2"/>
    <n v="499"/>
    <n v="0.1"/>
    <s v="Debit Card"/>
    <x v="2"/>
    <d v="2026-02-09T00:00:00"/>
    <d v="2026-02-09T00:00:00"/>
    <n v="998"/>
    <n v="99.800000000000011"/>
    <n v="898.2"/>
    <n v="3"/>
    <x v="0"/>
    <s v="Feb"/>
    <x v="4"/>
    <n v="898.2"/>
  </r>
  <r>
    <s v="ORD-10715"/>
    <d v="2026-12-30T00:00:00"/>
    <s v="CUST-1075"/>
    <s v="Customer 1108"/>
    <x v="1"/>
    <s v="Ahmedabad"/>
    <x v="9"/>
    <x v="1"/>
    <n v="1"/>
    <n v="899"/>
    <n v="0.05"/>
    <s v="COD"/>
    <x v="0"/>
    <d v="2027-01-04T00:00:00"/>
    <d v="2027-01-02T00:00:00"/>
    <n v="899"/>
    <n v="44.95"/>
    <n v="854.05"/>
    <n v="3"/>
    <x v="0"/>
    <s v="Dec"/>
    <x v="6"/>
    <n v="0"/>
  </r>
  <r>
    <s v="ORD-10716"/>
    <d v="2026-10-22T00:00:00"/>
    <s v="CUST-1050"/>
    <s v="Customer 1183"/>
    <x v="1"/>
    <s v="Pune"/>
    <x v="18"/>
    <x v="3"/>
    <n v="1"/>
    <n v="1999"/>
    <n v="0.05"/>
    <s v="Net Banking"/>
    <x v="0"/>
    <d v="2026-10-29T00:00:00"/>
    <d v="2026-10-23T00:00:00"/>
    <n v="1999"/>
    <n v="99.95"/>
    <n v="1899.05"/>
    <n v="1"/>
    <x v="0"/>
    <s v="Oct"/>
    <x v="5"/>
    <n v="0"/>
  </r>
  <r>
    <s v="ORD-10717"/>
    <d v="2026-09-21T00:00:00"/>
    <s v="CUST-1018"/>
    <s v="Customer 1061"/>
    <x v="3"/>
    <s v="Bhubaneswar"/>
    <x v="8"/>
    <x v="3"/>
    <n v="2"/>
    <n v="799"/>
    <n v="0.2"/>
    <s v="Net Banking"/>
    <x v="0"/>
    <d v="2026-09-28T00:00:00"/>
    <d v="2026-09-23T00:00:00"/>
    <n v="1598"/>
    <n v="319.60000000000002"/>
    <n v="1278.4000000000001"/>
    <n v="2"/>
    <x v="0"/>
    <s v="Sep"/>
    <x v="7"/>
    <n v="0"/>
  </r>
  <r>
    <s v="ORD-10718"/>
    <d v="2026-12-19T00:00:00"/>
    <s v="CUST-1238"/>
    <s v="Customer 1196"/>
    <x v="1"/>
    <s v="Goa"/>
    <x v="15"/>
    <x v="4"/>
    <n v="2"/>
    <n v="749"/>
    <n v="0.05"/>
    <s v="Net Banking"/>
    <x v="3"/>
    <d v="2026-12-26T00:00:00"/>
    <d v="2026-12-27T00:00:00"/>
    <n v="1498"/>
    <n v="74.900000000000006"/>
    <n v="1423.1"/>
    <n v="8"/>
    <x v="2"/>
    <s v="Dec"/>
    <x v="6"/>
    <n v="0"/>
  </r>
  <r>
    <s v="ORD-10719"/>
    <d v="2026-03-03T00:00:00"/>
    <s v="CUST-1012"/>
    <s v="Customer 1294"/>
    <x v="2"/>
    <s v="Chandigarh"/>
    <x v="6"/>
    <x v="0"/>
    <n v="1"/>
    <n v="699"/>
    <n v="0"/>
    <s v="Net Banking"/>
    <x v="2"/>
    <d v="2026-03-10T00:00:00"/>
    <d v="2026-03-12T00:00:00"/>
    <n v="699"/>
    <n v="0"/>
    <n v="699"/>
    <n v="9"/>
    <x v="2"/>
    <s v="Mar"/>
    <x v="8"/>
    <n v="699"/>
  </r>
  <r>
    <s v="ORD-10720"/>
    <d v="2026-04-03T00:00:00"/>
    <s v="CUST-1051"/>
    <s v="Customer 1167"/>
    <x v="3"/>
    <s v="Patna"/>
    <x v="3"/>
    <x v="3"/>
    <n v="1"/>
    <n v="1799"/>
    <n v="0.15"/>
    <s v="Debit Card"/>
    <x v="1"/>
    <d v="2026-04-06T00:00:00"/>
    <m/>
    <n v="1799"/>
    <n v="269.84999999999997"/>
    <n v="1529.15"/>
    <s v=""/>
    <x v="1"/>
    <s v="Apr"/>
    <x v="0"/>
    <n v="0"/>
  </r>
  <r>
    <s v="ORD-10721"/>
    <d v="2026-07-21T00:00:00"/>
    <s v="CUST-1107"/>
    <s v="Customer 1061"/>
    <x v="0"/>
    <s v="Chennai"/>
    <x v="17"/>
    <x v="4"/>
    <n v="2"/>
    <n v="399"/>
    <n v="0.2"/>
    <s v="COD"/>
    <x v="0"/>
    <d v="2026-07-23T00:00:00"/>
    <d v="2026-07-22T00:00:00"/>
    <n v="798"/>
    <n v="159.60000000000002"/>
    <n v="638.4"/>
    <n v="1"/>
    <x v="0"/>
    <s v="Jul"/>
    <x v="11"/>
    <n v="0"/>
  </r>
  <r>
    <s v="ORD-10722"/>
    <d v="2026-08-17T00:00:00"/>
    <s v="CUST-1045"/>
    <s v="Customer 1288"/>
    <x v="1"/>
    <s v="Pune"/>
    <x v="3"/>
    <x v="3"/>
    <n v="3"/>
    <n v="1799"/>
    <n v="0"/>
    <s v="UPI"/>
    <x v="0"/>
    <d v="2026-08-23T00:00:00"/>
    <d v="2026-08-19T00:00:00"/>
    <n v="5397"/>
    <n v="0"/>
    <n v="5397"/>
    <n v="2"/>
    <x v="0"/>
    <s v="Aug"/>
    <x v="10"/>
    <n v="0"/>
  </r>
  <r>
    <s v="ORD-10723"/>
    <d v="2026-09-17T00:00:00"/>
    <s v="CUST-1024"/>
    <s v="Customer 1266"/>
    <x v="2"/>
    <s v="Delhi"/>
    <x v="8"/>
    <x v="3"/>
    <n v="1"/>
    <n v="799"/>
    <n v="0.2"/>
    <s v="Credit Card"/>
    <x v="0"/>
    <d v="2026-09-24T00:00:00"/>
    <d v="2026-09-20T00:00:00"/>
    <n v="799"/>
    <n v="159.80000000000001"/>
    <n v="639.20000000000005"/>
    <n v="3"/>
    <x v="0"/>
    <s v="Sep"/>
    <x v="7"/>
    <n v="0"/>
  </r>
  <r>
    <s v="ORD-10724"/>
    <d v="2026-09-09T00:00:00"/>
    <s v="CUST-1262"/>
    <s v="Customer 1108"/>
    <x v="2"/>
    <s v="Chandigarh"/>
    <x v="7"/>
    <x v="2"/>
    <n v="2"/>
    <n v="3499"/>
    <n v="0.2"/>
    <s v="Debit Card"/>
    <x v="1"/>
    <d v="2026-09-15T00:00:00"/>
    <m/>
    <n v="6998"/>
    <n v="1399.6000000000001"/>
    <n v="5598.4"/>
    <s v=""/>
    <x v="1"/>
    <s v="Sep"/>
    <x v="7"/>
    <n v="0"/>
  </r>
  <r>
    <s v="ORD-10725"/>
    <d v="2026-04-07T00:00:00"/>
    <s v="CUST-1111"/>
    <s v="Customer 1184"/>
    <x v="0"/>
    <s v="Bengaluru"/>
    <x v="14"/>
    <x v="2"/>
    <n v="1"/>
    <n v="999"/>
    <n v="0.05"/>
    <s v="Credit Card"/>
    <x v="1"/>
    <d v="2026-04-13T00:00:00"/>
    <m/>
    <n v="999"/>
    <n v="49.95"/>
    <n v="949.05"/>
    <s v=""/>
    <x v="1"/>
    <s v="Apr"/>
    <x v="0"/>
    <n v="0"/>
  </r>
  <r>
    <s v="ORD-10726"/>
    <d v="2026-02-08T00:00:00"/>
    <s v="CUST-1131"/>
    <s v="Customer 1218"/>
    <x v="2"/>
    <s v="Jaipur"/>
    <x v="13"/>
    <x v="1"/>
    <n v="2"/>
    <n v="2499"/>
    <n v="0.1"/>
    <s v="Net Banking"/>
    <x v="2"/>
    <d v="2026-02-11T00:00:00"/>
    <d v="2026-02-09T00:00:00"/>
    <n v="4998"/>
    <n v="499.8"/>
    <n v="4498.2"/>
    <n v="1"/>
    <x v="0"/>
    <s v="Feb"/>
    <x v="4"/>
    <n v="4498.2"/>
  </r>
  <r>
    <s v="ORD-10727"/>
    <d v="2026-11-21T00:00:00"/>
    <s v="CUST-1262"/>
    <s v="Customer 1084"/>
    <x v="1"/>
    <s v="Pune"/>
    <x v="18"/>
    <x v="3"/>
    <n v="2"/>
    <n v="1999"/>
    <n v="0.05"/>
    <s v="Debit Card"/>
    <x v="1"/>
    <d v="2026-11-28T00:00:00"/>
    <m/>
    <n v="3998"/>
    <n v="199.9"/>
    <n v="3798.1"/>
    <s v=""/>
    <x v="1"/>
    <s v="Nov"/>
    <x v="1"/>
    <n v="0"/>
  </r>
  <r>
    <s v="ORD-10728"/>
    <d v="2026-07-14T00:00:00"/>
    <s v="CUST-1281"/>
    <s v="Customer 1209"/>
    <x v="3"/>
    <s v="Bhubaneswar"/>
    <x v="23"/>
    <x v="0"/>
    <n v="1"/>
    <n v="2999"/>
    <n v="0.2"/>
    <s v="Credit Card"/>
    <x v="0"/>
    <d v="2026-07-18T00:00:00"/>
    <d v="2026-07-15T00:00:00"/>
    <n v="2999"/>
    <n v="599.80000000000007"/>
    <n v="2399.1999999999998"/>
    <n v="1"/>
    <x v="0"/>
    <s v="Jul"/>
    <x v="11"/>
    <n v="0"/>
  </r>
  <r>
    <s v="ORD-10729"/>
    <d v="2026-06-20T00:00:00"/>
    <s v="CUST-1194"/>
    <s v="Customer 1054"/>
    <x v="0"/>
    <s v="Hyderabad"/>
    <x v="18"/>
    <x v="3"/>
    <n v="3"/>
    <n v="1999"/>
    <n v="0.05"/>
    <s v="Credit Card"/>
    <x v="0"/>
    <d v="2026-06-22T00:00:00"/>
    <d v="2026-06-21T00:00:00"/>
    <n v="5997"/>
    <n v="299.85000000000002"/>
    <n v="5697.15"/>
    <n v="1"/>
    <x v="0"/>
    <s v="Jun"/>
    <x v="2"/>
    <n v="0"/>
  </r>
  <r>
    <s v="ORD-10730"/>
    <d v="2026-10-29T00:00:00"/>
    <s v="CUST-1293"/>
    <s v="Customer 1145"/>
    <x v="0"/>
    <s v="Chennai"/>
    <x v="11"/>
    <x v="1"/>
    <n v="3"/>
    <n v="3299"/>
    <n v="0.15"/>
    <s v="UPI"/>
    <x v="1"/>
    <d v="2026-11-02T00:00:00"/>
    <m/>
    <n v="9897"/>
    <n v="1484.55"/>
    <n v="8412.4500000000007"/>
    <s v=""/>
    <x v="1"/>
    <s v="Oct"/>
    <x v="5"/>
    <n v="0"/>
  </r>
  <r>
    <s v="ORD-10731"/>
    <d v="2026-06-12T00:00:00"/>
    <s v="CUST-1273"/>
    <s v="Customer 1283"/>
    <x v="2"/>
    <s v="Delhi"/>
    <x v="4"/>
    <x v="3"/>
    <n v="4"/>
    <n v="1299"/>
    <n v="0.15"/>
    <s v="Credit Card"/>
    <x v="0"/>
    <d v="2026-06-19T00:00:00"/>
    <d v="2026-06-19T00:00:00"/>
    <n v="5196"/>
    <n v="779.4"/>
    <n v="4416.6000000000004"/>
    <n v="7"/>
    <x v="0"/>
    <s v="Jun"/>
    <x v="2"/>
    <n v="0"/>
  </r>
  <r>
    <s v="ORD-10732"/>
    <d v="2026-05-13T00:00:00"/>
    <s v="CUST-1137"/>
    <s v="Customer 1028"/>
    <x v="3"/>
    <s v="Guwahati"/>
    <x v="1"/>
    <x v="1"/>
    <n v="1"/>
    <n v="599"/>
    <n v="0.2"/>
    <s v="Credit Card"/>
    <x v="2"/>
    <d v="2026-05-16T00:00:00"/>
    <d v="2026-05-16T00:00:00"/>
    <n v="599"/>
    <n v="119.80000000000001"/>
    <n v="479.2"/>
    <n v="3"/>
    <x v="0"/>
    <s v="May"/>
    <x v="3"/>
    <n v="479.2"/>
  </r>
  <r>
    <s v="ORD-10733"/>
    <d v="2026-12-28T00:00:00"/>
    <s v="CUST-1220"/>
    <s v="Customer 1267"/>
    <x v="2"/>
    <s v="Jaipur"/>
    <x v="13"/>
    <x v="1"/>
    <n v="2"/>
    <n v="2499"/>
    <n v="0.15"/>
    <s v="Debit Card"/>
    <x v="3"/>
    <d v="2027-01-02T00:00:00"/>
    <d v="2026-12-31T00:00:00"/>
    <n v="4998"/>
    <n v="749.69999999999993"/>
    <n v="4248.3"/>
    <n v="3"/>
    <x v="0"/>
    <s v="Dec"/>
    <x v="6"/>
    <n v="0"/>
  </r>
  <r>
    <s v="ORD-10734"/>
    <d v="2026-07-28T00:00:00"/>
    <s v="CUST-1085"/>
    <s v="Customer 1295"/>
    <x v="1"/>
    <s v="Ahmedabad"/>
    <x v="18"/>
    <x v="3"/>
    <n v="3"/>
    <n v="1999"/>
    <n v="0"/>
    <s v="UPI"/>
    <x v="0"/>
    <d v="2026-08-04T00:00:00"/>
    <d v="2026-07-29T00:00:00"/>
    <n v="5997"/>
    <n v="0"/>
    <n v="5997"/>
    <n v="1"/>
    <x v="0"/>
    <s v="Jul"/>
    <x v="11"/>
    <n v="0"/>
  </r>
  <r>
    <s v="ORD-10735"/>
    <d v="2026-09-10T00:00:00"/>
    <s v="CUST-1246"/>
    <s v="Customer 1255"/>
    <x v="0"/>
    <s v="Bengaluru"/>
    <x v="10"/>
    <x v="0"/>
    <n v="3"/>
    <n v="1899"/>
    <n v="0"/>
    <s v="Net Banking"/>
    <x v="2"/>
    <d v="2026-09-16T00:00:00"/>
    <d v="2026-09-18T00:00:00"/>
    <n v="5697"/>
    <n v="0"/>
    <n v="5697"/>
    <n v="8"/>
    <x v="2"/>
    <s v="Sep"/>
    <x v="7"/>
    <n v="5697"/>
  </r>
  <r>
    <s v="ORD-10736"/>
    <d v="2026-04-08T00:00:00"/>
    <s v="CUST-1271"/>
    <s v="Customer 1022"/>
    <x v="0"/>
    <s v="Kochi"/>
    <x v="3"/>
    <x v="3"/>
    <n v="4"/>
    <n v="1799"/>
    <n v="0"/>
    <s v="Net Banking"/>
    <x v="2"/>
    <d v="2026-04-14T00:00:00"/>
    <d v="2026-04-10T00:00:00"/>
    <n v="7196"/>
    <n v="0"/>
    <n v="7196"/>
    <n v="2"/>
    <x v="0"/>
    <s v="Apr"/>
    <x v="0"/>
    <n v="7196"/>
  </r>
  <r>
    <s v="ORD-10737"/>
    <d v="2026-03-31T00:00:00"/>
    <s v="CUST-1088"/>
    <s v="Customer 1192"/>
    <x v="3"/>
    <s v="Bhubaneswar"/>
    <x v="1"/>
    <x v="1"/>
    <n v="1"/>
    <n v="599"/>
    <n v="0.05"/>
    <s v="COD"/>
    <x v="0"/>
    <d v="2026-04-02T00:00:00"/>
    <d v="2026-04-02T00:00:00"/>
    <n v="599"/>
    <n v="29.950000000000003"/>
    <n v="569.04999999999995"/>
    <n v="2"/>
    <x v="0"/>
    <s v="Mar"/>
    <x v="8"/>
    <n v="0"/>
  </r>
  <r>
    <s v="ORD-10738"/>
    <d v="2026-03-02T00:00:00"/>
    <s v="CUST-1292"/>
    <s v="Customer 1202"/>
    <x v="0"/>
    <s v="Hyderabad"/>
    <x v="7"/>
    <x v="2"/>
    <n v="1"/>
    <n v="3499"/>
    <n v="0.15"/>
    <s v="Debit Card"/>
    <x v="0"/>
    <d v="2026-03-05T00:00:00"/>
    <d v="2026-03-05T00:00:00"/>
    <n v="3499"/>
    <n v="524.85"/>
    <n v="2974.15"/>
    <n v="3"/>
    <x v="0"/>
    <s v="Mar"/>
    <x v="8"/>
    <n v="0"/>
  </r>
  <r>
    <s v="ORD-10739"/>
    <d v="2026-08-26T00:00:00"/>
    <s v="CUST-1153"/>
    <s v="Customer 1182"/>
    <x v="1"/>
    <s v="Ahmedabad"/>
    <x v="9"/>
    <x v="1"/>
    <n v="3"/>
    <n v="899"/>
    <n v="0.15"/>
    <s v="UPI"/>
    <x v="0"/>
    <d v="2026-08-28T00:00:00"/>
    <d v="2026-08-28T00:00:00"/>
    <n v="2697"/>
    <n v="404.55"/>
    <n v="2292.4499999999998"/>
    <n v="2"/>
    <x v="0"/>
    <s v="Aug"/>
    <x v="10"/>
    <n v="0"/>
  </r>
  <r>
    <s v="ORD-10740"/>
    <d v="2026-07-25T00:00:00"/>
    <s v="CUST-1079"/>
    <s v="Customer 1211"/>
    <x v="0"/>
    <s v="Bengaluru"/>
    <x v="0"/>
    <x v="0"/>
    <n v="1"/>
    <n v="1799"/>
    <n v="0"/>
    <s v="Net Banking"/>
    <x v="0"/>
    <d v="2026-07-28T00:00:00"/>
    <d v="2026-07-28T00:00:00"/>
    <n v="1799"/>
    <n v="0"/>
    <n v="1799"/>
    <n v="3"/>
    <x v="0"/>
    <s v="Jul"/>
    <x v="11"/>
    <n v="0"/>
  </r>
  <r>
    <s v="ORD-10741"/>
    <d v="2026-12-03T00:00:00"/>
    <s v="CUST-1275"/>
    <s v="Customer 1138"/>
    <x v="0"/>
    <s v="Kochi"/>
    <x v="4"/>
    <x v="3"/>
    <n v="1"/>
    <n v="1299"/>
    <n v="0.15"/>
    <s v="Net Banking"/>
    <x v="0"/>
    <d v="2026-12-07T00:00:00"/>
    <d v="2026-12-05T00:00:00"/>
    <n v="1299"/>
    <n v="194.85"/>
    <n v="1104.1500000000001"/>
    <n v="2"/>
    <x v="0"/>
    <s v="Dec"/>
    <x v="6"/>
    <n v="0"/>
  </r>
  <r>
    <s v="ORD-10742"/>
    <d v="2026-03-13T00:00:00"/>
    <s v="CUST-1146"/>
    <s v="Customer 1021"/>
    <x v="0"/>
    <s v="Kochi"/>
    <x v="20"/>
    <x v="4"/>
    <n v="1"/>
    <n v="599"/>
    <n v="0.15"/>
    <s v="UPI"/>
    <x v="0"/>
    <d v="2026-03-20T00:00:00"/>
    <d v="2026-03-15T00:00:00"/>
    <n v="599"/>
    <n v="89.85"/>
    <n v="509.15"/>
    <n v="2"/>
    <x v="0"/>
    <s v="Mar"/>
    <x v="8"/>
    <n v="0"/>
  </r>
  <r>
    <s v="ORD-10743"/>
    <d v="2026-01-17T00:00:00"/>
    <s v="CUST-1282"/>
    <s v="Customer 1254"/>
    <x v="1"/>
    <s v="Goa"/>
    <x v="15"/>
    <x v="4"/>
    <n v="1"/>
    <n v="749"/>
    <n v="0.05"/>
    <s v="Net Banking"/>
    <x v="2"/>
    <d v="2026-01-21T00:00:00"/>
    <d v="2026-01-21T00:00:00"/>
    <n v="749"/>
    <n v="37.450000000000003"/>
    <n v="711.55"/>
    <n v="4"/>
    <x v="0"/>
    <s v="Jan"/>
    <x v="9"/>
    <n v="711.55"/>
  </r>
  <r>
    <s v="ORD-10744"/>
    <d v="2026-07-19T00:00:00"/>
    <s v="CUST-1122"/>
    <s v="Customer 1027"/>
    <x v="1"/>
    <s v="Ahmedabad"/>
    <x v="24"/>
    <x v="4"/>
    <n v="1"/>
    <n v="1499"/>
    <n v="0"/>
    <s v="UPI"/>
    <x v="0"/>
    <d v="2026-07-22T00:00:00"/>
    <d v="2026-07-20T00:00:00"/>
    <n v="1499"/>
    <n v="0"/>
    <n v="1499"/>
    <n v="1"/>
    <x v="0"/>
    <s v="Jul"/>
    <x v="11"/>
    <n v="0"/>
  </r>
  <r>
    <s v="ORD-10745"/>
    <d v="2026-08-11T00:00:00"/>
    <s v="CUST-1262"/>
    <s v="Customer 1096"/>
    <x v="2"/>
    <s v="Chandigarh"/>
    <x v="9"/>
    <x v="1"/>
    <n v="2"/>
    <n v="899"/>
    <n v="0.1"/>
    <s v="Net Banking"/>
    <x v="0"/>
    <d v="2026-08-16T00:00:00"/>
    <d v="2026-08-13T00:00:00"/>
    <n v="1798"/>
    <n v="179.8"/>
    <n v="1618.2"/>
    <n v="2"/>
    <x v="0"/>
    <s v="Aug"/>
    <x v="10"/>
    <n v="0"/>
  </r>
  <r>
    <s v="ORD-10746"/>
    <d v="2026-12-25T00:00:00"/>
    <s v="CUST-1258"/>
    <s v="Customer 1093"/>
    <x v="1"/>
    <s v="Ahmedabad"/>
    <x v="18"/>
    <x v="3"/>
    <n v="1"/>
    <n v="1999"/>
    <n v="0.15"/>
    <s v="Credit Card"/>
    <x v="0"/>
    <d v="2027-01-01T00:00:00"/>
    <d v="2026-12-26T00:00:00"/>
    <n v="1999"/>
    <n v="299.84999999999997"/>
    <n v="1699.15"/>
    <n v="1"/>
    <x v="0"/>
    <s v="Dec"/>
    <x v="6"/>
    <n v="0"/>
  </r>
  <r>
    <s v="ORD-10747"/>
    <d v="2026-03-09T00:00:00"/>
    <s v="CUST-1047"/>
    <s v="Customer 1027"/>
    <x v="1"/>
    <s v="Pune"/>
    <x v="14"/>
    <x v="2"/>
    <n v="1"/>
    <n v="999"/>
    <n v="0.1"/>
    <s v="Credit Card"/>
    <x v="0"/>
    <d v="2026-03-14T00:00:00"/>
    <d v="2026-03-11T00:00:00"/>
    <n v="999"/>
    <n v="99.9"/>
    <n v="899.1"/>
    <n v="2"/>
    <x v="0"/>
    <s v="Mar"/>
    <x v="8"/>
    <n v="0"/>
  </r>
  <r>
    <s v="ORD-10748"/>
    <d v="2026-12-25T00:00:00"/>
    <s v="CUST-1219"/>
    <s v="Customer 1027"/>
    <x v="3"/>
    <s v="Guwahati"/>
    <x v="11"/>
    <x v="1"/>
    <n v="2"/>
    <n v="3299"/>
    <n v="0.05"/>
    <s v="Credit Card"/>
    <x v="0"/>
    <d v="2026-12-30T00:00:00"/>
    <d v="2026-12-30T00:00:00"/>
    <n v="6598"/>
    <n v="329.90000000000003"/>
    <n v="6268.1"/>
    <n v="5"/>
    <x v="0"/>
    <s v="Dec"/>
    <x v="6"/>
    <n v="0"/>
  </r>
  <r>
    <s v="ORD-10749"/>
    <d v="2026-05-24T00:00:00"/>
    <s v="CUST-1027"/>
    <s v="Customer 1165"/>
    <x v="2"/>
    <s v="Delhi"/>
    <x v="21"/>
    <x v="0"/>
    <n v="4"/>
    <n v="1999"/>
    <n v="0.15"/>
    <s v="Credit Card"/>
    <x v="0"/>
    <d v="2026-05-26T00:00:00"/>
    <d v="2026-05-25T00:00:00"/>
    <n v="7996"/>
    <n v="1199.3999999999999"/>
    <n v="6796.6"/>
    <n v="1"/>
    <x v="0"/>
    <s v="May"/>
    <x v="3"/>
    <n v="0"/>
  </r>
  <r>
    <s v="ORD-10750"/>
    <d v="2026-11-07T00:00:00"/>
    <s v="CUST-1050"/>
    <s v="Customer 1007"/>
    <x v="1"/>
    <s v="Ahmedabad"/>
    <x v="15"/>
    <x v="4"/>
    <n v="1"/>
    <n v="749"/>
    <n v="0.05"/>
    <s v="Debit Card"/>
    <x v="0"/>
    <d v="2026-11-11T00:00:00"/>
    <d v="2026-11-08T00:00:00"/>
    <n v="749"/>
    <n v="37.450000000000003"/>
    <n v="711.55"/>
    <n v="1"/>
    <x v="0"/>
    <s v="Nov"/>
    <x v="1"/>
    <n v="0"/>
  </r>
  <r>
    <s v="ORD-10751"/>
    <d v="2026-10-29T00:00:00"/>
    <s v="CUST-1045"/>
    <s v="Customer 1055"/>
    <x v="1"/>
    <s v="Ahmedabad"/>
    <x v="21"/>
    <x v="0"/>
    <n v="2"/>
    <n v="1999"/>
    <n v="0.1"/>
    <s v="Credit Card"/>
    <x v="2"/>
    <d v="2026-11-02T00:00:00"/>
    <d v="2026-11-02T00:00:00"/>
    <n v="3998"/>
    <n v="399.8"/>
    <n v="3598.2"/>
    <n v="4"/>
    <x v="0"/>
    <s v="Oct"/>
    <x v="5"/>
    <n v="3598.2"/>
  </r>
  <r>
    <s v="ORD-10752"/>
    <d v="2026-12-02T00:00:00"/>
    <s v="CUST-1155"/>
    <s v="Customer 1243"/>
    <x v="1"/>
    <s v="Mumbai"/>
    <x v="3"/>
    <x v="3"/>
    <n v="3"/>
    <n v="1799"/>
    <n v="0.05"/>
    <s v="Net Banking"/>
    <x v="0"/>
    <d v="2026-12-04T00:00:00"/>
    <d v="2026-12-07T00:00:00"/>
    <n v="5397"/>
    <n v="269.85000000000002"/>
    <n v="5127.1499999999996"/>
    <n v="5"/>
    <x v="2"/>
    <s v="Dec"/>
    <x v="6"/>
    <n v="0"/>
  </r>
  <r>
    <s v="ORD-10753"/>
    <d v="2026-04-09T00:00:00"/>
    <s v="CUST-1224"/>
    <s v="Customer 1035"/>
    <x v="1"/>
    <s v="Pune"/>
    <x v="4"/>
    <x v="3"/>
    <n v="1"/>
    <n v="1299"/>
    <n v="0.1"/>
    <s v="COD"/>
    <x v="0"/>
    <d v="2026-04-13T00:00:00"/>
    <d v="2026-04-10T00:00:00"/>
    <n v="1299"/>
    <n v="129.9"/>
    <n v="1169.0999999999999"/>
    <n v="1"/>
    <x v="0"/>
    <s v="Apr"/>
    <x v="0"/>
    <n v="0"/>
  </r>
  <r>
    <s v="ORD-10754"/>
    <d v="2026-01-12T00:00:00"/>
    <s v="CUST-1098"/>
    <s v="Customer 1204"/>
    <x v="3"/>
    <s v="Guwahati"/>
    <x v="22"/>
    <x v="1"/>
    <n v="1"/>
    <n v="1199"/>
    <n v="0.1"/>
    <s v="Credit Card"/>
    <x v="0"/>
    <d v="2026-01-14T00:00:00"/>
    <d v="2026-01-15T00:00:00"/>
    <n v="1199"/>
    <n v="119.9"/>
    <n v="1079.0999999999999"/>
    <n v="3"/>
    <x v="2"/>
    <s v="Jan"/>
    <x v="9"/>
    <n v="0"/>
  </r>
  <r>
    <s v="ORD-10755"/>
    <d v="2026-09-18T00:00:00"/>
    <s v="CUST-1106"/>
    <s v="Customer 1095"/>
    <x v="3"/>
    <s v="Kolkata"/>
    <x v="12"/>
    <x v="2"/>
    <n v="1"/>
    <n v="1599"/>
    <n v="0.15"/>
    <s v="Net Banking"/>
    <x v="1"/>
    <d v="2026-09-22T00:00:00"/>
    <m/>
    <n v="1599"/>
    <n v="239.85"/>
    <n v="1359.15"/>
    <s v=""/>
    <x v="1"/>
    <s v="Sep"/>
    <x v="7"/>
    <n v="0"/>
  </r>
  <r>
    <s v="ORD-10756"/>
    <d v="2026-10-31T00:00:00"/>
    <s v="CUST-1269"/>
    <s v="Customer 1133"/>
    <x v="0"/>
    <s v="Chennai"/>
    <x v="1"/>
    <x v="1"/>
    <n v="2"/>
    <n v="599"/>
    <n v="0.2"/>
    <s v="Net Banking"/>
    <x v="1"/>
    <d v="2026-11-07T00:00:00"/>
    <m/>
    <n v="1198"/>
    <n v="239.60000000000002"/>
    <n v="958.4"/>
    <s v=""/>
    <x v="1"/>
    <s v="Oct"/>
    <x v="5"/>
    <n v="0"/>
  </r>
  <r>
    <s v="ORD-10757"/>
    <d v="2026-10-10T00:00:00"/>
    <s v="CUST-1150"/>
    <s v="Customer 1021"/>
    <x v="2"/>
    <s v="Jaipur"/>
    <x v="21"/>
    <x v="0"/>
    <n v="1"/>
    <n v="1999"/>
    <n v="0.05"/>
    <s v="UPI"/>
    <x v="1"/>
    <d v="2026-10-13T00:00:00"/>
    <m/>
    <n v="1999"/>
    <n v="99.95"/>
    <n v="1899.05"/>
    <s v=""/>
    <x v="1"/>
    <s v="Oct"/>
    <x v="5"/>
    <n v="0"/>
  </r>
  <r>
    <s v="ORD-10758"/>
    <d v="2026-01-27T00:00:00"/>
    <s v="CUST-1001"/>
    <s v="Customer 1178"/>
    <x v="1"/>
    <s v="Ahmedabad"/>
    <x v="16"/>
    <x v="2"/>
    <n v="2"/>
    <n v="899"/>
    <n v="0.05"/>
    <s v="Credit Card"/>
    <x v="1"/>
    <d v="2026-01-29T00:00:00"/>
    <m/>
    <n v="1798"/>
    <n v="89.9"/>
    <n v="1708.1"/>
    <s v=""/>
    <x v="1"/>
    <s v="Jan"/>
    <x v="9"/>
    <n v="0"/>
  </r>
  <r>
    <s v="ORD-10759"/>
    <d v="2026-05-16T00:00:00"/>
    <s v="CUST-1183"/>
    <s v="Customer 1113"/>
    <x v="2"/>
    <s v="Lucknow"/>
    <x v="3"/>
    <x v="3"/>
    <n v="2"/>
    <n v="1799"/>
    <n v="0.15"/>
    <s v="COD"/>
    <x v="0"/>
    <d v="2026-05-20T00:00:00"/>
    <d v="2026-05-21T00:00:00"/>
    <n v="3598"/>
    <n v="539.69999999999993"/>
    <n v="3058.3"/>
    <n v="5"/>
    <x v="2"/>
    <s v="May"/>
    <x v="3"/>
    <n v="0"/>
  </r>
  <r>
    <s v="ORD-10760"/>
    <d v="2026-10-03T00:00:00"/>
    <s v="CUST-1132"/>
    <s v="Customer 1283"/>
    <x v="2"/>
    <s v="Jaipur"/>
    <x v="6"/>
    <x v="0"/>
    <n v="2"/>
    <n v="699"/>
    <n v="0.2"/>
    <s v="UPI"/>
    <x v="2"/>
    <d v="2026-10-10T00:00:00"/>
    <d v="2026-10-09T00:00:00"/>
    <n v="1398"/>
    <n v="279.60000000000002"/>
    <n v="1118.4000000000001"/>
    <n v="6"/>
    <x v="0"/>
    <s v="Oct"/>
    <x v="5"/>
    <n v="1118.4000000000001"/>
  </r>
  <r>
    <s v="ORD-10761"/>
    <d v="2026-05-18T00:00:00"/>
    <s v="CUST-1189"/>
    <s v="Customer 1076"/>
    <x v="1"/>
    <s v="Goa"/>
    <x v="16"/>
    <x v="2"/>
    <n v="1"/>
    <n v="899"/>
    <n v="0.15"/>
    <s v="Credit Card"/>
    <x v="0"/>
    <d v="2026-05-21T00:00:00"/>
    <d v="2026-05-20T00:00:00"/>
    <n v="899"/>
    <n v="134.85"/>
    <n v="764.15"/>
    <n v="2"/>
    <x v="0"/>
    <s v="May"/>
    <x v="3"/>
    <n v="0"/>
  </r>
  <r>
    <s v="ORD-10762"/>
    <d v="2026-08-24T00:00:00"/>
    <s v="CUST-1093"/>
    <s v="Customer 1145"/>
    <x v="3"/>
    <s v="Kolkata"/>
    <x v="20"/>
    <x v="4"/>
    <n v="1"/>
    <n v="599"/>
    <n v="0.05"/>
    <s v="Credit Card"/>
    <x v="1"/>
    <d v="2026-08-29T00:00:00"/>
    <m/>
    <n v="599"/>
    <n v="29.950000000000003"/>
    <n v="569.04999999999995"/>
    <s v=""/>
    <x v="1"/>
    <s v="Aug"/>
    <x v="10"/>
    <n v="0"/>
  </r>
  <r>
    <s v="ORD-10763"/>
    <d v="2026-07-21T00:00:00"/>
    <s v="CUST-1207"/>
    <s v="Customer 1052"/>
    <x v="0"/>
    <s v="Hyderabad"/>
    <x v="2"/>
    <x v="2"/>
    <n v="2"/>
    <n v="699"/>
    <n v="0.05"/>
    <s v="UPI"/>
    <x v="0"/>
    <d v="2026-07-23T00:00:00"/>
    <d v="2026-07-23T00:00:00"/>
    <n v="1398"/>
    <n v="69.900000000000006"/>
    <n v="1328.1"/>
    <n v="2"/>
    <x v="0"/>
    <s v="Jul"/>
    <x v="11"/>
    <n v="0"/>
  </r>
  <r>
    <s v="ORD-10764"/>
    <d v="2026-07-13T00:00:00"/>
    <s v="CUST-1128"/>
    <s v="Customer 1043"/>
    <x v="1"/>
    <s v="Mumbai"/>
    <x v="9"/>
    <x v="1"/>
    <n v="1"/>
    <n v="899"/>
    <n v="0"/>
    <s v="UPI"/>
    <x v="3"/>
    <d v="2026-07-20T00:00:00"/>
    <d v="2026-07-22T00:00:00"/>
    <n v="899"/>
    <n v="0"/>
    <n v="899"/>
    <n v="9"/>
    <x v="2"/>
    <s v="Jul"/>
    <x v="11"/>
    <n v="0"/>
  </r>
  <r>
    <s v="ORD-10765"/>
    <d v="2026-01-05T00:00:00"/>
    <s v="CUST-1104"/>
    <s v="Customer 1072"/>
    <x v="2"/>
    <s v="Jaipur"/>
    <x v="9"/>
    <x v="1"/>
    <n v="4"/>
    <n v="899"/>
    <n v="0"/>
    <s v="COD"/>
    <x v="2"/>
    <d v="2026-01-09T00:00:00"/>
    <d v="2026-01-06T00:00:00"/>
    <n v="3596"/>
    <n v="0"/>
    <n v="3596"/>
    <n v="1"/>
    <x v="0"/>
    <s v="Jan"/>
    <x v="9"/>
    <n v="3596"/>
  </r>
  <r>
    <s v="ORD-10766"/>
    <d v="2026-06-19T00:00:00"/>
    <s v="CUST-1137"/>
    <s v="Customer 1279"/>
    <x v="3"/>
    <s v="Guwahati"/>
    <x v="16"/>
    <x v="2"/>
    <n v="2"/>
    <n v="899"/>
    <n v="0.05"/>
    <s v="UPI"/>
    <x v="1"/>
    <d v="2026-06-26T00:00:00"/>
    <m/>
    <n v="1798"/>
    <n v="89.9"/>
    <n v="1708.1"/>
    <s v=""/>
    <x v="1"/>
    <s v="Jun"/>
    <x v="2"/>
    <n v="0"/>
  </r>
  <r>
    <s v="ORD-10767"/>
    <d v="2026-10-06T00:00:00"/>
    <s v="CUST-1117"/>
    <s v="Customer 1219"/>
    <x v="0"/>
    <s v="Bengaluru"/>
    <x v="8"/>
    <x v="3"/>
    <n v="1"/>
    <n v="799"/>
    <n v="0.2"/>
    <s v="Net Banking"/>
    <x v="0"/>
    <d v="2026-10-08T00:00:00"/>
    <d v="2026-10-09T00:00:00"/>
    <n v="799"/>
    <n v="159.80000000000001"/>
    <n v="639.20000000000005"/>
    <n v="3"/>
    <x v="2"/>
    <s v="Oct"/>
    <x v="5"/>
    <n v="0"/>
  </r>
  <r>
    <s v="ORD-10768"/>
    <d v="2026-04-26T00:00:00"/>
    <s v="CUST-1053"/>
    <s v="Customer 1145"/>
    <x v="3"/>
    <s v="Bhubaneswar"/>
    <x v="21"/>
    <x v="0"/>
    <n v="4"/>
    <n v="1999"/>
    <n v="0.15"/>
    <s v="UPI"/>
    <x v="0"/>
    <d v="2026-04-29T00:00:00"/>
    <d v="2026-05-01T00:00:00"/>
    <n v="7996"/>
    <n v="1199.3999999999999"/>
    <n v="6796.6"/>
    <n v="5"/>
    <x v="2"/>
    <s v="Apr"/>
    <x v="0"/>
    <n v="0"/>
  </r>
  <r>
    <s v="ORD-10769"/>
    <d v="2026-03-02T00:00:00"/>
    <s v="CUST-1092"/>
    <s v="Customer 1220"/>
    <x v="2"/>
    <s v="Delhi"/>
    <x v="11"/>
    <x v="1"/>
    <n v="1"/>
    <n v="3299"/>
    <n v="0"/>
    <s v="UPI"/>
    <x v="1"/>
    <d v="2026-03-05T00:00:00"/>
    <m/>
    <n v="3299"/>
    <n v="0"/>
    <n v="3299"/>
    <s v=""/>
    <x v="1"/>
    <s v="Mar"/>
    <x v="8"/>
    <n v="0"/>
  </r>
  <r>
    <s v="ORD-10770"/>
    <d v="2026-12-08T00:00:00"/>
    <s v="CUST-1189"/>
    <s v="Customer 1136"/>
    <x v="2"/>
    <s v="Jaipur"/>
    <x v="20"/>
    <x v="4"/>
    <n v="2"/>
    <n v="599"/>
    <n v="0.2"/>
    <s v="Debit Card"/>
    <x v="0"/>
    <d v="2026-12-10T00:00:00"/>
    <d v="2026-12-10T00:00:00"/>
    <n v="1198"/>
    <n v="239.60000000000002"/>
    <n v="958.4"/>
    <n v="2"/>
    <x v="0"/>
    <s v="Dec"/>
    <x v="6"/>
    <n v="0"/>
  </r>
  <r>
    <s v="ORD-10771"/>
    <d v="2026-06-13T00:00:00"/>
    <s v="CUST-1143"/>
    <s v="Customer 1075"/>
    <x v="0"/>
    <s v="Bengaluru"/>
    <x v="2"/>
    <x v="2"/>
    <n v="1"/>
    <n v="699"/>
    <n v="0.15"/>
    <s v="Net Banking"/>
    <x v="3"/>
    <d v="2026-06-15T00:00:00"/>
    <d v="2026-06-15T00:00:00"/>
    <n v="699"/>
    <n v="104.85"/>
    <n v="594.15"/>
    <n v="2"/>
    <x v="0"/>
    <s v="Jun"/>
    <x v="2"/>
    <n v="0"/>
  </r>
  <r>
    <s v="ORD-10772"/>
    <d v="2026-07-17T00:00:00"/>
    <s v="CUST-1071"/>
    <s v="Customer 1126"/>
    <x v="0"/>
    <s v="Hyderabad"/>
    <x v="2"/>
    <x v="2"/>
    <n v="1"/>
    <n v="699"/>
    <n v="0.15"/>
    <s v="Net Banking"/>
    <x v="0"/>
    <d v="2026-07-24T00:00:00"/>
    <d v="2026-07-27T00:00:00"/>
    <n v="699"/>
    <n v="104.85"/>
    <n v="594.15"/>
    <n v="10"/>
    <x v="2"/>
    <s v="Jul"/>
    <x v="11"/>
    <n v="0"/>
  </r>
  <r>
    <s v="ORD-10773"/>
    <d v="2026-10-03T00:00:00"/>
    <s v="CUST-1216"/>
    <s v="Customer 1270"/>
    <x v="3"/>
    <s v="Guwahati"/>
    <x v="13"/>
    <x v="1"/>
    <n v="2"/>
    <n v="2499"/>
    <n v="0.2"/>
    <s v="COD"/>
    <x v="3"/>
    <d v="2026-10-06T00:00:00"/>
    <d v="2026-10-06T00:00:00"/>
    <n v="4998"/>
    <n v="999.6"/>
    <n v="3998.4"/>
    <n v="3"/>
    <x v="0"/>
    <s v="Oct"/>
    <x v="5"/>
    <n v="0"/>
  </r>
  <r>
    <s v="ORD-10774"/>
    <d v="2026-01-02T00:00:00"/>
    <s v="CUST-1069"/>
    <s v="Customer 1057"/>
    <x v="1"/>
    <s v="Mumbai"/>
    <x v="16"/>
    <x v="2"/>
    <n v="1"/>
    <n v="899"/>
    <n v="0"/>
    <s v="Debit Card"/>
    <x v="1"/>
    <d v="2026-01-07T00:00:00"/>
    <m/>
    <n v="899"/>
    <n v="0"/>
    <n v="899"/>
    <s v=""/>
    <x v="1"/>
    <s v="Jan"/>
    <x v="9"/>
    <n v="0"/>
  </r>
  <r>
    <s v="ORD-10775"/>
    <d v="2026-05-31T00:00:00"/>
    <s v="CUST-1071"/>
    <s v="Customer 1061"/>
    <x v="0"/>
    <s v="Hyderabad"/>
    <x v="0"/>
    <x v="0"/>
    <n v="2"/>
    <n v="1799"/>
    <n v="0.2"/>
    <s v="Net Banking"/>
    <x v="0"/>
    <d v="2026-06-03T00:00:00"/>
    <d v="2026-06-01T00:00:00"/>
    <n v="3598"/>
    <n v="719.6"/>
    <n v="2878.4"/>
    <n v="1"/>
    <x v="0"/>
    <s v="May"/>
    <x v="3"/>
    <n v="0"/>
  </r>
  <r>
    <s v="ORD-10776"/>
    <d v="2026-07-10T00:00:00"/>
    <s v="CUST-1016"/>
    <s v="Customer 1076"/>
    <x v="1"/>
    <s v="Goa"/>
    <x v="19"/>
    <x v="3"/>
    <n v="1"/>
    <n v="1499"/>
    <n v="0"/>
    <s v="COD"/>
    <x v="0"/>
    <d v="2026-07-15T00:00:00"/>
    <d v="2026-07-12T00:00:00"/>
    <n v="1499"/>
    <n v="0"/>
    <n v="1499"/>
    <n v="2"/>
    <x v="0"/>
    <s v="Jul"/>
    <x v="11"/>
    <n v="0"/>
  </r>
  <r>
    <s v="ORD-10777"/>
    <d v="2026-02-09T00:00:00"/>
    <s v="CUST-1271"/>
    <s v="Customer 1154"/>
    <x v="2"/>
    <s v="Jaipur"/>
    <x v="4"/>
    <x v="3"/>
    <n v="1"/>
    <n v="1299"/>
    <n v="0.15"/>
    <s v="Credit Card"/>
    <x v="3"/>
    <d v="2026-02-12T00:00:00"/>
    <d v="2026-02-10T00:00:00"/>
    <n v="1299"/>
    <n v="194.85"/>
    <n v="1104.1500000000001"/>
    <n v="1"/>
    <x v="0"/>
    <s v="Feb"/>
    <x v="4"/>
    <n v="0"/>
  </r>
  <r>
    <s v="ORD-10778"/>
    <d v="2026-11-27T00:00:00"/>
    <s v="CUST-1089"/>
    <s v="Customer 1258"/>
    <x v="3"/>
    <s v="Guwahati"/>
    <x v="23"/>
    <x v="0"/>
    <n v="2"/>
    <n v="2999"/>
    <n v="0.1"/>
    <s v="UPI"/>
    <x v="0"/>
    <d v="2026-11-29T00:00:00"/>
    <d v="2026-11-30T00:00:00"/>
    <n v="5998"/>
    <n v="599.80000000000007"/>
    <n v="5398.2"/>
    <n v="3"/>
    <x v="2"/>
    <s v="Nov"/>
    <x v="1"/>
    <n v="0"/>
  </r>
  <r>
    <s v="ORD-10779"/>
    <d v="2026-12-15T00:00:00"/>
    <s v="CUST-1117"/>
    <s v="Customer 1217"/>
    <x v="1"/>
    <s v="Mumbai"/>
    <x v="5"/>
    <x v="4"/>
    <n v="4"/>
    <n v="499"/>
    <n v="0.15"/>
    <s v="COD"/>
    <x v="2"/>
    <d v="2026-12-19T00:00:00"/>
    <d v="2026-12-22T00:00:00"/>
    <n v="1996"/>
    <n v="299.39999999999998"/>
    <n v="1696.6"/>
    <n v="7"/>
    <x v="2"/>
    <s v="Dec"/>
    <x v="6"/>
    <n v="1696.6"/>
  </r>
  <r>
    <s v="ORD-10780"/>
    <d v="2026-07-13T00:00:00"/>
    <s v="CUST-1095"/>
    <s v="Customer 1287"/>
    <x v="1"/>
    <s v="Ahmedabad"/>
    <x v="3"/>
    <x v="3"/>
    <n v="5"/>
    <n v="1799"/>
    <n v="0.05"/>
    <s v="Credit Card"/>
    <x v="0"/>
    <d v="2026-07-19T00:00:00"/>
    <d v="2026-07-17T00:00:00"/>
    <n v="8995"/>
    <n v="449.75"/>
    <n v="8545.25"/>
    <n v="4"/>
    <x v="0"/>
    <s v="Jul"/>
    <x v="11"/>
    <n v="0"/>
  </r>
  <r>
    <s v="ORD-10781"/>
    <d v="2026-12-01T00:00:00"/>
    <s v="CUST-1139"/>
    <s v="Customer 1056"/>
    <x v="0"/>
    <s v="Kochi"/>
    <x v="15"/>
    <x v="4"/>
    <n v="2"/>
    <n v="749"/>
    <n v="0.15"/>
    <s v="Credit Card"/>
    <x v="0"/>
    <d v="2026-12-05T00:00:00"/>
    <d v="2026-12-03T00:00:00"/>
    <n v="1498"/>
    <n v="224.7"/>
    <n v="1273.3"/>
    <n v="2"/>
    <x v="0"/>
    <s v="Dec"/>
    <x v="6"/>
    <n v="0"/>
  </r>
  <r>
    <s v="ORD-10782"/>
    <d v="2026-06-21T00:00:00"/>
    <s v="CUST-1034"/>
    <s v="Customer 1109"/>
    <x v="0"/>
    <s v="Bengaluru"/>
    <x v="10"/>
    <x v="0"/>
    <n v="1"/>
    <n v="1899"/>
    <n v="0.1"/>
    <s v="Credit Card"/>
    <x v="1"/>
    <d v="2026-06-23T00:00:00"/>
    <m/>
    <n v="1899"/>
    <n v="189.9"/>
    <n v="1709.1"/>
    <s v=""/>
    <x v="1"/>
    <s v="Jun"/>
    <x v="2"/>
    <n v="0"/>
  </r>
  <r>
    <s v="ORD-10783"/>
    <d v="2026-04-14T00:00:00"/>
    <s v="CUST-1289"/>
    <s v="Customer 1248"/>
    <x v="0"/>
    <s v="Hyderabad"/>
    <x v="7"/>
    <x v="2"/>
    <n v="2"/>
    <n v="3499"/>
    <n v="0"/>
    <s v="Credit Card"/>
    <x v="0"/>
    <d v="2026-04-16T00:00:00"/>
    <d v="2026-04-17T00:00:00"/>
    <n v="6998"/>
    <n v="0"/>
    <n v="6998"/>
    <n v="3"/>
    <x v="2"/>
    <s v="Apr"/>
    <x v="0"/>
    <n v="0"/>
  </r>
  <r>
    <s v="ORD-10784"/>
    <d v="2026-06-08T00:00:00"/>
    <s v="CUST-1183"/>
    <s v="Customer 1067"/>
    <x v="0"/>
    <s v="Bengaluru"/>
    <x v="6"/>
    <x v="0"/>
    <n v="1"/>
    <n v="699"/>
    <n v="0.1"/>
    <s v="Debit Card"/>
    <x v="0"/>
    <d v="2026-06-14T00:00:00"/>
    <d v="2026-06-12T00:00:00"/>
    <n v="699"/>
    <n v="69.900000000000006"/>
    <n v="629.1"/>
    <n v="4"/>
    <x v="0"/>
    <s v="Jun"/>
    <x v="2"/>
    <n v="0"/>
  </r>
  <r>
    <s v="ORD-10785"/>
    <d v="2026-02-21T00:00:00"/>
    <s v="CUST-1245"/>
    <s v="Customer 1020"/>
    <x v="0"/>
    <s v="Hyderabad"/>
    <x v="24"/>
    <x v="4"/>
    <n v="2"/>
    <n v="1499"/>
    <n v="0.05"/>
    <s v="UPI"/>
    <x v="1"/>
    <d v="2026-02-26T00:00:00"/>
    <m/>
    <n v="2998"/>
    <n v="149.9"/>
    <n v="2848.1"/>
    <s v=""/>
    <x v="1"/>
    <s v="Feb"/>
    <x v="4"/>
    <n v="0"/>
  </r>
  <r>
    <s v="ORD-10786"/>
    <d v="2026-02-10T00:00:00"/>
    <s v="CUST-1083"/>
    <s v="Customer 1257"/>
    <x v="2"/>
    <s v="Jaipur"/>
    <x v="12"/>
    <x v="2"/>
    <n v="3"/>
    <n v="1599"/>
    <n v="0"/>
    <s v="Credit Card"/>
    <x v="0"/>
    <d v="2026-02-17T00:00:00"/>
    <d v="2026-02-17T00:00:00"/>
    <n v="4797"/>
    <n v="0"/>
    <n v="4797"/>
    <n v="7"/>
    <x v="0"/>
    <s v="Feb"/>
    <x v="4"/>
    <n v="0"/>
  </r>
  <r>
    <s v="ORD-10787"/>
    <d v="2026-05-29T00:00:00"/>
    <s v="CUST-1039"/>
    <s v="Customer 1079"/>
    <x v="2"/>
    <s v="Chandigarh"/>
    <x v="16"/>
    <x v="2"/>
    <n v="1"/>
    <n v="899"/>
    <n v="0.15"/>
    <s v="UPI"/>
    <x v="2"/>
    <d v="2026-06-05T00:00:00"/>
    <d v="2026-05-31T00:00:00"/>
    <n v="899"/>
    <n v="134.85"/>
    <n v="764.15"/>
    <n v="2"/>
    <x v="0"/>
    <s v="May"/>
    <x v="3"/>
    <n v="764.15"/>
  </r>
  <r>
    <s v="ORD-10788"/>
    <d v="2026-06-08T00:00:00"/>
    <s v="CUST-1083"/>
    <s v="Customer 1035"/>
    <x v="3"/>
    <s v="Kolkata"/>
    <x v="4"/>
    <x v="3"/>
    <n v="2"/>
    <n v="1299"/>
    <n v="0"/>
    <s v="Net Banking"/>
    <x v="0"/>
    <d v="2026-06-13T00:00:00"/>
    <d v="2026-06-11T00:00:00"/>
    <n v="2598"/>
    <n v="0"/>
    <n v="2598"/>
    <n v="3"/>
    <x v="0"/>
    <s v="Jun"/>
    <x v="2"/>
    <n v="0"/>
  </r>
  <r>
    <s v="ORD-10789"/>
    <d v="2026-02-06T00:00:00"/>
    <s v="CUST-1072"/>
    <s v="Customer 1064"/>
    <x v="2"/>
    <s v="Lucknow"/>
    <x v="6"/>
    <x v="0"/>
    <n v="1"/>
    <n v="699"/>
    <n v="0.15"/>
    <s v="Debit Card"/>
    <x v="0"/>
    <d v="2026-02-10T00:00:00"/>
    <d v="2026-02-10T00:00:00"/>
    <n v="699"/>
    <n v="104.85"/>
    <n v="594.15"/>
    <n v="4"/>
    <x v="0"/>
    <s v="Feb"/>
    <x v="4"/>
    <n v="0"/>
  </r>
  <r>
    <s v="ORD-10790"/>
    <d v="2026-07-25T00:00:00"/>
    <s v="CUST-1192"/>
    <s v="Customer 1043"/>
    <x v="3"/>
    <s v="Kolkata"/>
    <x v="21"/>
    <x v="0"/>
    <n v="1"/>
    <n v="1999"/>
    <n v="0.2"/>
    <s v="Credit Card"/>
    <x v="0"/>
    <d v="2026-07-29T00:00:00"/>
    <d v="2026-07-28T00:00:00"/>
    <n v="1999"/>
    <n v="399.8"/>
    <n v="1599.2"/>
    <n v="3"/>
    <x v="0"/>
    <s v="Jul"/>
    <x v="11"/>
    <n v="0"/>
  </r>
  <r>
    <s v="ORD-10791"/>
    <d v="2026-11-14T00:00:00"/>
    <s v="CUST-1149"/>
    <s v="Customer 1193"/>
    <x v="3"/>
    <s v="Guwahati"/>
    <x v="6"/>
    <x v="0"/>
    <n v="5"/>
    <n v="699"/>
    <n v="0"/>
    <s v="Credit Card"/>
    <x v="2"/>
    <d v="2026-11-20T00:00:00"/>
    <d v="2026-11-15T00:00:00"/>
    <n v="3495"/>
    <n v="0"/>
    <n v="3495"/>
    <n v="1"/>
    <x v="0"/>
    <s v="Nov"/>
    <x v="1"/>
    <n v="3495"/>
  </r>
  <r>
    <s v="ORD-10792"/>
    <d v="2026-07-18T00:00:00"/>
    <s v="CUST-1056"/>
    <s v="Customer 1044"/>
    <x v="1"/>
    <s v="Goa"/>
    <x v="4"/>
    <x v="3"/>
    <n v="3"/>
    <n v="1299"/>
    <n v="0"/>
    <s v="Debit Card"/>
    <x v="0"/>
    <d v="2026-07-23T00:00:00"/>
    <d v="2026-07-22T00:00:00"/>
    <n v="3897"/>
    <n v="0"/>
    <n v="3897"/>
    <n v="4"/>
    <x v="0"/>
    <s v="Jul"/>
    <x v="11"/>
    <n v="0"/>
  </r>
  <r>
    <s v="ORD-10793"/>
    <d v="2026-04-13T00:00:00"/>
    <s v="CUST-1244"/>
    <s v="Customer 1059"/>
    <x v="1"/>
    <s v="Mumbai"/>
    <x v="5"/>
    <x v="4"/>
    <n v="1"/>
    <n v="499"/>
    <n v="0"/>
    <s v="Debit Card"/>
    <x v="0"/>
    <d v="2026-04-19T00:00:00"/>
    <d v="2026-04-19T00:00:00"/>
    <n v="499"/>
    <n v="0"/>
    <n v="499"/>
    <n v="6"/>
    <x v="0"/>
    <s v="Apr"/>
    <x v="0"/>
    <n v="0"/>
  </r>
  <r>
    <s v="ORD-10794"/>
    <d v="2026-03-21T00:00:00"/>
    <s v="CUST-1195"/>
    <s v="Customer 1032"/>
    <x v="2"/>
    <s v="Chandigarh"/>
    <x v="3"/>
    <x v="3"/>
    <n v="4"/>
    <n v="1799"/>
    <n v="0.05"/>
    <s v="Credit Card"/>
    <x v="0"/>
    <d v="2026-03-27T00:00:00"/>
    <d v="2026-03-26T00:00:00"/>
    <n v="7196"/>
    <n v="359.8"/>
    <n v="6836.2"/>
    <n v="5"/>
    <x v="0"/>
    <s v="Mar"/>
    <x v="8"/>
    <n v="0"/>
  </r>
  <r>
    <s v="ORD-10795"/>
    <d v="2026-01-28T00:00:00"/>
    <s v="CUST-1073"/>
    <s v="Customer 1036"/>
    <x v="2"/>
    <s v="Chandigarh"/>
    <x v="20"/>
    <x v="4"/>
    <n v="1"/>
    <n v="599"/>
    <n v="0"/>
    <s v="Net Banking"/>
    <x v="0"/>
    <d v="2026-02-01T00:00:00"/>
    <d v="2026-01-29T00:00:00"/>
    <n v="599"/>
    <n v="0"/>
    <n v="599"/>
    <n v="1"/>
    <x v="0"/>
    <s v="Jan"/>
    <x v="9"/>
    <n v="0"/>
  </r>
  <r>
    <s v="ORD-10796"/>
    <d v="2026-12-31T00:00:00"/>
    <s v="CUST-1028"/>
    <s v="Customer 1048"/>
    <x v="2"/>
    <s v="Chandigarh"/>
    <x v="18"/>
    <x v="3"/>
    <n v="2"/>
    <n v="1999"/>
    <n v="0.15"/>
    <s v="COD"/>
    <x v="0"/>
    <d v="2027-01-07T00:00:00"/>
    <d v="2027-01-09T00:00:00"/>
    <n v="3998"/>
    <n v="599.69999999999993"/>
    <n v="3398.3"/>
    <n v="9"/>
    <x v="2"/>
    <s v="Dec"/>
    <x v="6"/>
    <n v="0"/>
  </r>
  <r>
    <s v="ORD-10797"/>
    <d v="2026-04-12T00:00:00"/>
    <s v="CUST-1224"/>
    <s v="Customer 1182"/>
    <x v="3"/>
    <s v="Patna"/>
    <x v="0"/>
    <x v="0"/>
    <n v="1"/>
    <n v="1799"/>
    <n v="0.15"/>
    <s v="Net Banking"/>
    <x v="0"/>
    <d v="2026-04-18T00:00:00"/>
    <d v="2026-04-14T00:00:00"/>
    <n v="1799"/>
    <n v="269.84999999999997"/>
    <n v="1529.15"/>
    <n v="2"/>
    <x v="0"/>
    <s v="Apr"/>
    <x v="0"/>
    <n v="0"/>
  </r>
  <r>
    <s v="ORD-10798"/>
    <d v="2026-04-12T00:00:00"/>
    <s v="CUST-1008"/>
    <s v="Customer 1078"/>
    <x v="3"/>
    <s v="Kolkata"/>
    <x v="22"/>
    <x v="1"/>
    <n v="1"/>
    <n v="1199"/>
    <n v="0.2"/>
    <s v="COD"/>
    <x v="0"/>
    <d v="2026-04-16T00:00:00"/>
    <d v="2026-04-15T00:00:00"/>
    <n v="1199"/>
    <n v="239.8"/>
    <n v="959.2"/>
    <n v="3"/>
    <x v="0"/>
    <s v="Apr"/>
    <x v="0"/>
    <n v="0"/>
  </r>
  <r>
    <s v="ORD-10799"/>
    <d v="2026-02-28T00:00:00"/>
    <s v="CUST-1002"/>
    <s v="Customer 1231"/>
    <x v="3"/>
    <s v="Bhubaneswar"/>
    <x v="15"/>
    <x v="4"/>
    <n v="3"/>
    <n v="749"/>
    <n v="0.15"/>
    <s v="Debit Card"/>
    <x v="1"/>
    <d v="2026-03-07T00:00:00"/>
    <m/>
    <n v="2247"/>
    <n v="337.05"/>
    <n v="1909.95"/>
    <s v=""/>
    <x v="1"/>
    <s v="Feb"/>
    <x v="4"/>
    <n v="0"/>
  </r>
  <r>
    <s v="ORD-10800"/>
    <d v="2026-01-19T00:00:00"/>
    <s v="CUST-1194"/>
    <s v="Customer 1111"/>
    <x v="1"/>
    <s v="Goa"/>
    <x v="9"/>
    <x v="1"/>
    <n v="1"/>
    <n v="899"/>
    <n v="0.05"/>
    <s v="Net Banking"/>
    <x v="2"/>
    <d v="2026-01-25T00:00:00"/>
    <d v="2026-01-24T00:00:00"/>
    <n v="899"/>
    <n v="44.95"/>
    <n v="854.05"/>
    <n v="5"/>
    <x v="0"/>
    <s v="Jan"/>
    <x v="9"/>
    <n v="854.05"/>
  </r>
  <r>
    <s v="ORD-10801"/>
    <d v="2026-01-08T00:00:00"/>
    <s v="CUST-1256"/>
    <s v="Customer 1234"/>
    <x v="2"/>
    <s v="Jaipur"/>
    <x v="7"/>
    <x v="2"/>
    <n v="1"/>
    <n v="3499"/>
    <n v="0.1"/>
    <s v="UPI"/>
    <x v="0"/>
    <d v="2026-01-12T00:00:00"/>
    <d v="2026-01-09T00:00:00"/>
    <n v="3499"/>
    <n v="349.90000000000003"/>
    <n v="3149.1"/>
    <n v="1"/>
    <x v="0"/>
    <s v="Jan"/>
    <x v="9"/>
    <n v="0"/>
  </r>
  <r>
    <s v="ORD-10802"/>
    <d v="2026-10-05T00:00:00"/>
    <s v="CUST-1284"/>
    <s v="Customer 1084"/>
    <x v="3"/>
    <s v="Guwahati"/>
    <x v="21"/>
    <x v="0"/>
    <n v="1"/>
    <n v="1999"/>
    <n v="0.1"/>
    <s v="UPI"/>
    <x v="0"/>
    <d v="2026-10-10T00:00:00"/>
    <d v="2026-10-07T00:00:00"/>
    <n v="1999"/>
    <n v="199.9"/>
    <n v="1799.1"/>
    <n v="2"/>
    <x v="0"/>
    <s v="Oct"/>
    <x v="5"/>
    <n v="0"/>
  </r>
  <r>
    <s v="ORD-10803"/>
    <d v="2026-11-21T00:00:00"/>
    <s v="CUST-1211"/>
    <s v="Customer 1054"/>
    <x v="3"/>
    <s v="Guwahati"/>
    <x v="23"/>
    <x v="0"/>
    <n v="1"/>
    <n v="2999"/>
    <n v="0.2"/>
    <s v="UPI"/>
    <x v="0"/>
    <d v="2026-11-23T00:00:00"/>
    <d v="2026-11-22T00:00:00"/>
    <n v="2999"/>
    <n v="599.80000000000007"/>
    <n v="2399.1999999999998"/>
    <n v="1"/>
    <x v="0"/>
    <s v="Nov"/>
    <x v="1"/>
    <n v="0"/>
  </r>
  <r>
    <s v="ORD-10804"/>
    <d v="2026-10-25T00:00:00"/>
    <s v="CUST-1196"/>
    <s v="Customer 1059"/>
    <x v="3"/>
    <s v="Kolkata"/>
    <x v="24"/>
    <x v="4"/>
    <n v="3"/>
    <n v="1499"/>
    <n v="0.1"/>
    <s v="Net Banking"/>
    <x v="0"/>
    <d v="2026-10-28T00:00:00"/>
    <d v="2026-10-28T00:00:00"/>
    <n v="4497"/>
    <n v="449.70000000000005"/>
    <n v="4047.3"/>
    <n v="3"/>
    <x v="0"/>
    <s v="Oct"/>
    <x v="5"/>
    <n v="0"/>
  </r>
  <r>
    <s v="ORD-10805"/>
    <d v="2026-08-26T00:00:00"/>
    <s v="CUST-1136"/>
    <s v="Customer 1158"/>
    <x v="1"/>
    <s v="Goa"/>
    <x v="18"/>
    <x v="3"/>
    <n v="1"/>
    <n v="1999"/>
    <n v="0.15"/>
    <s v="UPI"/>
    <x v="0"/>
    <d v="2026-08-29T00:00:00"/>
    <d v="2026-08-28T00:00:00"/>
    <n v="1999"/>
    <n v="299.84999999999997"/>
    <n v="1699.15"/>
    <n v="2"/>
    <x v="0"/>
    <s v="Aug"/>
    <x v="10"/>
    <n v="0"/>
  </r>
  <r>
    <s v="ORD-10806"/>
    <d v="2026-01-17T00:00:00"/>
    <s v="CUST-1163"/>
    <s v="Customer 1172"/>
    <x v="3"/>
    <s v="Bhubaneswar"/>
    <x v="19"/>
    <x v="3"/>
    <n v="1"/>
    <n v="1499"/>
    <n v="0.05"/>
    <s v="Debit Card"/>
    <x v="3"/>
    <d v="2026-01-23T00:00:00"/>
    <d v="2026-01-22T00:00:00"/>
    <n v="1499"/>
    <n v="74.95"/>
    <n v="1424.05"/>
    <n v="5"/>
    <x v="0"/>
    <s v="Jan"/>
    <x v="9"/>
    <n v="0"/>
  </r>
  <r>
    <s v="ORD-10807"/>
    <d v="2026-07-20T00:00:00"/>
    <s v="CUST-1200"/>
    <s v="Customer 1089"/>
    <x v="1"/>
    <s v="Goa"/>
    <x v="7"/>
    <x v="2"/>
    <n v="1"/>
    <n v="3499"/>
    <n v="0.15"/>
    <s v="UPI"/>
    <x v="3"/>
    <d v="2026-07-26T00:00:00"/>
    <d v="2026-07-26T00:00:00"/>
    <n v="3499"/>
    <n v="524.85"/>
    <n v="2974.15"/>
    <n v="6"/>
    <x v="0"/>
    <s v="Jul"/>
    <x v="11"/>
    <n v="0"/>
  </r>
  <r>
    <s v="ORD-10808"/>
    <d v="2026-08-12T00:00:00"/>
    <s v="CUST-1134"/>
    <s v="Customer 1284"/>
    <x v="3"/>
    <s v="Patna"/>
    <x v="1"/>
    <x v="1"/>
    <n v="1"/>
    <n v="599"/>
    <n v="0.05"/>
    <s v="COD"/>
    <x v="0"/>
    <d v="2026-08-19T00:00:00"/>
    <d v="2026-08-16T00:00:00"/>
    <n v="599"/>
    <n v="29.950000000000003"/>
    <n v="569.04999999999995"/>
    <n v="4"/>
    <x v="0"/>
    <s v="Aug"/>
    <x v="10"/>
    <n v="0"/>
  </r>
  <r>
    <s v="ORD-10809"/>
    <d v="2026-02-17T00:00:00"/>
    <s v="CUST-1293"/>
    <s v="Customer 1196"/>
    <x v="1"/>
    <s v="Ahmedabad"/>
    <x v="14"/>
    <x v="2"/>
    <n v="1"/>
    <n v="999"/>
    <n v="0"/>
    <s v="COD"/>
    <x v="0"/>
    <d v="2026-02-19T00:00:00"/>
    <d v="2026-02-18T00:00:00"/>
    <n v="999"/>
    <n v="0"/>
    <n v="999"/>
    <n v="1"/>
    <x v="0"/>
    <s v="Feb"/>
    <x v="4"/>
    <n v="0"/>
  </r>
  <r>
    <s v="ORD-10810"/>
    <d v="2026-04-06T00:00:00"/>
    <s v="CUST-1194"/>
    <s v="Customer 1134"/>
    <x v="0"/>
    <s v="Chennai"/>
    <x v="15"/>
    <x v="4"/>
    <n v="1"/>
    <n v="749"/>
    <n v="0.05"/>
    <s v="Debit Card"/>
    <x v="0"/>
    <d v="2026-04-12T00:00:00"/>
    <d v="2026-04-12T00:00:00"/>
    <n v="749"/>
    <n v="37.450000000000003"/>
    <n v="711.55"/>
    <n v="6"/>
    <x v="0"/>
    <s v="Apr"/>
    <x v="0"/>
    <n v="0"/>
  </r>
  <r>
    <s v="ORD-10811"/>
    <d v="2026-11-18T00:00:00"/>
    <s v="CUST-1055"/>
    <s v="Customer 1073"/>
    <x v="0"/>
    <s v="Hyderabad"/>
    <x v="4"/>
    <x v="3"/>
    <n v="1"/>
    <n v="1299"/>
    <n v="0.2"/>
    <s v="UPI"/>
    <x v="0"/>
    <d v="2026-11-23T00:00:00"/>
    <d v="2026-11-24T00:00:00"/>
    <n v="1299"/>
    <n v="259.8"/>
    <n v="1039.2"/>
    <n v="6"/>
    <x v="2"/>
    <s v="Nov"/>
    <x v="1"/>
    <n v="0"/>
  </r>
  <r>
    <s v="ORD-10812"/>
    <d v="2026-02-09T00:00:00"/>
    <s v="CUST-1212"/>
    <s v="Customer 1038"/>
    <x v="2"/>
    <s v="Lucknow"/>
    <x v="14"/>
    <x v="2"/>
    <n v="2"/>
    <n v="999"/>
    <n v="0.1"/>
    <s v="Credit Card"/>
    <x v="0"/>
    <d v="2026-02-11T00:00:00"/>
    <d v="2026-02-10T00:00:00"/>
    <n v="1998"/>
    <n v="199.8"/>
    <n v="1798.2"/>
    <n v="1"/>
    <x v="0"/>
    <s v="Feb"/>
    <x v="4"/>
    <n v="0"/>
  </r>
  <r>
    <s v="ORD-10813"/>
    <d v="2026-07-12T00:00:00"/>
    <s v="CUST-1291"/>
    <s v="Customer 1017"/>
    <x v="3"/>
    <s v="Kolkata"/>
    <x v="12"/>
    <x v="2"/>
    <n v="3"/>
    <n v="1599"/>
    <n v="0.15"/>
    <s v="Credit Card"/>
    <x v="0"/>
    <d v="2026-07-16T00:00:00"/>
    <d v="2026-07-14T00:00:00"/>
    <n v="4797"/>
    <n v="719.55"/>
    <n v="4077.45"/>
    <n v="2"/>
    <x v="0"/>
    <s v="Jul"/>
    <x v="11"/>
    <n v="0"/>
  </r>
  <r>
    <s v="ORD-10814"/>
    <d v="2026-11-11T00:00:00"/>
    <s v="CUST-1131"/>
    <s v="Customer 1063"/>
    <x v="0"/>
    <s v="Hyderabad"/>
    <x v="23"/>
    <x v="0"/>
    <n v="2"/>
    <n v="2999"/>
    <n v="0"/>
    <s v="Credit Card"/>
    <x v="1"/>
    <d v="2026-11-18T00:00:00"/>
    <m/>
    <n v="5998"/>
    <n v="0"/>
    <n v="5998"/>
    <s v=""/>
    <x v="1"/>
    <s v="Nov"/>
    <x v="1"/>
    <n v="0"/>
  </r>
  <r>
    <s v="ORD-10815"/>
    <d v="2026-09-23T00:00:00"/>
    <s v="CUST-1016"/>
    <s v="Customer 1168"/>
    <x v="1"/>
    <s v="Mumbai"/>
    <x v="9"/>
    <x v="1"/>
    <n v="2"/>
    <n v="899"/>
    <n v="0.05"/>
    <s v="Credit Card"/>
    <x v="3"/>
    <d v="2026-09-27T00:00:00"/>
    <d v="2026-09-25T00:00:00"/>
    <n v="1798"/>
    <n v="89.9"/>
    <n v="1708.1"/>
    <n v="2"/>
    <x v="0"/>
    <s v="Sep"/>
    <x v="7"/>
    <n v="0"/>
  </r>
  <r>
    <s v="ORD-10816"/>
    <d v="2026-05-18T00:00:00"/>
    <s v="CUST-1240"/>
    <s v="Customer 1254"/>
    <x v="1"/>
    <s v="Pune"/>
    <x v="4"/>
    <x v="3"/>
    <n v="1"/>
    <n v="1299"/>
    <n v="0.05"/>
    <s v="UPI"/>
    <x v="0"/>
    <d v="2026-05-25T00:00:00"/>
    <d v="2026-05-21T00:00:00"/>
    <n v="1299"/>
    <n v="64.95"/>
    <n v="1234.05"/>
    <n v="3"/>
    <x v="0"/>
    <s v="May"/>
    <x v="3"/>
    <n v="0"/>
  </r>
  <r>
    <s v="ORD-10817"/>
    <d v="2026-03-30T00:00:00"/>
    <s v="CUST-1160"/>
    <s v="Customer 1085"/>
    <x v="3"/>
    <s v="Guwahati"/>
    <x v="16"/>
    <x v="2"/>
    <n v="1"/>
    <n v="899"/>
    <n v="0.1"/>
    <s v="Net Banking"/>
    <x v="0"/>
    <d v="2026-04-05T00:00:00"/>
    <d v="2026-04-04T00:00:00"/>
    <n v="899"/>
    <n v="89.9"/>
    <n v="809.1"/>
    <n v="5"/>
    <x v="0"/>
    <s v="Mar"/>
    <x v="8"/>
    <n v="0"/>
  </r>
  <r>
    <s v="ORD-10818"/>
    <d v="2026-08-05T00:00:00"/>
    <s v="CUST-1197"/>
    <s v="Customer 1220"/>
    <x v="1"/>
    <s v="Goa"/>
    <x v="5"/>
    <x v="4"/>
    <n v="2"/>
    <n v="499"/>
    <n v="0.1"/>
    <s v="Debit Card"/>
    <x v="1"/>
    <d v="2026-08-07T00:00:00"/>
    <m/>
    <n v="998"/>
    <n v="99.800000000000011"/>
    <n v="898.2"/>
    <s v=""/>
    <x v="1"/>
    <s v="Aug"/>
    <x v="10"/>
    <n v="0"/>
  </r>
  <r>
    <s v="ORD-10819"/>
    <d v="2026-08-19T00:00:00"/>
    <s v="CUST-1272"/>
    <s v="Customer 1181"/>
    <x v="1"/>
    <s v="Ahmedabad"/>
    <x v="6"/>
    <x v="0"/>
    <n v="1"/>
    <n v="699"/>
    <n v="0"/>
    <s v="COD"/>
    <x v="0"/>
    <d v="2026-08-25T00:00:00"/>
    <d v="2026-08-24T00:00:00"/>
    <n v="699"/>
    <n v="0"/>
    <n v="699"/>
    <n v="5"/>
    <x v="0"/>
    <s v="Aug"/>
    <x v="10"/>
    <n v="0"/>
  </r>
  <r>
    <s v="ORD-10820"/>
    <d v="2026-06-15T00:00:00"/>
    <s v="CUST-1191"/>
    <s v="Customer 1075"/>
    <x v="3"/>
    <s v="Kolkata"/>
    <x v="4"/>
    <x v="3"/>
    <n v="1"/>
    <n v="1299"/>
    <n v="0.05"/>
    <s v="Debit Card"/>
    <x v="0"/>
    <d v="2026-06-17T00:00:00"/>
    <d v="2026-06-17T00:00:00"/>
    <n v="1299"/>
    <n v="64.95"/>
    <n v="1234.05"/>
    <n v="2"/>
    <x v="0"/>
    <s v="Jun"/>
    <x v="2"/>
    <n v="0"/>
  </r>
  <r>
    <s v="ORD-10821"/>
    <d v="2026-12-19T00:00:00"/>
    <s v="CUST-1288"/>
    <s v="Customer 1034"/>
    <x v="2"/>
    <s v="Delhi"/>
    <x v="18"/>
    <x v="3"/>
    <n v="1"/>
    <n v="1999"/>
    <n v="0.1"/>
    <s v="Credit Card"/>
    <x v="0"/>
    <d v="2026-12-25T00:00:00"/>
    <d v="2026-12-21T00:00:00"/>
    <n v="1999"/>
    <n v="199.9"/>
    <n v="1799.1"/>
    <n v="2"/>
    <x v="0"/>
    <s v="Dec"/>
    <x v="6"/>
    <n v="0"/>
  </r>
  <r>
    <s v="ORD-10822"/>
    <d v="2026-09-27T00:00:00"/>
    <s v="CUST-1294"/>
    <s v="Customer 1216"/>
    <x v="3"/>
    <s v="Patna"/>
    <x v="1"/>
    <x v="1"/>
    <n v="1"/>
    <n v="599"/>
    <n v="0.2"/>
    <s v="Debit Card"/>
    <x v="2"/>
    <d v="2026-10-03T00:00:00"/>
    <d v="2026-10-04T00:00:00"/>
    <n v="599"/>
    <n v="119.80000000000001"/>
    <n v="479.2"/>
    <n v="7"/>
    <x v="2"/>
    <s v="Sep"/>
    <x v="7"/>
    <n v="479.2"/>
  </r>
  <r>
    <s v="ORD-10823"/>
    <d v="2026-04-11T00:00:00"/>
    <s v="CUST-1232"/>
    <s v="Customer 1088"/>
    <x v="3"/>
    <s v="Patna"/>
    <x v="0"/>
    <x v="0"/>
    <n v="1"/>
    <n v="1799"/>
    <n v="0.15"/>
    <s v="Net Banking"/>
    <x v="0"/>
    <d v="2026-04-15T00:00:00"/>
    <d v="2026-04-12T00:00:00"/>
    <n v="1799"/>
    <n v="269.84999999999997"/>
    <n v="1529.15"/>
    <n v="1"/>
    <x v="0"/>
    <s v="Apr"/>
    <x v="0"/>
    <n v="0"/>
  </r>
  <r>
    <s v="ORD-10824"/>
    <d v="2026-01-11T00:00:00"/>
    <s v="CUST-1019"/>
    <s v="Customer 1274"/>
    <x v="2"/>
    <s v="Chandigarh"/>
    <x v="7"/>
    <x v="2"/>
    <n v="1"/>
    <n v="3499"/>
    <n v="0.2"/>
    <s v="UPI"/>
    <x v="0"/>
    <d v="2026-01-15T00:00:00"/>
    <d v="2026-01-15T00:00:00"/>
    <n v="3499"/>
    <n v="699.80000000000007"/>
    <n v="2799.2"/>
    <n v="4"/>
    <x v="0"/>
    <s v="Jan"/>
    <x v="9"/>
    <n v="0"/>
  </r>
  <r>
    <s v="ORD-10825"/>
    <d v="2026-08-29T00:00:00"/>
    <s v="CUST-1041"/>
    <s v="Customer 1285"/>
    <x v="0"/>
    <s v="Hyderabad"/>
    <x v="8"/>
    <x v="3"/>
    <n v="1"/>
    <n v="799"/>
    <n v="0.15"/>
    <s v="Debit Card"/>
    <x v="0"/>
    <d v="2026-09-02T00:00:00"/>
    <d v="2026-09-02T00:00:00"/>
    <n v="799"/>
    <n v="119.85"/>
    <n v="679.15"/>
    <n v="4"/>
    <x v="0"/>
    <s v="Aug"/>
    <x v="10"/>
    <n v="0"/>
  </r>
  <r>
    <s v="ORD-10826"/>
    <d v="2026-07-21T00:00:00"/>
    <s v="CUST-1192"/>
    <s v="Customer 1053"/>
    <x v="2"/>
    <s v="Chandigarh"/>
    <x v="9"/>
    <x v="1"/>
    <n v="1"/>
    <n v="899"/>
    <n v="0.15"/>
    <s v="Net Banking"/>
    <x v="3"/>
    <d v="2026-07-28T00:00:00"/>
    <d v="2026-07-29T00:00:00"/>
    <n v="899"/>
    <n v="134.85"/>
    <n v="764.15"/>
    <n v="8"/>
    <x v="2"/>
    <s v="Jul"/>
    <x v="11"/>
    <n v="0"/>
  </r>
  <r>
    <s v="ORD-10827"/>
    <d v="2026-03-13T00:00:00"/>
    <s v="CUST-1189"/>
    <s v="Customer 1276"/>
    <x v="0"/>
    <s v="Chennai"/>
    <x v="8"/>
    <x v="3"/>
    <n v="1"/>
    <n v="799"/>
    <n v="0.1"/>
    <s v="Net Banking"/>
    <x v="0"/>
    <d v="2026-03-16T00:00:00"/>
    <d v="2026-03-16T00:00:00"/>
    <n v="799"/>
    <n v="79.900000000000006"/>
    <n v="719.1"/>
    <n v="3"/>
    <x v="0"/>
    <s v="Mar"/>
    <x v="8"/>
    <n v="0"/>
  </r>
  <r>
    <s v="ORD-10828"/>
    <d v="2026-02-26T00:00:00"/>
    <s v="CUST-1139"/>
    <s v="Customer 1088"/>
    <x v="0"/>
    <s v="Bengaluru"/>
    <x v="6"/>
    <x v="0"/>
    <n v="1"/>
    <n v="699"/>
    <n v="0.1"/>
    <s v="UPI"/>
    <x v="0"/>
    <d v="2026-03-02T00:00:00"/>
    <d v="2026-03-02T00:00:00"/>
    <n v="699"/>
    <n v="69.900000000000006"/>
    <n v="629.1"/>
    <n v="4"/>
    <x v="0"/>
    <s v="Feb"/>
    <x v="4"/>
    <n v="0"/>
  </r>
  <r>
    <s v="ORD-10829"/>
    <d v="2026-06-13T00:00:00"/>
    <s v="CUST-1271"/>
    <s v="Customer 1124"/>
    <x v="1"/>
    <s v="Goa"/>
    <x v="4"/>
    <x v="3"/>
    <n v="3"/>
    <n v="1299"/>
    <n v="0.2"/>
    <s v="Net Banking"/>
    <x v="2"/>
    <d v="2026-06-18T00:00:00"/>
    <d v="2026-06-18T00:00:00"/>
    <n v="3897"/>
    <n v="779.40000000000009"/>
    <n v="3117.6"/>
    <n v="5"/>
    <x v="0"/>
    <s v="Jun"/>
    <x v="2"/>
    <n v="3117.6"/>
  </r>
  <r>
    <s v="ORD-10830"/>
    <d v="2026-09-05T00:00:00"/>
    <s v="CUST-1106"/>
    <s v="Customer 1040"/>
    <x v="3"/>
    <s v="Guwahati"/>
    <x v="21"/>
    <x v="0"/>
    <n v="1"/>
    <n v="1999"/>
    <n v="0.1"/>
    <s v="Debit Card"/>
    <x v="2"/>
    <d v="2026-09-07T00:00:00"/>
    <d v="2026-09-06T00:00:00"/>
    <n v="1999"/>
    <n v="199.9"/>
    <n v="1799.1"/>
    <n v="1"/>
    <x v="0"/>
    <s v="Sep"/>
    <x v="7"/>
    <n v="1799.1"/>
  </r>
  <r>
    <s v="ORD-10831"/>
    <d v="2026-01-07T00:00:00"/>
    <s v="CUST-1271"/>
    <s v="Customer 1264"/>
    <x v="0"/>
    <s v="Kochi"/>
    <x v="4"/>
    <x v="3"/>
    <n v="2"/>
    <n v="1299"/>
    <n v="0.15"/>
    <s v="Net Banking"/>
    <x v="0"/>
    <d v="2026-01-12T00:00:00"/>
    <d v="2026-01-09T00:00:00"/>
    <n v="2598"/>
    <n v="389.7"/>
    <n v="2208.3000000000002"/>
    <n v="2"/>
    <x v="0"/>
    <s v="Jan"/>
    <x v="9"/>
    <n v="0"/>
  </r>
  <r>
    <s v="ORD-10832"/>
    <d v="2026-09-16T00:00:00"/>
    <s v="CUST-1205"/>
    <s v="Customer 1097"/>
    <x v="2"/>
    <s v="Lucknow"/>
    <x v="20"/>
    <x v="4"/>
    <n v="1"/>
    <n v="599"/>
    <n v="0.05"/>
    <s v="Credit Card"/>
    <x v="0"/>
    <d v="2026-09-21T00:00:00"/>
    <d v="2026-09-23T00:00:00"/>
    <n v="599"/>
    <n v="29.950000000000003"/>
    <n v="569.04999999999995"/>
    <n v="7"/>
    <x v="2"/>
    <s v="Sep"/>
    <x v="7"/>
    <n v="0"/>
  </r>
  <r>
    <s v="ORD-10833"/>
    <d v="2026-12-18T00:00:00"/>
    <s v="CUST-1124"/>
    <s v="Customer 1009"/>
    <x v="0"/>
    <s v="Hyderabad"/>
    <x v="20"/>
    <x v="4"/>
    <n v="1"/>
    <n v="599"/>
    <n v="0.2"/>
    <s v="UPI"/>
    <x v="0"/>
    <d v="2026-12-23T00:00:00"/>
    <d v="2026-12-19T00:00:00"/>
    <n v="599"/>
    <n v="119.80000000000001"/>
    <n v="479.2"/>
    <n v="1"/>
    <x v="0"/>
    <s v="Dec"/>
    <x v="6"/>
    <n v="0"/>
  </r>
  <r>
    <s v="ORD-10834"/>
    <d v="2026-09-01T00:00:00"/>
    <s v="CUST-1182"/>
    <s v="Customer 1221"/>
    <x v="3"/>
    <s v="Bhubaneswar"/>
    <x v="6"/>
    <x v="0"/>
    <n v="2"/>
    <n v="699"/>
    <n v="0.15"/>
    <s v="Debit Card"/>
    <x v="0"/>
    <d v="2026-09-03T00:00:00"/>
    <d v="2026-09-04T00:00:00"/>
    <n v="1398"/>
    <n v="209.7"/>
    <n v="1188.3"/>
    <n v="3"/>
    <x v="2"/>
    <s v="Sep"/>
    <x v="7"/>
    <n v="0"/>
  </r>
  <r>
    <s v="ORD-10835"/>
    <d v="2026-08-09T00:00:00"/>
    <s v="CUST-1217"/>
    <s v="Customer 1100"/>
    <x v="1"/>
    <s v="Pune"/>
    <x v="24"/>
    <x v="4"/>
    <n v="2"/>
    <n v="1499"/>
    <n v="0"/>
    <s v="Net Banking"/>
    <x v="0"/>
    <d v="2026-08-13T00:00:00"/>
    <d v="2026-08-13T00:00:00"/>
    <n v="2998"/>
    <n v="0"/>
    <n v="2998"/>
    <n v="4"/>
    <x v="0"/>
    <s v="Aug"/>
    <x v="10"/>
    <n v="0"/>
  </r>
  <r>
    <s v="ORD-10836"/>
    <d v="2026-11-01T00:00:00"/>
    <s v="CUST-1056"/>
    <s v="Customer 1026"/>
    <x v="2"/>
    <s v="Jaipur"/>
    <x v="20"/>
    <x v="4"/>
    <n v="1"/>
    <n v="599"/>
    <n v="0.2"/>
    <s v="Net Banking"/>
    <x v="1"/>
    <d v="2026-11-06T00:00:00"/>
    <m/>
    <n v="599"/>
    <n v="119.80000000000001"/>
    <n v="479.2"/>
    <s v=""/>
    <x v="1"/>
    <s v="Nov"/>
    <x v="1"/>
    <n v="0"/>
  </r>
  <r>
    <s v="ORD-10837"/>
    <d v="2026-01-28T00:00:00"/>
    <s v="CUST-1116"/>
    <s v="Customer 1208"/>
    <x v="1"/>
    <s v="Mumbai"/>
    <x v="14"/>
    <x v="2"/>
    <n v="3"/>
    <n v="999"/>
    <n v="0.2"/>
    <s v="Debit Card"/>
    <x v="0"/>
    <d v="2026-01-30T00:00:00"/>
    <d v="2026-01-30T00:00:00"/>
    <n v="2997"/>
    <n v="599.4"/>
    <n v="2397.6"/>
    <n v="2"/>
    <x v="0"/>
    <s v="Jan"/>
    <x v="9"/>
    <n v="0"/>
  </r>
  <r>
    <s v="ORD-10838"/>
    <d v="2026-12-21T00:00:00"/>
    <s v="CUST-1148"/>
    <s v="Customer 1002"/>
    <x v="3"/>
    <s v="Guwahati"/>
    <x v="4"/>
    <x v="3"/>
    <n v="1"/>
    <n v="1299"/>
    <n v="0.05"/>
    <s v="Credit Card"/>
    <x v="3"/>
    <d v="2026-12-24T00:00:00"/>
    <d v="2026-12-23T00:00:00"/>
    <n v="1299"/>
    <n v="64.95"/>
    <n v="1234.05"/>
    <n v="2"/>
    <x v="0"/>
    <s v="Dec"/>
    <x v="6"/>
    <n v="0"/>
  </r>
  <r>
    <s v="ORD-10839"/>
    <d v="2026-09-02T00:00:00"/>
    <s v="CUST-1171"/>
    <s v="Customer 1234"/>
    <x v="0"/>
    <s v="Chennai"/>
    <x v="22"/>
    <x v="1"/>
    <n v="2"/>
    <n v="1199"/>
    <n v="0.05"/>
    <s v="Credit Card"/>
    <x v="0"/>
    <d v="2026-09-09T00:00:00"/>
    <d v="2026-09-04T00:00:00"/>
    <n v="2398"/>
    <n v="119.9"/>
    <n v="2278.1"/>
    <n v="2"/>
    <x v="0"/>
    <s v="Sep"/>
    <x v="7"/>
    <n v="0"/>
  </r>
  <r>
    <s v="ORD-10840"/>
    <d v="2026-06-21T00:00:00"/>
    <s v="CUST-1181"/>
    <s v="Customer 1243"/>
    <x v="1"/>
    <s v="Mumbai"/>
    <x v="5"/>
    <x v="4"/>
    <n v="1"/>
    <n v="499"/>
    <n v="0.1"/>
    <s v="UPI"/>
    <x v="0"/>
    <d v="2026-06-28T00:00:00"/>
    <d v="2026-06-22T00:00:00"/>
    <n v="499"/>
    <n v="49.900000000000006"/>
    <n v="449.1"/>
    <n v="1"/>
    <x v="0"/>
    <s v="Jun"/>
    <x v="2"/>
    <n v="0"/>
  </r>
  <r>
    <s v="ORD-10841"/>
    <d v="2026-02-26T00:00:00"/>
    <s v="CUST-1076"/>
    <s v="Customer 1049"/>
    <x v="0"/>
    <s v="Kochi"/>
    <x v="12"/>
    <x v="2"/>
    <n v="1"/>
    <n v="1599"/>
    <n v="0"/>
    <s v="COD"/>
    <x v="2"/>
    <d v="2026-03-02T00:00:00"/>
    <d v="2026-02-28T00:00:00"/>
    <n v="1599"/>
    <n v="0"/>
    <n v="1599"/>
    <n v="2"/>
    <x v="0"/>
    <s v="Feb"/>
    <x v="4"/>
    <n v="1599"/>
  </r>
  <r>
    <s v="ORD-10842"/>
    <d v="2026-09-09T00:00:00"/>
    <s v="CUST-1007"/>
    <s v="Customer 1181"/>
    <x v="0"/>
    <s v="Hyderabad"/>
    <x v="23"/>
    <x v="0"/>
    <n v="2"/>
    <n v="2999"/>
    <n v="0.2"/>
    <s v="Debit Card"/>
    <x v="2"/>
    <d v="2026-09-14T00:00:00"/>
    <d v="2026-09-13T00:00:00"/>
    <n v="5998"/>
    <n v="1199.6000000000001"/>
    <n v="4798.3999999999996"/>
    <n v="4"/>
    <x v="0"/>
    <s v="Sep"/>
    <x v="7"/>
    <n v="4798.3999999999996"/>
  </r>
  <r>
    <s v="ORD-10843"/>
    <d v="2026-09-05T00:00:00"/>
    <s v="CUST-1183"/>
    <s v="Customer 1255"/>
    <x v="2"/>
    <s v="Lucknow"/>
    <x v="22"/>
    <x v="1"/>
    <n v="1"/>
    <n v="1199"/>
    <n v="0.2"/>
    <s v="UPI"/>
    <x v="0"/>
    <d v="2026-09-10T00:00:00"/>
    <d v="2026-09-07T00:00:00"/>
    <n v="1199"/>
    <n v="239.8"/>
    <n v="959.2"/>
    <n v="2"/>
    <x v="0"/>
    <s v="Sep"/>
    <x v="7"/>
    <n v="0"/>
  </r>
  <r>
    <s v="ORD-10844"/>
    <d v="2026-07-04T00:00:00"/>
    <s v="CUST-1279"/>
    <s v="Customer 1231"/>
    <x v="0"/>
    <s v="Chennai"/>
    <x v="13"/>
    <x v="1"/>
    <n v="1"/>
    <n v="2499"/>
    <n v="0"/>
    <s v="Credit Card"/>
    <x v="0"/>
    <d v="2026-07-11T00:00:00"/>
    <d v="2026-07-07T00:00:00"/>
    <n v="2499"/>
    <n v="0"/>
    <n v="2499"/>
    <n v="3"/>
    <x v="0"/>
    <s v="Jul"/>
    <x v="11"/>
    <n v="0"/>
  </r>
  <r>
    <s v="ORD-10845"/>
    <d v="2026-07-20T00:00:00"/>
    <s v="CUST-1063"/>
    <s v="Customer 1222"/>
    <x v="1"/>
    <s v="Ahmedabad"/>
    <x v="21"/>
    <x v="0"/>
    <n v="2"/>
    <n v="1999"/>
    <n v="0.1"/>
    <s v="Debit Card"/>
    <x v="0"/>
    <d v="2026-07-22T00:00:00"/>
    <d v="2026-07-22T00:00:00"/>
    <n v="3998"/>
    <n v="399.8"/>
    <n v="3598.2"/>
    <n v="2"/>
    <x v="0"/>
    <s v="Jul"/>
    <x v="11"/>
    <n v="0"/>
  </r>
  <r>
    <s v="ORD-10846"/>
    <d v="2026-01-05T00:00:00"/>
    <s v="CUST-1286"/>
    <s v="Customer 1084"/>
    <x v="3"/>
    <s v="Patna"/>
    <x v="6"/>
    <x v="0"/>
    <n v="2"/>
    <n v="699"/>
    <n v="0.05"/>
    <s v="Net Banking"/>
    <x v="2"/>
    <d v="2026-01-08T00:00:00"/>
    <d v="2026-01-07T00:00:00"/>
    <n v="1398"/>
    <n v="69.900000000000006"/>
    <n v="1328.1"/>
    <n v="2"/>
    <x v="0"/>
    <s v="Jan"/>
    <x v="9"/>
    <n v="1328.1"/>
  </r>
  <r>
    <s v="ORD-10847"/>
    <d v="2026-05-31T00:00:00"/>
    <s v="CUST-1157"/>
    <s v="Customer 1003"/>
    <x v="2"/>
    <s v="Chandigarh"/>
    <x v="6"/>
    <x v="0"/>
    <n v="1"/>
    <n v="699"/>
    <n v="0"/>
    <s v="Credit Card"/>
    <x v="0"/>
    <d v="2026-06-06T00:00:00"/>
    <d v="2026-06-04T00:00:00"/>
    <n v="699"/>
    <n v="0"/>
    <n v="699"/>
    <n v="4"/>
    <x v="0"/>
    <s v="May"/>
    <x v="3"/>
    <n v="0"/>
  </r>
  <r>
    <s v="ORD-10848"/>
    <d v="2026-05-09T00:00:00"/>
    <s v="CUST-1139"/>
    <s v="Customer 1074"/>
    <x v="3"/>
    <s v="Patna"/>
    <x v="8"/>
    <x v="3"/>
    <n v="1"/>
    <n v="799"/>
    <n v="0.1"/>
    <s v="COD"/>
    <x v="2"/>
    <d v="2026-05-15T00:00:00"/>
    <d v="2026-05-10T00:00:00"/>
    <n v="799"/>
    <n v="79.900000000000006"/>
    <n v="719.1"/>
    <n v="1"/>
    <x v="0"/>
    <s v="May"/>
    <x v="3"/>
    <n v="719.1"/>
  </r>
  <r>
    <s v="ORD-10849"/>
    <d v="2026-05-29T00:00:00"/>
    <s v="CUST-1205"/>
    <s v="Customer 1051"/>
    <x v="1"/>
    <s v="Goa"/>
    <x v="9"/>
    <x v="1"/>
    <n v="1"/>
    <n v="899"/>
    <n v="0.15"/>
    <s v="Debit Card"/>
    <x v="0"/>
    <d v="2026-06-05T00:00:00"/>
    <d v="2026-06-02T00:00:00"/>
    <n v="899"/>
    <n v="134.85"/>
    <n v="764.15"/>
    <n v="4"/>
    <x v="0"/>
    <s v="May"/>
    <x v="3"/>
    <n v="0"/>
  </r>
  <r>
    <s v="ORD-10850"/>
    <d v="2026-03-30T00:00:00"/>
    <s v="CUST-1070"/>
    <s v="Customer 1214"/>
    <x v="2"/>
    <s v="Lucknow"/>
    <x v="11"/>
    <x v="1"/>
    <n v="2"/>
    <n v="3299"/>
    <n v="0.1"/>
    <s v="COD"/>
    <x v="0"/>
    <d v="2026-04-06T00:00:00"/>
    <d v="2026-04-02T00:00:00"/>
    <n v="6598"/>
    <n v="659.80000000000007"/>
    <n v="5938.2"/>
    <n v="3"/>
    <x v="0"/>
    <s v="Mar"/>
    <x v="8"/>
    <n v="0"/>
  </r>
  <r>
    <s v="ORD-10851"/>
    <d v="2026-06-02T00:00:00"/>
    <s v="CUST-1050"/>
    <s v="Customer 1071"/>
    <x v="1"/>
    <s v="Ahmedabad"/>
    <x v="6"/>
    <x v="0"/>
    <n v="2"/>
    <n v="699"/>
    <n v="0.15"/>
    <s v="COD"/>
    <x v="0"/>
    <d v="2026-06-07T00:00:00"/>
    <d v="2026-06-06T00:00:00"/>
    <n v="1398"/>
    <n v="209.7"/>
    <n v="1188.3"/>
    <n v="4"/>
    <x v="0"/>
    <s v="Jun"/>
    <x v="2"/>
    <n v="0"/>
  </r>
  <r>
    <s v="ORD-10852"/>
    <d v="2026-08-28T00:00:00"/>
    <s v="CUST-1014"/>
    <s v="Customer 1216"/>
    <x v="3"/>
    <s v="Patna"/>
    <x v="11"/>
    <x v="1"/>
    <n v="1"/>
    <n v="3299"/>
    <n v="0.15"/>
    <s v="Net Banking"/>
    <x v="0"/>
    <d v="2026-09-02T00:00:00"/>
    <d v="2026-09-02T00:00:00"/>
    <n v="3299"/>
    <n v="494.84999999999997"/>
    <n v="2804.15"/>
    <n v="5"/>
    <x v="0"/>
    <s v="Aug"/>
    <x v="10"/>
    <n v="0"/>
  </r>
  <r>
    <s v="ORD-10853"/>
    <d v="2026-05-05T00:00:00"/>
    <s v="CUST-1290"/>
    <s v="Customer 1151"/>
    <x v="0"/>
    <s v="Chennai"/>
    <x v="11"/>
    <x v="1"/>
    <n v="2"/>
    <n v="3299"/>
    <n v="0.1"/>
    <s v="Credit Card"/>
    <x v="1"/>
    <d v="2026-05-11T00:00:00"/>
    <m/>
    <n v="6598"/>
    <n v="659.80000000000007"/>
    <n v="5938.2"/>
    <s v=""/>
    <x v="1"/>
    <s v="May"/>
    <x v="3"/>
    <n v="0"/>
  </r>
  <r>
    <s v="ORD-10854"/>
    <d v="2026-12-10T00:00:00"/>
    <s v="CUST-1055"/>
    <s v="Customer 1171"/>
    <x v="0"/>
    <s v="Kochi"/>
    <x v="12"/>
    <x v="2"/>
    <n v="1"/>
    <n v="1599"/>
    <n v="0.2"/>
    <s v="Net Banking"/>
    <x v="3"/>
    <d v="2026-12-12T00:00:00"/>
    <d v="2026-12-12T00:00:00"/>
    <n v="1599"/>
    <n v="319.8"/>
    <n v="1279.2"/>
    <n v="2"/>
    <x v="0"/>
    <s v="Dec"/>
    <x v="6"/>
    <n v="0"/>
  </r>
  <r>
    <s v="ORD-10855"/>
    <d v="2026-12-20T00:00:00"/>
    <s v="CUST-1028"/>
    <s v="Customer 1105"/>
    <x v="0"/>
    <s v="Hyderabad"/>
    <x v="13"/>
    <x v="1"/>
    <n v="1"/>
    <n v="2499"/>
    <n v="0"/>
    <s v="UPI"/>
    <x v="2"/>
    <d v="2026-12-26T00:00:00"/>
    <d v="2026-12-26T00:00:00"/>
    <n v="2499"/>
    <n v="0"/>
    <n v="2499"/>
    <n v="6"/>
    <x v="0"/>
    <s v="Dec"/>
    <x v="6"/>
    <n v="2499"/>
  </r>
  <r>
    <s v="ORD-10856"/>
    <d v="2026-12-12T00:00:00"/>
    <s v="CUST-1249"/>
    <s v="Customer 1103"/>
    <x v="1"/>
    <s v="Goa"/>
    <x v="2"/>
    <x v="2"/>
    <n v="2"/>
    <n v="699"/>
    <n v="0.05"/>
    <s v="Debit Card"/>
    <x v="2"/>
    <d v="2026-12-16T00:00:00"/>
    <d v="2026-12-13T00:00:00"/>
    <n v="1398"/>
    <n v="69.900000000000006"/>
    <n v="1328.1"/>
    <n v="1"/>
    <x v="0"/>
    <s v="Dec"/>
    <x v="6"/>
    <n v="1328.1"/>
  </r>
  <r>
    <s v="ORD-10857"/>
    <d v="2026-11-06T00:00:00"/>
    <s v="CUST-1259"/>
    <s v="Customer 1228"/>
    <x v="0"/>
    <s v="Bengaluru"/>
    <x v="4"/>
    <x v="3"/>
    <n v="3"/>
    <n v="1299"/>
    <n v="0.2"/>
    <s v="UPI"/>
    <x v="0"/>
    <d v="2026-11-09T00:00:00"/>
    <d v="2026-11-07T00:00:00"/>
    <n v="3897"/>
    <n v="779.40000000000009"/>
    <n v="3117.6"/>
    <n v="1"/>
    <x v="0"/>
    <s v="Nov"/>
    <x v="1"/>
    <n v="0"/>
  </r>
  <r>
    <s v="ORD-10858"/>
    <d v="2026-07-27T00:00:00"/>
    <s v="CUST-1225"/>
    <s v="Customer 1064"/>
    <x v="3"/>
    <s v="Kolkata"/>
    <x v="18"/>
    <x v="3"/>
    <n v="2"/>
    <n v="1999"/>
    <n v="0.05"/>
    <s v="Credit Card"/>
    <x v="3"/>
    <d v="2026-08-02T00:00:00"/>
    <d v="2026-08-01T00:00:00"/>
    <n v="3998"/>
    <n v="199.9"/>
    <n v="3798.1"/>
    <n v="5"/>
    <x v="0"/>
    <s v="Jul"/>
    <x v="11"/>
    <n v="0"/>
  </r>
  <r>
    <s v="ORD-10859"/>
    <d v="2026-03-14T00:00:00"/>
    <s v="CUST-1280"/>
    <s v="Customer 1103"/>
    <x v="3"/>
    <s v="Bhubaneswar"/>
    <x v="4"/>
    <x v="3"/>
    <n v="3"/>
    <n v="1299"/>
    <n v="0.05"/>
    <s v="Credit Card"/>
    <x v="1"/>
    <d v="2026-03-21T00:00:00"/>
    <m/>
    <n v="3897"/>
    <n v="194.85000000000002"/>
    <n v="3702.15"/>
    <s v=""/>
    <x v="1"/>
    <s v="Mar"/>
    <x v="8"/>
    <n v="0"/>
  </r>
  <r>
    <s v="ORD-10860"/>
    <d v="2026-12-08T00:00:00"/>
    <s v="CUST-1055"/>
    <s v="Customer 1238"/>
    <x v="3"/>
    <s v="Guwahati"/>
    <x v="21"/>
    <x v="0"/>
    <n v="1"/>
    <n v="1999"/>
    <n v="0.2"/>
    <s v="Net Banking"/>
    <x v="0"/>
    <d v="2026-12-15T00:00:00"/>
    <d v="2026-12-12T00:00:00"/>
    <n v="1999"/>
    <n v="399.8"/>
    <n v="1599.2"/>
    <n v="4"/>
    <x v="0"/>
    <s v="Dec"/>
    <x v="6"/>
    <n v="0"/>
  </r>
  <r>
    <s v="ORD-10861"/>
    <d v="2026-05-26T00:00:00"/>
    <s v="CUST-1228"/>
    <s v="Customer 1022"/>
    <x v="3"/>
    <s v="Guwahati"/>
    <x v="14"/>
    <x v="2"/>
    <n v="2"/>
    <n v="999"/>
    <n v="0.2"/>
    <s v="Net Banking"/>
    <x v="0"/>
    <d v="2026-06-01T00:00:00"/>
    <d v="2026-06-01T00:00:00"/>
    <n v="1998"/>
    <n v="399.6"/>
    <n v="1598.4"/>
    <n v="6"/>
    <x v="0"/>
    <s v="May"/>
    <x v="3"/>
    <n v="0"/>
  </r>
  <r>
    <s v="ORD-10862"/>
    <d v="2026-05-22T00:00:00"/>
    <s v="CUST-1108"/>
    <s v="Customer 1179"/>
    <x v="2"/>
    <s v="Jaipur"/>
    <x v="5"/>
    <x v="4"/>
    <n v="1"/>
    <n v="499"/>
    <n v="0.05"/>
    <s v="Debit Card"/>
    <x v="1"/>
    <d v="2026-05-28T00:00:00"/>
    <m/>
    <n v="499"/>
    <n v="24.950000000000003"/>
    <n v="474.05"/>
    <s v=""/>
    <x v="1"/>
    <s v="May"/>
    <x v="3"/>
    <n v="0"/>
  </r>
  <r>
    <s v="ORD-10863"/>
    <d v="2026-06-30T00:00:00"/>
    <s v="CUST-1143"/>
    <s v="Customer 1156"/>
    <x v="3"/>
    <s v="Kolkata"/>
    <x v="2"/>
    <x v="2"/>
    <n v="2"/>
    <n v="699"/>
    <n v="0.2"/>
    <s v="Debit Card"/>
    <x v="0"/>
    <d v="2026-07-07T00:00:00"/>
    <d v="2026-07-02T00:00:00"/>
    <n v="1398"/>
    <n v="279.60000000000002"/>
    <n v="1118.4000000000001"/>
    <n v="2"/>
    <x v="0"/>
    <s v="Jun"/>
    <x v="2"/>
    <n v="0"/>
  </r>
  <r>
    <s v="ORD-10864"/>
    <d v="2026-08-30T00:00:00"/>
    <s v="CUST-1133"/>
    <s v="Customer 1067"/>
    <x v="3"/>
    <s v="Kolkata"/>
    <x v="5"/>
    <x v="4"/>
    <n v="2"/>
    <n v="499"/>
    <n v="0.05"/>
    <s v="COD"/>
    <x v="2"/>
    <d v="2026-09-05T00:00:00"/>
    <d v="2026-09-04T00:00:00"/>
    <n v="998"/>
    <n v="49.900000000000006"/>
    <n v="948.1"/>
    <n v="5"/>
    <x v="0"/>
    <s v="Aug"/>
    <x v="10"/>
    <n v="948.1"/>
  </r>
  <r>
    <s v="ORD-10865"/>
    <d v="2026-07-26T00:00:00"/>
    <s v="CUST-1244"/>
    <s v="Customer 1166"/>
    <x v="2"/>
    <s v="Lucknow"/>
    <x v="22"/>
    <x v="1"/>
    <n v="1"/>
    <n v="1199"/>
    <n v="0"/>
    <s v="Credit Card"/>
    <x v="0"/>
    <d v="2026-07-28T00:00:00"/>
    <d v="2026-07-28T00:00:00"/>
    <n v="1199"/>
    <n v="0"/>
    <n v="1199"/>
    <n v="2"/>
    <x v="0"/>
    <s v="Jul"/>
    <x v="11"/>
    <n v="0"/>
  </r>
  <r>
    <s v="ORD-10866"/>
    <d v="2026-07-16T00:00:00"/>
    <s v="CUST-1038"/>
    <s v="Customer 1227"/>
    <x v="1"/>
    <s v="Pune"/>
    <x v="4"/>
    <x v="3"/>
    <n v="3"/>
    <n v="1299"/>
    <n v="0.15"/>
    <s v="UPI"/>
    <x v="0"/>
    <d v="2026-07-22T00:00:00"/>
    <d v="2026-07-17T00:00:00"/>
    <n v="3897"/>
    <n v="584.54999999999995"/>
    <n v="3312.45"/>
    <n v="1"/>
    <x v="0"/>
    <s v="Jul"/>
    <x v="11"/>
    <n v="0"/>
  </r>
  <r>
    <s v="ORD-10867"/>
    <d v="2026-02-25T00:00:00"/>
    <s v="CUST-1130"/>
    <s v="Customer 1252"/>
    <x v="2"/>
    <s v="Delhi"/>
    <x v="16"/>
    <x v="2"/>
    <n v="2"/>
    <n v="899"/>
    <n v="0.15"/>
    <s v="Credit Card"/>
    <x v="2"/>
    <d v="2026-03-03T00:00:00"/>
    <d v="2026-02-27T00:00:00"/>
    <n v="1798"/>
    <n v="269.7"/>
    <n v="1528.3"/>
    <n v="2"/>
    <x v="0"/>
    <s v="Feb"/>
    <x v="4"/>
    <n v="1528.3"/>
  </r>
  <r>
    <s v="ORD-10868"/>
    <d v="2026-03-24T00:00:00"/>
    <s v="CUST-1050"/>
    <s v="Customer 1105"/>
    <x v="3"/>
    <s v="Patna"/>
    <x v="2"/>
    <x v="2"/>
    <n v="1"/>
    <n v="699"/>
    <n v="0.2"/>
    <s v="Credit Card"/>
    <x v="0"/>
    <d v="2026-03-30T00:00:00"/>
    <d v="2026-03-30T00:00:00"/>
    <n v="699"/>
    <n v="139.80000000000001"/>
    <n v="559.20000000000005"/>
    <n v="6"/>
    <x v="0"/>
    <s v="Mar"/>
    <x v="8"/>
    <n v="0"/>
  </r>
  <r>
    <s v="ORD-10869"/>
    <d v="2026-07-28T00:00:00"/>
    <s v="CUST-1271"/>
    <s v="Customer 1255"/>
    <x v="0"/>
    <s v="Chennai"/>
    <x v="18"/>
    <x v="3"/>
    <n v="2"/>
    <n v="1999"/>
    <n v="0"/>
    <s v="Debit Card"/>
    <x v="0"/>
    <d v="2026-08-04T00:00:00"/>
    <d v="2026-08-03T00:00:00"/>
    <n v="3998"/>
    <n v="0"/>
    <n v="3998"/>
    <n v="6"/>
    <x v="0"/>
    <s v="Jul"/>
    <x v="11"/>
    <n v="0"/>
  </r>
  <r>
    <s v="ORD-10870"/>
    <d v="2026-09-14T00:00:00"/>
    <s v="CUST-1219"/>
    <s v="Customer 1193"/>
    <x v="1"/>
    <s v="Pune"/>
    <x v="13"/>
    <x v="1"/>
    <n v="1"/>
    <n v="2499"/>
    <n v="0.2"/>
    <s v="COD"/>
    <x v="3"/>
    <d v="2026-09-17T00:00:00"/>
    <d v="2026-09-16T00:00:00"/>
    <n v="2499"/>
    <n v="499.8"/>
    <n v="1999.2"/>
    <n v="2"/>
    <x v="0"/>
    <s v="Sep"/>
    <x v="7"/>
    <n v="0"/>
  </r>
  <r>
    <s v="ORD-10871"/>
    <d v="2026-06-02T00:00:00"/>
    <s v="CUST-1115"/>
    <s v="Customer 1149"/>
    <x v="0"/>
    <s v="Bengaluru"/>
    <x v="7"/>
    <x v="2"/>
    <n v="1"/>
    <n v="3499"/>
    <n v="0.15"/>
    <s v="Credit Card"/>
    <x v="0"/>
    <d v="2026-06-08T00:00:00"/>
    <d v="2026-06-03T00:00:00"/>
    <n v="3499"/>
    <n v="524.85"/>
    <n v="2974.15"/>
    <n v="1"/>
    <x v="0"/>
    <s v="Jun"/>
    <x v="2"/>
    <n v="0"/>
  </r>
  <r>
    <s v="ORD-10872"/>
    <d v="2026-03-22T00:00:00"/>
    <s v="CUST-1266"/>
    <s v="Customer 1257"/>
    <x v="2"/>
    <s v="Chandigarh"/>
    <x v="6"/>
    <x v="0"/>
    <n v="4"/>
    <n v="699"/>
    <n v="0"/>
    <s v="COD"/>
    <x v="1"/>
    <d v="2026-03-25T00:00:00"/>
    <m/>
    <n v="2796"/>
    <n v="0"/>
    <n v="2796"/>
    <s v=""/>
    <x v="1"/>
    <s v="Mar"/>
    <x v="8"/>
    <n v="0"/>
  </r>
  <r>
    <s v="ORD-10873"/>
    <d v="2026-10-07T00:00:00"/>
    <s v="CUST-1174"/>
    <s v="Customer 1216"/>
    <x v="2"/>
    <s v="Chandigarh"/>
    <x v="9"/>
    <x v="1"/>
    <n v="2"/>
    <n v="899"/>
    <n v="0"/>
    <s v="COD"/>
    <x v="0"/>
    <d v="2026-10-11T00:00:00"/>
    <d v="2026-10-08T00:00:00"/>
    <n v="1798"/>
    <n v="0"/>
    <n v="1798"/>
    <n v="1"/>
    <x v="0"/>
    <s v="Oct"/>
    <x v="5"/>
    <n v="0"/>
  </r>
  <r>
    <s v="ORD-10874"/>
    <d v="2026-03-13T00:00:00"/>
    <s v="CUST-1019"/>
    <s v="Customer 1178"/>
    <x v="2"/>
    <s v="Jaipur"/>
    <x v="6"/>
    <x v="0"/>
    <n v="1"/>
    <n v="699"/>
    <n v="0.1"/>
    <s v="UPI"/>
    <x v="0"/>
    <d v="2026-03-18T00:00:00"/>
    <d v="2026-03-18T00:00:00"/>
    <n v="699"/>
    <n v="69.900000000000006"/>
    <n v="629.1"/>
    <n v="5"/>
    <x v="0"/>
    <s v="Mar"/>
    <x v="8"/>
    <n v="0"/>
  </r>
  <r>
    <s v="ORD-10875"/>
    <d v="2026-02-11T00:00:00"/>
    <s v="CUST-1255"/>
    <s v="Customer 1260"/>
    <x v="0"/>
    <s v="Kochi"/>
    <x v="22"/>
    <x v="1"/>
    <n v="3"/>
    <n v="1199"/>
    <n v="0.15"/>
    <s v="Credit Card"/>
    <x v="0"/>
    <d v="2026-02-18T00:00:00"/>
    <d v="2026-02-12T00:00:00"/>
    <n v="3597"/>
    <n v="539.54999999999995"/>
    <n v="3057.45"/>
    <n v="1"/>
    <x v="0"/>
    <s v="Feb"/>
    <x v="4"/>
    <n v="0"/>
  </r>
  <r>
    <s v="ORD-10876"/>
    <d v="2026-06-05T00:00:00"/>
    <s v="CUST-1274"/>
    <s v="Customer 1195"/>
    <x v="1"/>
    <s v="Ahmedabad"/>
    <x v="5"/>
    <x v="4"/>
    <n v="3"/>
    <n v="499"/>
    <n v="0.05"/>
    <s v="UPI"/>
    <x v="0"/>
    <d v="2026-06-07T00:00:00"/>
    <d v="2026-06-06T00:00:00"/>
    <n v="1497"/>
    <n v="74.850000000000009"/>
    <n v="1422.15"/>
    <n v="1"/>
    <x v="0"/>
    <s v="Jun"/>
    <x v="2"/>
    <n v="0"/>
  </r>
  <r>
    <s v="ORD-10877"/>
    <d v="2026-07-13T00:00:00"/>
    <s v="CUST-1060"/>
    <s v="Customer 1225"/>
    <x v="0"/>
    <s v="Kochi"/>
    <x v="19"/>
    <x v="3"/>
    <n v="2"/>
    <n v="1499"/>
    <n v="0.15"/>
    <s v="Net Banking"/>
    <x v="1"/>
    <d v="2026-07-16T00:00:00"/>
    <m/>
    <n v="2998"/>
    <n v="449.7"/>
    <n v="2548.3000000000002"/>
    <s v=""/>
    <x v="1"/>
    <s v="Jul"/>
    <x v="11"/>
    <n v="0"/>
  </r>
  <r>
    <s v="ORD-10878"/>
    <d v="2026-06-25T00:00:00"/>
    <s v="CUST-1212"/>
    <s v="Customer 1275"/>
    <x v="0"/>
    <s v="Hyderabad"/>
    <x v="0"/>
    <x v="0"/>
    <n v="1"/>
    <n v="1799"/>
    <n v="0"/>
    <s v="Credit Card"/>
    <x v="0"/>
    <d v="2026-06-27T00:00:00"/>
    <d v="2026-06-26T00:00:00"/>
    <n v="1799"/>
    <n v="0"/>
    <n v="1799"/>
    <n v="1"/>
    <x v="0"/>
    <s v="Jun"/>
    <x v="2"/>
    <n v="0"/>
  </r>
  <r>
    <s v="ORD-10879"/>
    <d v="2026-02-09T00:00:00"/>
    <s v="CUST-1150"/>
    <s v="Customer 1067"/>
    <x v="0"/>
    <s v="Bengaluru"/>
    <x v="14"/>
    <x v="2"/>
    <n v="1"/>
    <n v="999"/>
    <n v="0.15"/>
    <s v="Credit Card"/>
    <x v="0"/>
    <d v="2026-02-11T00:00:00"/>
    <d v="2026-02-10T00:00:00"/>
    <n v="999"/>
    <n v="149.85"/>
    <n v="849.15"/>
    <n v="1"/>
    <x v="0"/>
    <s v="Feb"/>
    <x v="4"/>
    <n v="0"/>
  </r>
  <r>
    <s v="ORD-10880"/>
    <d v="2026-02-09T00:00:00"/>
    <s v="CUST-1113"/>
    <s v="Customer 1228"/>
    <x v="3"/>
    <s v="Guwahati"/>
    <x v="8"/>
    <x v="3"/>
    <n v="1"/>
    <n v="799"/>
    <n v="0.2"/>
    <s v="Credit Card"/>
    <x v="0"/>
    <d v="2026-02-16T00:00:00"/>
    <d v="2026-02-12T00:00:00"/>
    <n v="799"/>
    <n v="159.80000000000001"/>
    <n v="639.20000000000005"/>
    <n v="3"/>
    <x v="0"/>
    <s v="Feb"/>
    <x v="4"/>
    <n v="0"/>
  </r>
  <r>
    <s v="ORD-10881"/>
    <d v="2026-12-01T00:00:00"/>
    <s v="CUST-1178"/>
    <s v="Customer 1211"/>
    <x v="2"/>
    <s v="Lucknow"/>
    <x v="11"/>
    <x v="1"/>
    <n v="1"/>
    <n v="3299"/>
    <n v="0.1"/>
    <s v="Debit Card"/>
    <x v="2"/>
    <d v="2026-12-07T00:00:00"/>
    <d v="2026-12-02T00:00:00"/>
    <n v="3299"/>
    <n v="329.90000000000003"/>
    <n v="2969.1"/>
    <n v="1"/>
    <x v="0"/>
    <s v="Dec"/>
    <x v="6"/>
    <n v="2969.1"/>
  </r>
  <r>
    <s v="ORD-10882"/>
    <d v="2026-03-12T00:00:00"/>
    <s v="CUST-1191"/>
    <s v="Customer 1073"/>
    <x v="3"/>
    <s v="Patna"/>
    <x v="4"/>
    <x v="3"/>
    <n v="3"/>
    <n v="1299"/>
    <n v="0.2"/>
    <s v="Credit Card"/>
    <x v="0"/>
    <d v="2026-03-19T00:00:00"/>
    <d v="2026-03-13T00:00:00"/>
    <n v="3897"/>
    <n v="779.40000000000009"/>
    <n v="3117.6"/>
    <n v="1"/>
    <x v="0"/>
    <s v="Mar"/>
    <x v="8"/>
    <n v="0"/>
  </r>
  <r>
    <s v="ORD-10883"/>
    <d v="2026-02-28T00:00:00"/>
    <s v="CUST-1031"/>
    <s v="Customer 1143"/>
    <x v="0"/>
    <s v="Chennai"/>
    <x v="5"/>
    <x v="4"/>
    <n v="1"/>
    <n v="499"/>
    <n v="0"/>
    <s v="Debit Card"/>
    <x v="0"/>
    <d v="2026-03-06T00:00:00"/>
    <d v="2026-03-01T00:00:00"/>
    <n v="499"/>
    <n v="0"/>
    <n v="499"/>
    <n v="1"/>
    <x v="0"/>
    <s v="Feb"/>
    <x v="4"/>
    <n v="0"/>
  </r>
  <r>
    <s v="ORD-10884"/>
    <d v="2026-07-16T00:00:00"/>
    <s v="CUST-1027"/>
    <s v="Customer 1157"/>
    <x v="3"/>
    <s v="Guwahati"/>
    <x v="19"/>
    <x v="3"/>
    <n v="1"/>
    <n v="1499"/>
    <n v="0.05"/>
    <s v="Credit Card"/>
    <x v="0"/>
    <d v="2026-07-19T00:00:00"/>
    <d v="2026-07-19T00:00:00"/>
    <n v="1499"/>
    <n v="74.95"/>
    <n v="1424.05"/>
    <n v="3"/>
    <x v="0"/>
    <s v="Jul"/>
    <x v="11"/>
    <n v="0"/>
  </r>
  <r>
    <s v="ORD-10885"/>
    <d v="2026-06-22T00:00:00"/>
    <s v="CUST-1219"/>
    <s v="Customer 1030"/>
    <x v="0"/>
    <s v="Hyderabad"/>
    <x v="3"/>
    <x v="3"/>
    <n v="4"/>
    <n v="1799"/>
    <n v="0.1"/>
    <s v="COD"/>
    <x v="0"/>
    <d v="2026-06-24T00:00:00"/>
    <d v="2026-06-24T00:00:00"/>
    <n v="7196"/>
    <n v="719.6"/>
    <n v="6476.4"/>
    <n v="2"/>
    <x v="0"/>
    <s v="Jun"/>
    <x v="2"/>
    <n v="0"/>
  </r>
  <r>
    <s v="ORD-10886"/>
    <d v="2026-08-26T00:00:00"/>
    <s v="CUST-1122"/>
    <s v="Customer 1068"/>
    <x v="0"/>
    <s v="Kochi"/>
    <x v="10"/>
    <x v="0"/>
    <n v="1"/>
    <n v="1899"/>
    <n v="0.2"/>
    <s v="COD"/>
    <x v="0"/>
    <d v="2026-08-29T00:00:00"/>
    <d v="2026-09-02T00:00:00"/>
    <n v="1899"/>
    <n v="379.8"/>
    <n v="1519.2"/>
    <n v="7"/>
    <x v="2"/>
    <s v="Aug"/>
    <x v="10"/>
    <n v="0"/>
  </r>
  <r>
    <s v="ORD-10887"/>
    <d v="2026-05-08T00:00:00"/>
    <s v="CUST-1020"/>
    <s v="Customer 1141"/>
    <x v="0"/>
    <s v="Hyderabad"/>
    <x v="6"/>
    <x v="0"/>
    <n v="3"/>
    <n v="699"/>
    <n v="0.1"/>
    <s v="Debit Card"/>
    <x v="1"/>
    <d v="2026-05-13T00:00:00"/>
    <m/>
    <n v="2097"/>
    <n v="209.70000000000002"/>
    <n v="1887.3"/>
    <s v=""/>
    <x v="1"/>
    <s v="May"/>
    <x v="3"/>
    <n v="0"/>
  </r>
  <r>
    <s v="ORD-10888"/>
    <d v="2026-01-07T00:00:00"/>
    <s v="CUST-1237"/>
    <s v="Customer 1009"/>
    <x v="2"/>
    <s v="Lucknow"/>
    <x v="10"/>
    <x v="0"/>
    <n v="1"/>
    <n v="1899"/>
    <n v="0.2"/>
    <s v="Debit Card"/>
    <x v="3"/>
    <d v="2026-01-11T00:00:00"/>
    <d v="2026-01-11T00:00:00"/>
    <n v="1899"/>
    <n v="379.8"/>
    <n v="1519.2"/>
    <n v="4"/>
    <x v="0"/>
    <s v="Jan"/>
    <x v="9"/>
    <n v="0"/>
  </r>
  <r>
    <s v="ORD-10889"/>
    <d v="2026-07-03T00:00:00"/>
    <s v="CUST-1142"/>
    <s v="Customer 1283"/>
    <x v="3"/>
    <s v="Kolkata"/>
    <x v="17"/>
    <x v="4"/>
    <n v="2"/>
    <n v="399"/>
    <n v="0.2"/>
    <s v="Credit Card"/>
    <x v="0"/>
    <d v="2026-07-05T00:00:00"/>
    <d v="2026-07-04T00:00:00"/>
    <n v="798"/>
    <n v="159.60000000000002"/>
    <n v="638.4"/>
    <n v="1"/>
    <x v="0"/>
    <s v="Jul"/>
    <x v="11"/>
    <n v="0"/>
  </r>
  <r>
    <s v="ORD-10890"/>
    <d v="2026-05-13T00:00:00"/>
    <s v="CUST-1076"/>
    <s v="Customer 1026"/>
    <x v="2"/>
    <s v="Delhi"/>
    <x v="20"/>
    <x v="4"/>
    <n v="3"/>
    <n v="599"/>
    <n v="0.1"/>
    <s v="Debit Card"/>
    <x v="3"/>
    <d v="2026-05-18T00:00:00"/>
    <d v="2026-05-15T00:00:00"/>
    <n v="1797"/>
    <n v="179.70000000000002"/>
    <n v="1617.3"/>
    <n v="2"/>
    <x v="0"/>
    <s v="May"/>
    <x v="3"/>
    <n v="0"/>
  </r>
  <r>
    <s v="ORD-10891"/>
    <d v="2026-12-17T00:00:00"/>
    <s v="CUST-1032"/>
    <s v="Customer 1133"/>
    <x v="1"/>
    <s v="Mumbai"/>
    <x v="4"/>
    <x v="3"/>
    <n v="2"/>
    <n v="1299"/>
    <n v="0.15"/>
    <s v="COD"/>
    <x v="0"/>
    <d v="2026-12-19T00:00:00"/>
    <d v="2026-12-18T00:00:00"/>
    <n v="2598"/>
    <n v="389.7"/>
    <n v="2208.3000000000002"/>
    <n v="1"/>
    <x v="0"/>
    <s v="Dec"/>
    <x v="6"/>
    <n v="0"/>
  </r>
  <r>
    <s v="ORD-10892"/>
    <d v="2026-01-23T00:00:00"/>
    <s v="CUST-1040"/>
    <s v="Customer 1122"/>
    <x v="2"/>
    <s v="Delhi"/>
    <x v="10"/>
    <x v="0"/>
    <n v="2"/>
    <n v="1899"/>
    <n v="0.1"/>
    <s v="UPI"/>
    <x v="0"/>
    <d v="2026-01-29T00:00:00"/>
    <d v="2026-01-28T00:00:00"/>
    <n v="3798"/>
    <n v="379.8"/>
    <n v="3418.2"/>
    <n v="5"/>
    <x v="0"/>
    <s v="Jan"/>
    <x v="9"/>
    <n v="0"/>
  </r>
  <r>
    <s v="ORD-10893"/>
    <d v="2026-12-15T00:00:00"/>
    <s v="CUST-1172"/>
    <s v="Customer 1209"/>
    <x v="1"/>
    <s v="Ahmedabad"/>
    <x v="11"/>
    <x v="1"/>
    <n v="1"/>
    <n v="3299"/>
    <n v="0.15"/>
    <s v="Debit Card"/>
    <x v="0"/>
    <d v="2026-12-17T00:00:00"/>
    <d v="2026-12-17T00:00:00"/>
    <n v="3299"/>
    <n v="494.84999999999997"/>
    <n v="2804.15"/>
    <n v="2"/>
    <x v="0"/>
    <s v="Dec"/>
    <x v="6"/>
    <n v="0"/>
  </r>
  <r>
    <s v="ORD-10894"/>
    <d v="2026-01-16T00:00:00"/>
    <s v="CUST-1109"/>
    <s v="Customer 1161"/>
    <x v="2"/>
    <s v="Chandigarh"/>
    <x v="10"/>
    <x v="0"/>
    <n v="1"/>
    <n v="1899"/>
    <n v="0"/>
    <s v="Debit Card"/>
    <x v="0"/>
    <d v="2026-01-22T00:00:00"/>
    <d v="2026-01-21T00:00:00"/>
    <n v="1899"/>
    <n v="0"/>
    <n v="1899"/>
    <n v="5"/>
    <x v="0"/>
    <s v="Jan"/>
    <x v="9"/>
    <n v="0"/>
  </r>
  <r>
    <s v="ORD-10895"/>
    <d v="2026-01-17T00:00:00"/>
    <s v="CUST-1115"/>
    <s v="Customer 1290"/>
    <x v="2"/>
    <s v="Jaipur"/>
    <x v="24"/>
    <x v="4"/>
    <n v="2"/>
    <n v="1499"/>
    <n v="0.05"/>
    <s v="Net Banking"/>
    <x v="3"/>
    <d v="2026-01-24T00:00:00"/>
    <d v="2026-01-18T00:00:00"/>
    <n v="2998"/>
    <n v="149.9"/>
    <n v="2848.1"/>
    <n v="1"/>
    <x v="0"/>
    <s v="Jan"/>
    <x v="9"/>
    <n v="0"/>
  </r>
  <r>
    <s v="ORD-10896"/>
    <d v="2026-11-07T00:00:00"/>
    <s v="CUST-1125"/>
    <s v="Customer 1169"/>
    <x v="3"/>
    <s v="Kolkata"/>
    <x v="9"/>
    <x v="1"/>
    <n v="2"/>
    <n v="899"/>
    <n v="0.2"/>
    <s v="COD"/>
    <x v="0"/>
    <d v="2026-11-11T00:00:00"/>
    <d v="2026-11-10T00:00:00"/>
    <n v="1798"/>
    <n v="359.6"/>
    <n v="1438.4"/>
    <n v="3"/>
    <x v="0"/>
    <s v="Nov"/>
    <x v="1"/>
    <n v="0"/>
  </r>
  <r>
    <s v="ORD-10897"/>
    <d v="2026-06-11T00:00:00"/>
    <s v="CUST-1186"/>
    <s v="Customer 1041"/>
    <x v="1"/>
    <s v="Ahmedabad"/>
    <x v="12"/>
    <x v="2"/>
    <n v="2"/>
    <n v="1599"/>
    <n v="0"/>
    <s v="Credit Card"/>
    <x v="0"/>
    <d v="2026-06-18T00:00:00"/>
    <d v="2026-06-22T00:00:00"/>
    <n v="3198"/>
    <n v="0"/>
    <n v="3198"/>
    <n v="11"/>
    <x v="2"/>
    <s v="Jun"/>
    <x v="2"/>
    <n v="0"/>
  </r>
  <r>
    <s v="ORD-10898"/>
    <d v="2026-11-06T00:00:00"/>
    <s v="CUST-1276"/>
    <s v="Customer 1126"/>
    <x v="2"/>
    <s v="Delhi"/>
    <x v="23"/>
    <x v="0"/>
    <n v="1"/>
    <n v="2999"/>
    <n v="0.15"/>
    <s v="Credit Card"/>
    <x v="1"/>
    <d v="2026-11-09T00:00:00"/>
    <m/>
    <n v="2999"/>
    <n v="449.84999999999997"/>
    <n v="2549.15"/>
    <s v=""/>
    <x v="1"/>
    <s v="Nov"/>
    <x v="1"/>
    <n v="0"/>
  </r>
  <r>
    <s v="ORD-10899"/>
    <d v="2026-05-27T00:00:00"/>
    <s v="CUST-1295"/>
    <s v="Customer 1254"/>
    <x v="3"/>
    <s v="Bhubaneswar"/>
    <x v="11"/>
    <x v="1"/>
    <n v="1"/>
    <n v="3299"/>
    <n v="0"/>
    <s v="UPI"/>
    <x v="0"/>
    <d v="2026-06-01T00:00:00"/>
    <d v="2026-05-29T00:00:00"/>
    <n v="3299"/>
    <n v="0"/>
    <n v="3299"/>
    <n v="2"/>
    <x v="0"/>
    <s v="May"/>
    <x v="3"/>
    <n v="0"/>
  </r>
  <r>
    <s v="ORD-10900"/>
    <d v="2026-03-27T00:00:00"/>
    <s v="CUST-1018"/>
    <s v="Customer 1221"/>
    <x v="1"/>
    <s v="Pune"/>
    <x v="17"/>
    <x v="4"/>
    <n v="1"/>
    <n v="399"/>
    <n v="0.1"/>
    <s v="COD"/>
    <x v="2"/>
    <d v="2026-04-01T00:00:00"/>
    <d v="2026-03-29T00:00:00"/>
    <n v="399"/>
    <n v="39.900000000000006"/>
    <n v="359.1"/>
    <n v="2"/>
    <x v="0"/>
    <s v="Mar"/>
    <x v="8"/>
    <n v="359.1"/>
  </r>
  <r>
    <s v="ORD-10901"/>
    <d v="2026-09-21T00:00:00"/>
    <s v="CUST-1124"/>
    <s v="Customer 1151"/>
    <x v="0"/>
    <s v="Chennai"/>
    <x v="4"/>
    <x v="3"/>
    <n v="3"/>
    <n v="1299"/>
    <n v="0.15"/>
    <s v="Net Banking"/>
    <x v="0"/>
    <d v="2026-09-24T00:00:00"/>
    <d v="2026-09-24T00:00:00"/>
    <n v="3897"/>
    <n v="584.54999999999995"/>
    <n v="3312.45"/>
    <n v="3"/>
    <x v="0"/>
    <s v="Sep"/>
    <x v="7"/>
    <n v="0"/>
  </r>
  <r>
    <s v="ORD-10902"/>
    <d v="2026-11-08T00:00:00"/>
    <s v="CUST-1231"/>
    <s v="Customer 1224"/>
    <x v="0"/>
    <s v="Hyderabad"/>
    <x v="10"/>
    <x v="0"/>
    <n v="2"/>
    <n v="1899"/>
    <n v="0"/>
    <s v="UPI"/>
    <x v="2"/>
    <d v="2026-11-12T00:00:00"/>
    <d v="2026-11-16T00:00:00"/>
    <n v="3798"/>
    <n v="0"/>
    <n v="3798"/>
    <n v="8"/>
    <x v="2"/>
    <s v="Nov"/>
    <x v="1"/>
    <n v="3798"/>
  </r>
  <r>
    <s v="ORD-10903"/>
    <d v="2026-10-29T00:00:00"/>
    <s v="CUST-1233"/>
    <s v="Customer 1195"/>
    <x v="2"/>
    <s v="Chandigarh"/>
    <x v="2"/>
    <x v="2"/>
    <n v="4"/>
    <n v="699"/>
    <n v="0.2"/>
    <s v="UPI"/>
    <x v="0"/>
    <d v="2026-10-31T00:00:00"/>
    <d v="2026-10-31T00:00:00"/>
    <n v="2796"/>
    <n v="559.20000000000005"/>
    <n v="2236.8000000000002"/>
    <n v="2"/>
    <x v="0"/>
    <s v="Oct"/>
    <x v="5"/>
    <n v="0"/>
  </r>
  <r>
    <s v="ORD-10904"/>
    <d v="2026-10-29T00:00:00"/>
    <s v="CUST-1266"/>
    <s v="Customer 1269"/>
    <x v="2"/>
    <s v="Chandigarh"/>
    <x v="7"/>
    <x v="2"/>
    <n v="1"/>
    <n v="3499"/>
    <n v="0"/>
    <s v="Credit Card"/>
    <x v="0"/>
    <d v="2026-11-03T00:00:00"/>
    <d v="2026-11-03T00:00:00"/>
    <n v="3499"/>
    <n v="0"/>
    <n v="3499"/>
    <n v="5"/>
    <x v="0"/>
    <s v="Oct"/>
    <x v="5"/>
    <n v="0"/>
  </r>
  <r>
    <s v="ORD-10905"/>
    <d v="2026-06-13T00:00:00"/>
    <s v="CUST-1221"/>
    <s v="Customer 1266"/>
    <x v="3"/>
    <s v="Patna"/>
    <x v="23"/>
    <x v="0"/>
    <n v="3"/>
    <n v="2999"/>
    <n v="0.05"/>
    <s v="UPI"/>
    <x v="3"/>
    <d v="2026-06-20T00:00:00"/>
    <d v="2026-06-22T00:00:00"/>
    <n v="8997"/>
    <n v="449.85"/>
    <n v="8547.15"/>
    <n v="9"/>
    <x v="2"/>
    <s v="Jun"/>
    <x v="2"/>
    <n v="0"/>
  </r>
  <r>
    <s v="ORD-10906"/>
    <d v="2026-05-26T00:00:00"/>
    <s v="CUST-1148"/>
    <s v="Customer 1133"/>
    <x v="2"/>
    <s v="Lucknow"/>
    <x v="18"/>
    <x v="3"/>
    <n v="1"/>
    <n v="1999"/>
    <n v="0.1"/>
    <s v="Debit Card"/>
    <x v="0"/>
    <d v="2026-05-31T00:00:00"/>
    <d v="2026-05-28T00:00:00"/>
    <n v="1999"/>
    <n v="199.9"/>
    <n v="1799.1"/>
    <n v="2"/>
    <x v="0"/>
    <s v="May"/>
    <x v="3"/>
    <n v="0"/>
  </r>
  <r>
    <s v="ORD-10907"/>
    <d v="2026-02-19T00:00:00"/>
    <s v="CUST-1004"/>
    <s v="Customer 1251"/>
    <x v="0"/>
    <s v="Chennai"/>
    <x v="0"/>
    <x v="0"/>
    <n v="1"/>
    <n v="1799"/>
    <n v="0.2"/>
    <s v="Credit Card"/>
    <x v="0"/>
    <d v="2026-02-25T00:00:00"/>
    <d v="2026-02-27T00:00:00"/>
    <n v="1799"/>
    <n v="359.8"/>
    <n v="1439.2"/>
    <n v="8"/>
    <x v="2"/>
    <s v="Feb"/>
    <x v="4"/>
    <n v="0"/>
  </r>
  <r>
    <s v="ORD-10908"/>
    <d v="2026-10-20T00:00:00"/>
    <s v="CUST-1062"/>
    <s v="Customer 1228"/>
    <x v="0"/>
    <s v="Hyderabad"/>
    <x v="16"/>
    <x v="2"/>
    <n v="1"/>
    <n v="899"/>
    <n v="0.15"/>
    <s v="COD"/>
    <x v="0"/>
    <d v="2026-10-25T00:00:00"/>
    <d v="2026-10-21T00:00:00"/>
    <n v="899"/>
    <n v="134.85"/>
    <n v="764.15"/>
    <n v="1"/>
    <x v="0"/>
    <s v="Oct"/>
    <x v="5"/>
    <n v="0"/>
  </r>
  <r>
    <s v="ORD-10909"/>
    <d v="2026-03-12T00:00:00"/>
    <s v="CUST-1039"/>
    <s v="Customer 1168"/>
    <x v="3"/>
    <s v="Guwahati"/>
    <x v="6"/>
    <x v="0"/>
    <n v="5"/>
    <n v="699"/>
    <n v="0"/>
    <s v="Debit Card"/>
    <x v="3"/>
    <d v="2026-03-14T00:00:00"/>
    <d v="2026-03-13T00:00:00"/>
    <n v="3495"/>
    <n v="0"/>
    <n v="3495"/>
    <n v="1"/>
    <x v="0"/>
    <s v="Mar"/>
    <x v="8"/>
    <n v="0"/>
  </r>
  <r>
    <s v="ORD-10910"/>
    <d v="2026-11-19T00:00:00"/>
    <s v="CUST-1163"/>
    <s v="Customer 1098"/>
    <x v="1"/>
    <s v="Ahmedabad"/>
    <x v="23"/>
    <x v="0"/>
    <n v="2"/>
    <n v="2999"/>
    <n v="0"/>
    <s v="Debit Card"/>
    <x v="0"/>
    <d v="2026-11-24T00:00:00"/>
    <d v="2026-11-24T00:00:00"/>
    <n v="5998"/>
    <n v="0"/>
    <n v="5998"/>
    <n v="5"/>
    <x v="0"/>
    <s v="Nov"/>
    <x v="1"/>
    <n v="0"/>
  </r>
  <r>
    <s v="ORD-10911"/>
    <d v="2026-10-28T00:00:00"/>
    <s v="CUST-1255"/>
    <s v="Customer 1145"/>
    <x v="0"/>
    <s v="Bengaluru"/>
    <x v="2"/>
    <x v="2"/>
    <n v="1"/>
    <n v="699"/>
    <n v="0.05"/>
    <s v="Credit Card"/>
    <x v="0"/>
    <d v="2026-11-02T00:00:00"/>
    <d v="2026-10-30T00:00:00"/>
    <n v="699"/>
    <n v="34.950000000000003"/>
    <n v="664.05"/>
    <n v="2"/>
    <x v="0"/>
    <s v="Oct"/>
    <x v="5"/>
    <n v="0"/>
  </r>
  <r>
    <s v="ORD-10912"/>
    <d v="2026-04-20T00:00:00"/>
    <s v="CUST-1107"/>
    <s v="Customer 1092"/>
    <x v="1"/>
    <s v="Pune"/>
    <x v="3"/>
    <x v="3"/>
    <n v="1"/>
    <n v="1799"/>
    <n v="0"/>
    <s v="Net Banking"/>
    <x v="1"/>
    <d v="2026-04-26T00:00:00"/>
    <m/>
    <n v="1799"/>
    <n v="0"/>
    <n v="1799"/>
    <s v=""/>
    <x v="1"/>
    <s v="Apr"/>
    <x v="0"/>
    <n v="0"/>
  </r>
  <r>
    <s v="ORD-10913"/>
    <d v="2026-07-14T00:00:00"/>
    <s v="CUST-1154"/>
    <s v="Customer 1119"/>
    <x v="0"/>
    <s v="Kochi"/>
    <x v="10"/>
    <x v="0"/>
    <n v="2"/>
    <n v="1899"/>
    <n v="0.05"/>
    <s v="Debit Card"/>
    <x v="0"/>
    <d v="2026-07-20T00:00:00"/>
    <d v="2026-07-16T00:00:00"/>
    <n v="3798"/>
    <n v="189.9"/>
    <n v="3608.1"/>
    <n v="2"/>
    <x v="0"/>
    <s v="Jul"/>
    <x v="11"/>
    <n v="0"/>
  </r>
  <r>
    <s v="ORD-10914"/>
    <d v="2026-11-03T00:00:00"/>
    <s v="CUST-1215"/>
    <s v="Customer 1229"/>
    <x v="2"/>
    <s v="Chandigarh"/>
    <x v="5"/>
    <x v="4"/>
    <n v="1"/>
    <n v="499"/>
    <n v="0.15"/>
    <s v="Debit Card"/>
    <x v="0"/>
    <d v="2026-11-06T00:00:00"/>
    <d v="2026-11-05T00:00:00"/>
    <n v="499"/>
    <n v="74.849999999999994"/>
    <n v="424.15"/>
    <n v="2"/>
    <x v="0"/>
    <s v="Nov"/>
    <x v="1"/>
    <n v="0"/>
  </r>
  <r>
    <s v="ORD-10915"/>
    <d v="2026-04-01T00:00:00"/>
    <s v="CUST-1248"/>
    <s v="Customer 1251"/>
    <x v="2"/>
    <s v="Jaipur"/>
    <x v="17"/>
    <x v="4"/>
    <n v="2"/>
    <n v="399"/>
    <n v="0.1"/>
    <s v="UPI"/>
    <x v="0"/>
    <d v="2026-04-08T00:00:00"/>
    <d v="2026-04-03T00:00:00"/>
    <n v="798"/>
    <n v="79.800000000000011"/>
    <n v="718.2"/>
    <n v="2"/>
    <x v="0"/>
    <s v="Apr"/>
    <x v="0"/>
    <n v="0"/>
  </r>
  <r>
    <s v="ORD-10916"/>
    <d v="2026-05-18T00:00:00"/>
    <s v="CUST-1134"/>
    <s v="Customer 1163"/>
    <x v="3"/>
    <s v="Bhubaneswar"/>
    <x v="18"/>
    <x v="3"/>
    <n v="2"/>
    <n v="1999"/>
    <n v="0.15"/>
    <s v="UPI"/>
    <x v="1"/>
    <d v="2026-05-22T00:00:00"/>
    <m/>
    <n v="3998"/>
    <n v="599.69999999999993"/>
    <n v="3398.3"/>
    <s v=""/>
    <x v="1"/>
    <s v="May"/>
    <x v="3"/>
    <n v="0"/>
  </r>
  <r>
    <s v="ORD-10917"/>
    <d v="2026-07-24T00:00:00"/>
    <s v="CUST-1024"/>
    <s v="Customer 1158"/>
    <x v="3"/>
    <s v="Guwahati"/>
    <x v="5"/>
    <x v="4"/>
    <n v="1"/>
    <n v="499"/>
    <n v="0"/>
    <s v="Debit Card"/>
    <x v="0"/>
    <d v="2026-07-31T00:00:00"/>
    <d v="2026-07-30T00:00:00"/>
    <n v="499"/>
    <n v="0"/>
    <n v="499"/>
    <n v="6"/>
    <x v="0"/>
    <s v="Jul"/>
    <x v="11"/>
    <n v="0"/>
  </r>
  <r>
    <s v="ORD-10918"/>
    <d v="2026-03-27T00:00:00"/>
    <s v="CUST-1067"/>
    <s v="Customer 1277"/>
    <x v="3"/>
    <s v="Guwahati"/>
    <x v="7"/>
    <x v="2"/>
    <n v="2"/>
    <n v="3499"/>
    <n v="0"/>
    <s v="COD"/>
    <x v="1"/>
    <d v="2026-03-31T00:00:00"/>
    <m/>
    <n v="6998"/>
    <n v="0"/>
    <n v="6998"/>
    <s v=""/>
    <x v="1"/>
    <s v="Mar"/>
    <x v="8"/>
    <n v="0"/>
  </r>
  <r>
    <s v="ORD-10919"/>
    <d v="2026-12-27T00:00:00"/>
    <s v="CUST-1186"/>
    <s v="Customer 1275"/>
    <x v="0"/>
    <s v="Bengaluru"/>
    <x v="17"/>
    <x v="4"/>
    <n v="1"/>
    <n v="399"/>
    <n v="0.1"/>
    <s v="COD"/>
    <x v="0"/>
    <d v="2027-01-03T00:00:00"/>
    <d v="2026-12-29T00:00:00"/>
    <n v="399"/>
    <n v="39.900000000000006"/>
    <n v="359.1"/>
    <n v="2"/>
    <x v="0"/>
    <s v="Dec"/>
    <x v="6"/>
    <n v="0"/>
  </r>
  <r>
    <s v="ORD-10920"/>
    <d v="2026-04-28T00:00:00"/>
    <s v="CUST-1007"/>
    <s v="Customer 1019"/>
    <x v="1"/>
    <s v="Pune"/>
    <x v="13"/>
    <x v="1"/>
    <n v="1"/>
    <n v="2499"/>
    <n v="0.05"/>
    <s v="Debit Card"/>
    <x v="0"/>
    <d v="2026-05-03T00:00:00"/>
    <d v="2026-04-30T00:00:00"/>
    <n v="2499"/>
    <n v="124.95"/>
    <n v="2374.0500000000002"/>
    <n v="2"/>
    <x v="0"/>
    <s v="Apr"/>
    <x v="0"/>
    <n v="0"/>
  </r>
  <r>
    <s v="ORD-10921"/>
    <d v="2026-09-06T00:00:00"/>
    <s v="CUST-1127"/>
    <s v="Customer 1018"/>
    <x v="0"/>
    <s v="Bengaluru"/>
    <x v="13"/>
    <x v="1"/>
    <n v="1"/>
    <n v="2499"/>
    <n v="0.1"/>
    <s v="Debit Card"/>
    <x v="0"/>
    <d v="2026-09-09T00:00:00"/>
    <d v="2026-09-09T00:00:00"/>
    <n v="2499"/>
    <n v="249.9"/>
    <n v="2249.1"/>
    <n v="3"/>
    <x v="0"/>
    <s v="Sep"/>
    <x v="7"/>
    <n v="0"/>
  </r>
  <r>
    <s v="ORD-10922"/>
    <d v="2026-03-09T00:00:00"/>
    <s v="CUST-1011"/>
    <s v="Customer 1008"/>
    <x v="2"/>
    <s v="Delhi"/>
    <x v="5"/>
    <x v="4"/>
    <n v="3"/>
    <n v="499"/>
    <n v="0.1"/>
    <s v="UPI"/>
    <x v="0"/>
    <d v="2026-03-11T00:00:00"/>
    <d v="2026-03-11T00:00:00"/>
    <n v="1497"/>
    <n v="149.70000000000002"/>
    <n v="1347.3"/>
    <n v="2"/>
    <x v="0"/>
    <s v="Mar"/>
    <x v="8"/>
    <n v="0"/>
  </r>
  <r>
    <s v="ORD-10923"/>
    <d v="2026-04-10T00:00:00"/>
    <s v="CUST-1141"/>
    <s v="Customer 1235"/>
    <x v="1"/>
    <s v="Mumbai"/>
    <x v="13"/>
    <x v="1"/>
    <n v="3"/>
    <n v="2499"/>
    <n v="0.1"/>
    <s v="Debit Card"/>
    <x v="0"/>
    <d v="2026-04-16T00:00:00"/>
    <d v="2026-04-13T00:00:00"/>
    <n v="7497"/>
    <n v="749.7"/>
    <n v="6747.3"/>
    <n v="3"/>
    <x v="0"/>
    <s v="Apr"/>
    <x v="0"/>
    <n v="0"/>
  </r>
  <r>
    <s v="ORD-10924"/>
    <d v="2026-08-30T00:00:00"/>
    <s v="CUST-1146"/>
    <s v="Customer 1274"/>
    <x v="1"/>
    <s v="Mumbai"/>
    <x v="10"/>
    <x v="0"/>
    <n v="1"/>
    <n v="1899"/>
    <n v="0.15"/>
    <s v="UPI"/>
    <x v="0"/>
    <d v="2026-09-04T00:00:00"/>
    <d v="2026-09-03T00:00:00"/>
    <n v="1899"/>
    <n v="284.84999999999997"/>
    <n v="1614.15"/>
    <n v="4"/>
    <x v="0"/>
    <s v="Aug"/>
    <x v="10"/>
    <n v="0"/>
  </r>
  <r>
    <s v="ORD-10925"/>
    <d v="2026-07-21T00:00:00"/>
    <s v="CUST-1204"/>
    <s v="Customer 1119"/>
    <x v="1"/>
    <s v="Goa"/>
    <x v="19"/>
    <x v="3"/>
    <n v="4"/>
    <n v="1499"/>
    <n v="0.2"/>
    <s v="UPI"/>
    <x v="0"/>
    <d v="2026-07-24T00:00:00"/>
    <d v="2026-07-22T00:00:00"/>
    <n v="5996"/>
    <n v="1199.2"/>
    <n v="4796.8"/>
    <n v="1"/>
    <x v="0"/>
    <s v="Jul"/>
    <x v="11"/>
    <n v="0"/>
  </r>
  <r>
    <s v="ORD-10926"/>
    <d v="2026-02-25T00:00:00"/>
    <s v="CUST-1288"/>
    <s v="Customer 1087"/>
    <x v="3"/>
    <s v="Patna"/>
    <x v="24"/>
    <x v="4"/>
    <n v="2"/>
    <n v="1499"/>
    <n v="0.1"/>
    <s v="Credit Card"/>
    <x v="3"/>
    <d v="2026-03-04T00:00:00"/>
    <d v="2026-03-05T00:00:00"/>
    <n v="2998"/>
    <n v="299.8"/>
    <n v="2698.2"/>
    <n v="8"/>
    <x v="2"/>
    <s v="Feb"/>
    <x v="4"/>
    <n v="0"/>
  </r>
  <r>
    <s v="ORD-10927"/>
    <d v="2026-02-12T00:00:00"/>
    <s v="CUST-1291"/>
    <s v="Customer 1120"/>
    <x v="1"/>
    <s v="Goa"/>
    <x v="1"/>
    <x v="1"/>
    <n v="1"/>
    <n v="599"/>
    <n v="0.2"/>
    <s v="Net Banking"/>
    <x v="1"/>
    <d v="2026-02-19T00:00:00"/>
    <m/>
    <n v="599"/>
    <n v="119.80000000000001"/>
    <n v="479.2"/>
    <s v=""/>
    <x v="1"/>
    <s v="Feb"/>
    <x v="4"/>
    <n v="0"/>
  </r>
  <r>
    <s v="ORD-10928"/>
    <d v="2026-06-09T00:00:00"/>
    <s v="CUST-1003"/>
    <s v="Customer 1138"/>
    <x v="0"/>
    <s v="Kochi"/>
    <x v="23"/>
    <x v="0"/>
    <n v="2"/>
    <n v="2999"/>
    <n v="0.05"/>
    <s v="UPI"/>
    <x v="0"/>
    <d v="2026-06-16T00:00:00"/>
    <d v="2026-06-13T00:00:00"/>
    <n v="5998"/>
    <n v="299.90000000000003"/>
    <n v="5698.1"/>
    <n v="4"/>
    <x v="0"/>
    <s v="Jun"/>
    <x v="2"/>
    <n v="0"/>
  </r>
  <r>
    <s v="ORD-10929"/>
    <d v="2026-06-10T00:00:00"/>
    <s v="CUST-1042"/>
    <s v="Customer 1054"/>
    <x v="1"/>
    <s v="Goa"/>
    <x v="13"/>
    <x v="1"/>
    <n v="4"/>
    <n v="2499"/>
    <n v="0.05"/>
    <s v="Debit Card"/>
    <x v="0"/>
    <d v="2026-06-17T00:00:00"/>
    <d v="2026-06-15T00:00:00"/>
    <n v="9996"/>
    <n v="499.8"/>
    <n v="9496.2000000000007"/>
    <n v="5"/>
    <x v="0"/>
    <s v="Jun"/>
    <x v="2"/>
    <n v="0"/>
  </r>
  <r>
    <s v="ORD-10930"/>
    <d v="2026-01-07T00:00:00"/>
    <s v="CUST-1020"/>
    <s v="Customer 1218"/>
    <x v="3"/>
    <s v="Kolkata"/>
    <x v="20"/>
    <x v="4"/>
    <n v="1"/>
    <n v="599"/>
    <n v="0"/>
    <s v="Credit Card"/>
    <x v="0"/>
    <d v="2026-01-12T00:00:00"/>
    <d v="2026-01-08T00:00:00"/>
    <n v="599"/>
    <n v="0"/>
    <n v="599"/>
    <n v="1"/>
    <x v="0"/>
    <s v="Jan"/>
    <x v="9"/>
    <n v="0"/>
  </r>
  <r>
    <s v="ORD-10931"/>
    <d v="2026-03-13T00:00:00"/>
    <s v="CUST-1151"/>
    <s v="Customer 1139"/>
    <x v="3"/>
    <s v="Bhubaneswar"/>
    <x v="13"/>
    <x v="1"/>
    <n v="2"/>
    <n v="2499"/>
    <n v="0.2"/>
    <s v="Net Banking"/>
    <x v="0"/>
    <d v="2026-03-15T00:00:00"/>
    <d v="2026-03-15T00:00:00"/>
    <n v="4998"/>
    <n v="999.6"/>
    <n v="3998.4"/>
    <n v="2"/>
    <x v="0"/>
    <s v="Mar"/>
    <x v="8"/>
    <n v="0"/>
  </r>
  <r>
    <s v="ORD-10932"/>
    <d v="2026-03-14T00:00:00"/>
    <s v="CUST-1242"/>
    <s v="Customer 1237"/>
    <x v="2"/>
    <s v="Lucknow"/>
    <x v="1"/>
    <x v="1"/>
    <n v="1"/>
    <n v="599"/>
    <n v="0.05"/>
    <s v="COD"/>
    <x v="2"/>
    <d v="2026-03-18T00:00:00"/>
    <d v="2026-03-17T00:00:00"/>
    <n v="599"/>
    <n v="29.950000000000003"/>
    <n v="569.04999999999995"/>
    <n v="3"/>
    <x v="0"/>
    <s v="Mar"/>
    <x v="8"/>
    <n v="569.04999999999995"/>
  </r>
  <r>
    <s v="ORD-10933"/>
    <d v="2026-09-26T00:00:00"/>
    <s v="CUST-1035"/>
    <s v="Customer 1003"/>
    <x v="1"/>
    <s v="Ahmedabad"/>
    <x v="2"/>
    <x v="2"/>
    <n v="2"/>
    <n v="699"/>
    <n v="0.15"/>
    <s v="UPI"/>
    <x v="0"/>
    <d v="2026-10-01T00:00:00"/>
    <d v="2026-09-30T00:00:00"/>
    <n v="1398"/>
    <n v="209.7"/>
    <n v="1188.3"/>
    <n v="4"/>
    <x v="0"/>
    <s v="Sep"/>
    <x v="7"/>
    <n v="0"/>
  </r>
  <r>
    <s v="ORD-10934"/>
    <d v="2026-10-03T00:00:00"/>
    <s v="CUST-1081"/>
    <s v="Customer 1035"/>
    <x v="2"/>
    <s v="Jaipur"/>
    <x v="14"/>
    <x v="2"/>
    <n v="2"/>
    <n v="999"/>
    <n v="0"/>
    <s v="UPI"/>
    <x v="1"/>
    <d v="2026-10-08T00:00:00"/>
    <m/>
    <n v="1998"/>
    <n v="0"/>
    <n v="1998"/>
    <s v=""/>
    <x v="1"/>
    <s v="Oct"/>
    <x v="5"/>
    <n v="0"/>
  </r>
  <r>
    <s v="ORD-10935"/>
    <d v="2026-04-09T00:00:00"/>
    <s v="CUST-1131"/>
    <s v="Customer 1288"/>
    <x v="2"/>
    <s v="Jaipur"/>
    <x v="6"/>
    <x v="0"/>
    <n v="1"/>
    <n v="699"/>
    <n v="0.15"/>
    <s v="COD"/>
    <x v="2"/>
    <d v="2026-04-13T00:00:00"/>
    <d v="2026-04-13T00:00:00"/>
    <n v="699"/>
    <n v="104.85"/>
    <n v="594.15"/>
    <n v="4"/>
    <x v="0"/>
    <s v="Apr"/>
    <x v="0"/>
    <n v="594.15"/>
  </r>
  <r>
    <s v="ORD-10936"/>
    <d v="2026-02-22T00:00:00"/>
    <s v="CUST-1197"/>
    <s v="Customer 1170"/>
    <x v="1"/>
    <s v="Mumbai"/>
    <x v="1"/>
    <x v="1"/>
    <n v="2"/>
    <n v="599"/>
    <n v="0.1"/>
    <s v="Credit Card"/>
    <x v="0"/>
    <d v="2026-02-28T00:00:00"/>
    <d v="2026-02-27T00:00:00"/>
    <n v="1198"/>
    <n v="119.80000000000001"/>
    <n v="1078.2"/>
    <n v="5"/>
    <x v="0"/>
    <s v="Feb"/>
    <x v="4"/>
    <n v="0"/>
  </r>
  <r>
    <s v="ORD-10937"/>
    <d v="2026-01-02T00:00:00"/>
    <s v="CUST-1244"/>
    <s v="Customer 1001"/>
    <x v="2"/>
    <s v="Chandigarh"/>
    <x v="2"/>
    <x v="2"/>
    <n v="3"/>
    <n v="699"/>
    <n v="0.05"/>
    <s v="UPI"/>
    <x v="3"/>
    <d v="2026-01-08T00:00:00"/>
    <d v="2026-01-04T00:00:00"/>
    <n v="2097"/>
    <n v="104.85000000000001"/>
    <n v="1992.15"/>
    <n v="2"/>
    <x v="0"/>
    <s v="Jan"/>
    <x v="9"/>
    <n v="0"/>
  </r>
  <r>
    <s v="ORD-10938"/>
    <d v="2026-09-19T00:00:00"/>
    <s v="CUST-1124"/>
    <s v="Customer 1287"/>
    <x v="2"/>
    <s v="Delhi"/>
    <x v="4"/>
    <x v="3"/>
    <n v="3"/>
    <n v="1299"/>
    <n v="0.15"/>
    <s v="Net Banking"/>
    <x v="0"/>
    <d v="2026-09-23T00:00:00"/>
    <d v="2026-09-20T00:00:00"/>
    <n v="3897"/>
    <n v="584.54999999999995"/>
    <n v="3312.45"/>
    <n v="1"/>
    <x v="0"/>
    <s v="Sep"/>
    <x v="7"/>
    <n v="0"/>
  </r>
  <r>
    <s v="ORD-10939"/>
    <d v="2026-07-01T00:00:00"/>
    <s v="CUST-1110"/>
    <s v="Customer 1086"/>
    <x v="3"/>
    <s v="Guwahati"/>
    <x v="5"/>
    <x v="4"/>
    <n v="1"/>
    <n v="499"/>
    <n v="0.2"/>
    <s v="Debit Card"/>
    <x v="1"/>
    <d v="2026-07-03T00:00:00"/>
    <m/>
    <n v="499"/>
    <n v="99.800000000000011"/>
    <n v="399.2"/>
    <s v=""/>
    <x v="1"/>
    <s v="Jul"/>
    <x v="11"/>
    <n v="0"/>
  </r>
  <r>
    <s v="ORD-10940"/>
    <d v="2026-08-15T00:00:00"/>
    <s v="CUST-1179"/>
    <s v="Customer 1092"/>
    <x v="2"/>
    <s v="Jaipur"/>
    <x v="24"/>
    <x v="4"/>
    <n v="2"/>
    <n v="1499"/>
    <n v="0.1"/>
    <s v="UPI"/>
    <x v="1"/>
    <d v="2026-08-20T00:00:00"/>
    <m/>
    <n v="2998"/>
    <n v="299.8"/>
    <n v="2698.2"/>
    <s v=""/>
    <x v="1"/>
    <s v="Aug"/>
    <x v="10"/>
    <n v="0"/>
  </r>
  <r>
    <s v="ORD-10941"/>
    <d v="2026-08-06T00:00:00"/>
    <s v="CUST-1101"/>
    <s v="Customer 1227"/>
    <x v="0"/>
    <s v="Hyderabad"/>
    <x v="15"/>
    <x v="4"/>
    <n v="1"/>
    <n v="749"/>
    <n v="0.2"/>
    <s v="Credit Card"/>
    <x v="0"/>
    <d v="2026-08-10T00:00:00"/>
    <d v="2026-08-07T00:00:00"/>
    <n v="749"/>
    <n v="149.80000000000001"/>
    <n v="599.20000000000005"/>
    <n v="1"/>
    <x v="0"/>
    <s v="Aug"/>
    <x v="10"/>
    <n v="0"/>
  </r>
  <r>
    <s v="ORD-10942"/>
    <d v="2026-06-08T00:00:00"/>
    <s v="CUST-1140"/>
    <s v="Customer 1018"/>
    <x v="2"/>
    <s v="Jaipur"/>
    <x v="3"/>
    <x v="3"/>
    <n v="1"/>
    <n v="1799"/>
    <n v="0.1"/>
    <s v="Debit Card"/>
    <x v="1"/>
    <d v="2026-06-10T00:00:00"/>
    <m/>
    <n v="1799"/>
    <n v="179.9"/>
    <n v="1619.1"/>
    <s v=""/>
    <x v="1"/>
    <s v="Jun"/>
    <x v="2"/>
    <n v="0"/>
  </r>
  <r>
    <s v="ORD-10943"/>
    <d v="2026-12-23T00:00:00"/>
    <s v="CUST-1242"/>
    <s v="Customer 1233"/>
    <x v="2"/>
    <s v="Chandigarh"/>
    <x v="17"/>
    <x v="4"/>
    <n v="2"/>
    <n v="399"/>
    <n v="0.1"/>
    <s v="UPI"/>
    <x v="1"/>
    <d v="2026-12-25T00:00:00"/>
    <m/>
    <n v="798"/>
    <n v="79.800000000000011"/>
    <n v="718.2"/>
    <s v=""/>
    <x v="1"/>
    <s v="Dec"/>
    <x v="6"/>
    <n v="0"/>
  </r>
  <r>
    <s v="ORD-10944"/>
    <d v="2026-02-23T00:00:00"/>
    <s v="CUST-1068"/>
    <s v="Customer 1043"/>
    <x v="3"/>
    <s v="Bhubaneswar"/>
    <x v="24"/>
    <x v="4"/>
    <n v="1"/>
    <n v="1499"/>
    <n v="0"/>
    <s v="COD"/>
    <x v="2"/>
    <d v="2026-02-26T00:00:00"/>
    <d v="2026-02-24T00:00:00"/>
    <n v="1499"/>
    <n v="0"/>
    <n v="1499"/>
    <n v="1"/>
    <x v="0"/>
    <s v="Feb"/>
    <x v="4"/>
    <n v="1499"/>
  </r>
  <r>
    <s v="ORD-10945"/>
    <d v="2026-11-23T00:00:00"/>
    <s v="CUST-1009"/>
    <s v="Customer 1171"/>
    <x v="3"/>
    <s v="Kolkata"/>
    <x v="19"/>
    <x v="3"/>
    <n v="2"/>
    <n v="1499"/>
    <n v="0.1"/>
    <s v="UPI"/>
    <x v="3"/>
    <d v="2026-11-29T00:00:00"/>
    <d v="2026-11-25T00:00:00"/>
    <n v="2998"/>
    <n v="299.8"/>
    <n v="2698.2"/>
    <n v="2"/>
    <x v="0"/>
    <s v="Nov"/>
    <x v="1"/>
    <n v="0"/>
  </r>
  <r>
    <s v="ORD-10946"/>
    <d v="2026-09-22T00:00:00"/>
    <s v="CUST-1099"/>
    <s v="Customer 1257"/>
    <x v="2"/>
    <s v="Jaipur"/>
    <x v="11"/>
    <x v="1"/>
    <n v="1"/>
    <n v="3299"/>
    <n v="0.15"/>
    <s v="Net Banking"/>
    <x v="3"/>
    <d v="2026-09-29T00:00:00"/>
    <d v="2026-09-23T00:00:00"/>
    <n v="3299"/>
    <n v="494.84999999999997"/>
    <n v="2804.15"/>
    <n v="1"/>
    <x v="0"/>
    <s v="Sep"/>
    <x v="7"/>
    <n v="0"/>
  </r>
  <r>
    <s v="ORD-10947"/>
    <d v="2026-08-16T00:00:00"/>
    <s v="CUST-1002"/>
    <s v="Customer 1160"/>
    <x v="1"/>
    <s v="Ahmedabad"/>
    <x v="4"/>
    <x v="3"/>
    <n v="1"/>
    <n v="1299"/>
    <n v="0.2"/>
    <s v="Credit Card"/>
    <x v="2"/>
    <d v="2026-08-22T00:00:00"/>
    <d v="2026-08-22T00:00:00"/>
    <n v="1299"/>
    <n v="259.8"/>
    <n v="1039.2"/>
    <n v="6"/>
    <x v="0"/>
    <s v="Aug"/>
    <x v="10"/>
    <n v="1039.2"/>
  </r>
  <r>
    <s v="ORD-10948"/>
    <d v="2026-08-27T00:00:00"/>
    <s v="CUST-1094"/>
    <s v="Customer 1045"/>
    <x v="2"/>
    <s v="Lucknow"/>
    <x v="18"/>
    <x v="3"/>
    <n v="2"/>
    <n v="1999"/>
    <n v="0"/>
    <s v="COD"/>
    <x v="0"/>
    <d v="2026-08-29T00:00:00"/>
    <d v="2026-08-28T00:00:00"/>
    <n v="3998"/>
    <n v="0"/>
    <n v="3998"/>
    <n v="1"/>
    <x v="0"/>
    <s v="Aug"/>
    <x v="10"/>
    <n v="0"/>
  </r>
  <r>
    <s v="ORD-10949"/>
    <d v="2026-03-28T00:00:00"/>
    <s v="CUST-1158"/>
    <s v="Customer 1098"/>
    <x v="1"/>
    <s v="Ahmedabad"/>
    <x v="9"/>
    <x v="1"/>
    <n v="3"/>
    <n v="899"/>
    <n v="0.05"/>
    <s v="Debit Card"/>
    <x v="0"/>
    <d v="2026-03-30T00:00:00"/>
    <d v="2026-03-29T00:00:00"/>
    <n v="2697"/>
    <n v="134.85"/>
    <n v="2562.15"/>
    <n v="1"/>
    <x v="0"/>
    <s v="Mar"/>
    <x v="8"/>
    <n v="0"/>
  </r>
  <r>
    <s v="ORD-10950"/>
    <d v="2026-12-28T00:00:00"/>
    <s v="CUST-1212"/>
    <s v="Customer 1116"/>
    <x v="1"/>
    <s v="Ahmedabad"/>
    <x v="19"/>
    <x v="3"/>
    <n v="1"/>
    <n v="1499"/>
    <n v="0.1"/>
    <s v="Credit Card"/>
    <x v="1"/>
    <d v="2027-01-01T00:00:00"/>
    <m/>
    <n v="1499"/>
    <n v="149.9"/>
    <n v="1349.1"/>
    <s v=""/>
    <x v="1"/>
    <s v="Dec"/>
    <x v="6"/>
    <n v="0"/>
  </r>
  <r>
    <s v="ORD-10951"/>
    <d v="2026-06-01T00:00:00"/>
    <s v="CUST-1179"/>
    <s v="Customer 1268"/>
    <x v="1"/>
    <s v="Ahmedabad"/>
    <x v="2"/>
    <x v="2"/>
    <n v="1"/>
    <n v="699"/>
    <n v="0.15"/>
    <s v="Debit Card"/>
    <x v="0"/>
    <d v="2026-06-06T00:00:00"/>
    <d v="2026-06-04T00:00:00"/>
    <n v="699"/>
    <n v="104.85"/>
    <n v="594.15"/>
    <n v="3"/>
    <x v="0"/>
    <s v="Jun"/>
    <x v="2"/>
    <n v="0"/>
  </r>
  <r>
    <s v="ORD-10952"/>
    <d v="2026-07-17T00:00:00"/>
    <s v="CUST-1107"/>
    <s v="Customer 1176"/>
    <x v="3"/>
    <s v="Bhubaneswar"/>
    <x v="3"/>
    <x v="3"/>
    <n v="1"/>
    <n v="1799"/>
    <n v="0.2"/>
    <s v="Credit Card"/>
    <x v="2"/>
    <d v="2026-07-22T00:00:00"/>
    <d v="2026-07-20T00:00:00"/>
    <n v="1799"/>
    <n v="359.8"/>
    <n v="1439.2"/>
    <n v="3"/>
    <x v="0"/>
    <s v="Jul"/>
    <x v="11"/>
    <n v="1439.2"/>
  </r>
  <r>
    <s v="ORD-10953"/>
    <d v="2026-05-13T00:00:00"/>
    <s v="CUST-1244"/>
    <s v="Customer 1072"/>
    <x v="2"/>
    <s v="Delhi"/>
    <x v="1"/>
    <x v="1"/>
    <n v="1"/>
    <n v="599"/>
    <n v="0.1"/>
    <s v="UPI"/>
    <x v="0"/>
    <d v="2026-05-19T00:00:00"/>
    <d v="2026-05-15T00:00:00"/>
    <n v="599"/>
    <n v="59.900000000000006"/>
    <n v="539.1"/>
    <n v="2"/>
    <x v="0"/>
    <s v="May"/>
    <x v="3"/>
    <n v="0"/>
  </r>
  <r>
    <s v="ORD-10954"/>
    <d v="2026-07-13T00:00:00"/>
    <s v="CUST-1082"/>
    <s v="Customer 1216"/>
    <x v="3"/>
    <s v="Patna"/>
    <x v="10"/>
    <x v="0"/>
    <n v="2"/>
    <n v="1899"/>
    <n v="0"/>
    <s v="Debit Card"/>
    <x v="2"/>
    <d v="2026-07-15T00:00:00"/>
    <d v="2026-07-14T00:00:00"/>
    <n v="3798"/>
    <n v="0"/>
    <n v="3798"/>
    <n v="1"/>
    <x v="0"/>
    <s v="Jul"/>
    <x v="11"/>
    <n v="3798"/>
  </r>
  <r>
    <s v="ORD-10955"/>
    <d v="2026-04-06T00:00:00"/>
    <s v="CUST-1225"/>
    <s v="Customer 1234"/>
    <x v="3"/>
    <s v="Patna"/>
    <x v="6"/>
    <x v="0"/>
    <n v="4"/>
    <n v="699"/>
    <n v="0.1"/>
    <s v="Credit Card"/>
    <x v="0"/>
    <d v="2026-04-12T00:00:00"/>
    <d v="2026-04-07T00:00:00"/>
    <n v="2796"/>
    <n v="279.60000000000002"/>
    <n v="2516.4"/>
    <n v="1"/>
    <x v="0"/>
    <s v="Apr"/>
    <x v="0"/>
    <n v="0"/>
  </r>
  <r>
    <s v="ORD-10956"/>
    <d v="2026-05-10T00:00:00"/>
    <s v="CUST-1120"/>
    <s v="Customer 1260"/>
    <x v="3"/>
    <s v="Guwahati"/>
    <x v="20"/>
    <x v="4"/>
    <n v="2"/>
    <n v="599"/>
    <n v="0.2"/>
    <s v="Debit Card"/>
    <x v="0"/>
    <d v="2026-05-17T00:00:00"/>
    <d v="2026-05-11T00:00:00"/>
    <n v="1198"/>
    <n v="239.60000000000002"/>
    <n v="958.4"/>
    <n v="1"/>
    <x v="0"/>
    <s v="May"/>
    <x v="3"/>
    <n v="0"/>
  </r>
  <r>
    <s v="ORD-10957"/>
    <d v="2026-10-23T00:00:00"/>
    <s v="CUST-1154"/>
    <s v="Customer 1269"/>
    <x v="0"/>
    <s v="Kochi"/>
    <x v="15"/>
    <x v="4"/>
    <n v="1"/>
    <n v="749"/>
    <n v="0"/>
    <s v="Credit Card"/>
    <x v="1"/>
    <d v="2026-10-26T00:00:00"/>
    <m/>
    <n v="749"/>
    <n v="0"/>
    <n v="749"/>
    <s v=""/>
    <x v="1"/>
    <s v="Oct"/>
    <x v="5"/>
    <n v="0"/>
  </r>
  <r>
    <s v="ORD-10958"/>
    <d v="2026-01-28T00:00:00"/>
    <s v="CUST-1236"/>
    <s v="Customer 1001"/>
    <x v="1"/>
    <s v="Pune"/>
    <x v="16"/>
    <x v="2"/>
    <n v="5"/>
    <n v="899"/>
    <n v="0.1"/>
    <s v="Credit Card"/>
    <x v="3"/>
    <d v="2026-02-01T00:00:00"/>
    <d v="2026-01-30T00:00:00"/>
    <n v="4495"/>
    <n v="449.5"/>
    <n v="4045.5"/>
    <n v="2"/>
    <x v="0"/>
    <s v="Jan"/>
    <x v="9"/>
    <n v="0"/>
  </r>
  <r>
    <s v="ORD-10959"/>
    <d v="2026-06-07T00:00:00"/>
    <s v="CUST-1285"/>
    <s v="Customer 1192"/>
    <x v="1"/>
    <s v="Pune"/>
    <x v="16"/>
    <x v="2"/>
    <n v="1"/>
    <n v="899"/>
    <n v="0.05"/>
    <s v="Credit Card"/>
    <x v="0"/>
    <d v="2026-06-09T00:00:00"/>
    <d v="2026-06-08T00:00:00"/>
    <n v="899"/>
    <n v="44.95"/>
    <n v="854.05"/>
    <n v="1"/>
    <x v="0"/>
    <s v="Jun"/>
    <x v="2"/>
    <n v="0"/>
  </r>
  <r>
    <s v="ORD-10960"/>
    <d v="2026-02-21T00:00:00"/>
    <s v="CUST-1125"/>
    <s v="Customer 1050"/>
    <x v="0"/>
    <s v="Kochi"/>
    <x v="16"/>
    <x v="2"/>
    <n v="2"/>
    <n v="899"/>
    <n v="0.15"/>
    <s v="Credit Card"/>
    <x v="0"/>
    <d v="2026-02-28T00:00:00"/>
    <d v="2026-02-25T00:00:00"/>
    <n v="1798"/>
    <n v="269.7"/>
    <n v="1528.3"/>
    <n v="4"/>
    <x v="0"/>
    <s v="Feb"/>
    <x v="4"/>
    <n v="0"/>
  </r>
  <r>
    <s v="ORD-10961"/>
    <d v="2026-07-24T00:00:00"/>
    <s v="CUST-1274"/>
    <s v="Customer 1037"/>
    <x v="3"/>
    <s v="Bhubaneswar"/>
    <x v="0"/>
    <x v="0"/>
    <n v="3"/>
    <n v="1799"/>
    <n v="0.1"/>
    <s v="Net Banking"/>
    <x v="1"/>
    <d v="2026-07-29T00:00:00"/>
    <m/>
    <n v="5397"/>
    <n v="539.70000000000005"/>
    <n v="4857.3"/>
    <s v=""/>
    <x v="1"/>
    <s v="Jul"/>
    <x v="11"/>
    <n v="0"/>
  </r>
  <r>
    <s v="ORD-10962"/>
    <d v="2026-04-24T00:00:00"/>
    <s v="CUST-1204"/>
    <s v="Customer 1040"/>
    <x v="2"/>
    <s v="Chandigarh"/>
    <x v="9"/>
    <x v="1"/>
    <n v="3"/>
    <n v="899"/>
    <n v="0.05"/>
    <s v="Credit Card"/>
    <x v="0"/>
    <d v="2026-04-28T00:00:00"/>
    <d v="2026-04-25T00:00:00"/>
    <n v="2697"/>
    <n v="134.85"/>
    <n v="2562.15"/>
    <n v="1"/>
    <x v="0"/>
    <s v="Apr"/>
    <x v="0"/>
    <n v="0"/>
  </r>
  <r>
    <s v="ORD-10963"/>
    <d v="2026-01-23T00:00:00"/>
    <s v="CUST-1078"/>
    <s v="Customer 1146"/>
    <x v="1"/>
    <s v="Pune"/>
    <x v="20"/>
    <x v="4"/>
    <n v="1"/>
    <n v="599"/>
    <n v="0.15"/>
    <s v="UPI"/>
    <x v="0"/>
    <d v="2026-01-28T00:00:00"/>
    <d v="2026-01-27T00:00:00"/>
    <n v="599"/>
    <n v="89.85"/>
    <n v="509.15"/>
    <n v="4"/>
    <x v="0"/>
    <s v="Jan"/>
    <x v="9"/>
    <n v="0"/>
  </r>
  <r>
    <s v="ORD-10964"/>
    <d v="2026-05-14T00:00:00"/>
    <s v="CUST-1239"/>
    <s v="Customer 1043"/>
    <x v="2"/>
    <s v="Chandigarh"/>
    <x v="17"/>
    <x v="4"/>
    <n v="4"/>
    <n v="399"/>
    <n v="0.15"/>
    <s v="Credit Card"/>
    <x v="0"/>
    <d v="2026-05-19T00:00:00"/>
    <d v="2026-05-15T00:00:00"/>
    <n v="1596"/>
    <n v="239.39999999999998"/>
    <n v="1356.6"/>
    <n v="1"/>
    <x v="0"/>
    <s v="May"/>
    <x v="3"/>
    <n v="0"/>
  </r>
  <r>
    <s v="ORD-10965"/>
    <d v="2026-03-24T00:00:00"/>
    <s v="CUST-1206"/>
    <s v="Customer 1217"/>
    <x v="2"/>
    <s v="Delhi"/>
    <x v="17"/>
    <x v="4"/>
    <n v="1"/>
    <n v="399"/>
    <n v="0.2"/>
    <s v="COD"/>
    <x v="0"/>
    <d v="2026-03-31T00:00:00"/>
    <d v="2026-03-28T00:00:00"/>
    <n v="399"/>
    <n v="79.800000000000011"/>
    <n v="319.2"/>
    <n v="4"/>
    <x v="0"/>
    <s v="Mar"/>
    <x v="8"/>
    <n v="0"/>
  </r>
  <r>
    <s v="ORD-10966"/>
    <d v="2026-11-21T00:00:00"/>
    <s v="CUST-1187"/>
    <s v="Customer 1058"/>
    <x v="0"/>
    <s v="Hyderabad"/>
    <x v="15"/>
    <x v="4"/>
    <n v="1"/>
    <n v="749"/>
    <n v="0.15"/>
    <s v="COD"/>
    <x v="0"/>
    <d v="2026-11-26T00:00:00"/>
    <d v="2026-11-26T00:00:00"/>
    <n v="749"/>
    <n v="112.35"/>
    <n v="636.65"/>
    <n v="5"/>
    <x v="0"/>
    <s v="Nov"/>
    <x v="1"/>
    <n v="0"/>
  </r>
  <r>
    <s v="ORD-10967"/>
    <d v="2026-12-12T00:00:00"/>
    <s v="CUST-1233"/>
    <s v="Customer 1223"/>
    <x v="1"/>
    <s v="Goa"/>
    <x v="13"/>
    <x v="1"/>
    <n v="1"/>
    <n v="2499"/>
    <n v="0"/>
    <s v="Debit Card"/>
    <x v="2"/>
    <d v="2026-12-18T00:00:00"/>
    <d v="2026-12-17T00:00:00"/>
    <n v="2499"/>
    <n v="0"/>
    <n v="2499"/>
    <n v="5"/>
    <x v="0"/>
    <s v="Dec"/>
    <x v="6"/>
    <n v="2499"/>
  </r>
  <r>
    <s v="ORD-10968"/>
    <d v="2026-03-04T00:00:00"/>
    <s v="CUST-1218"/>
    <s v="Customer 1173"/>
    <x v="0"/>
    <s v="Kochi"/>
    <x v="6"/>
    <x v="0"/>
    <n v="3"/>
    <n v="699"/>
    <n v="0.15"/>
    <s v="Debit Card"/>
    <x v="0"/>
    <d v="2026-03-10T00:00:00"/>
    <d v="2026-03-07T00:00:00"/>
    <n v="2097"/>
    <n v="314.55"/>
    <n v="1782.45"/>
    <n v="3"/>
    <x v="0"/>
    <s v="Mar"/>
    <x v="8"/>
    <n v="0"/>
  </r>
  <r>
    <s v="ORD-10969"/>
    <d v="2026-04-02T00:00:00"/>
    <s v="CUST-1058"/>
    <s v="Customer 1183"/>
    <x v="2"/>
    <s v="Delhi"/>
    <x v="11"/>
    <x v="1"/>
    <n v="1"/>
    <n v="3299"/>
    <n v="0.15"/>
    <s v="UPI"/>
    <x v="0"/>
    <d v="2026-04-06T00:00:00"/>
    <d v="2026-04-03T00:00:00"/>
    <n v="3299"/>
    <n v="494.84999999999997"/>
    <n v="2804.15"/>
    <n v="1"/>
    <x v="0"/>
    <s v="Apr"/>
    <x v="0"/>
    <n v="0"/>
  </r>
  <r>
    <s v="ORD-10970"/>
    <d v="2026-02-13T00:00:00"/>
    <s v="CUST-1177"/>
    <s v="Customer 1235"/>
    <x v="0"/>
    <s v="Kochi"/>
    <x v="2"/>
    <x v="2"/>
    <n v="2"/>
    <n v="699"/>
    <n v="0.05"/>
    <s v="Credit Card"/>
    <x v="2"/>
    <d v="2026-02-18T00:00:00"/>
    <d v="2026-02-16T00:00:00"/>
    <n v="1398"/>
    <n v="69.900000000000006"/>
    <n v="1328.1"/>
    <n v="3"/>
    <x v="0"/>
    <s v="Feb"/>
    <x v="4"/>
    <n v="1328.1"/>
  </r>
  <r>
    <s v="ORD-10971"/>
    <d v="2026-06-17T00:00:00"/>
    <s v="CUST-1196"/>
    <s v="Customer 1263"/>
    <x v="1"/>
    <s v="Goa"/>
    <x v="8"/>
    <x v="3"/>
    <n v="1"/>
    <n v="799"/>
    <n v="0.05"/>
    <s v="COD"/>
    <x v="2"/>
    <d v="2026-06-24T00:00:00"/>
    <d v="2026-06-18T00:00:00"/>
    <n v="799"/>
    <n v="39.950000000000003"/>
    <n v="759.05"/>
    <n v="1"/>
    <x v="0"/>
    <s v="Jun"/>
    <x v="2"/>
    <n v="759.05"/>
  </r>
  <r>
    <s v="ORD-10972"/>
    <d v="2026-07-25T00:00:00"/>
    <s v="CUST-1293"/>
    <s v="Customer 1134"/>
    <x v="0"/>
    <s v="Hyderabad"/>
    <x v="23"/>
    <x v="0"/>
    <n v="1"/>
    <n v="2999"/>
    <n v="0.1"/>
    <s v="UPI"/>
    <x v="3"/>
    <d v="2026-07-30T00:00:00"/>
    <d v="2026-08-01T00:00:00"/>
    <n v="2999"/>
    <n v="299.90000000000003"/>
    <n v="2699.1"/>
    <n v="7"/>
    <x v="2"/>
    <s v="Jul"/>
    <x v="11"/>
    <n v="0"/>
  </r>
  <r>
    <s v="ORD-10973"/>
    <d v="2026-10-21T00:00:00"/>
    <s v="CUST-1257"/>
    <s v="Customer 1024"/>
    <x v="2"/>
    <s v="Jaipur"/>
    <x v="18"/>
    <x v="3"/>
    <n v="2"/>
    <n v="1999"/>
    <n v="0.15"/>
    <s v="Debit Card"/>
    <x v="2"/>
    <d v="2026-10-28T00:00:00"/>
    <d v="2026-10-24T00:00:00"/>
    <n v="3998"/>
    <n v="599.69999999999993"/>
    <n v="3398.3"/>
    <n v="3"/>
    <x v="0"/>
    <s v="Oct"/>
    <x v="5"/>
    <n v="3398.3"/>
  </r>
  <r>
    <s v="ORD-10974"/>
    <d v="2026-01-03T00:00:00"/>
    <s v="CUST-1163"/>
    <s v="Customer 1050"/>
    <x v="3"/>
    <s v="Bhubaneswar"/>
    <x v="21"/>
    <x v="0"/>
    <n v="1"/>
    <n v="1999"/>
    <n v="0"/>
    <s v="Net Banking"/>
    <x v="2"/>
    <d v="2026-01-06T00:00:00"/>
    <d v="2026-01-05T00:00:00"/>
    <n v="1999"/>
    <n v="0"/>
    <n v="1999"/>
    <n v="2"/>
    <x v="0"/>
    <s v="Jan"/>
    <x v="9"/>
    <n v="1999"/>
  </r>
  <r>
    <s v="ORD-10975"/>
    <d v="2026-04-24T00:00:00"/>
    <s v="CUST-1169"/>
    <s v="Customer 1278"/>
    <x v="1"/>
    <s v="Pune"/>
    <x v="18"/>
    <x v="3"/>
    <n v="1"/>
    <n v="1999"/>
    <n v="0.1"/>
    <s v="COD"/>
    <x v="3"/>
    <d v="2026-04-29T00:00:00"/>
    <d v="2026-04-29T00:00:00"/>
    <n v="1999"/>
    <n v="199.9"/>
    <n v="1799.1"/>
    <n v="5"/>
    <x v="0"/>
    <s v="Apr"/>
    <x v="0"/>
    <n v="0"/>
  </r>
  <r>
    <s v="ORD-10976"/>
    <d v="2026-06-25T00:00:00"/>
    <s v="CUST-1108"/>
    <s v="Customer 1273"/>
    <x v="3"/>
    <s v="Guwahati"/>
    <x v="9"/>
    <x v="1"/>
    <n v="1"/>
    <n v="899"/>
    <n v="0.1"/>
    <s v="Net Banking"/>
    <x v="0"/>
    <d v="2026-06-30T00:00:00"/>
    <d v="2026-06-29T00:00:00"/>
    <n v="899"/>
    <n v="89.9"/>
    <n v="809.1"/>
    <n v="4"/>
    <x v="0"/>
    <s v="Jun"/>
    <x v="2"/>
    <n v="0"/>
  </r>
  <r>
    <s v="ORD-10977"/>
    <d v="2026-01-17T00:00:00"/>
    <s v="CUST-1043"/>
    <s v="Customer 1107"/>
    <x v="1"/>
    <s v="Goa"/>
    <x v="23"/>
    <x v="0"/>
    <n v="2"/>
    <n v="2999"/>
    <n v="0.2"/>
    <s v="UPI"/>
    <x v="2"/>
    <d v="2026-01-22T00:00:00"/>
    <d v="2026-01-20T00:00:00"/>
    <n v="5998"/>
    <n v="1199.6000000000001"/>
    <n v="4798.3999999999996"/>
    <n v="3"/>
    <x v="0"/>
    <s v="Jan"/>
    <x v="9"/>
    <n v="4798.3999999999996"/>
  </r>
  <r>
    <s v="ORD-10978"/>
    <d v="2026-08-20T00:00:00"/>
    <s v="CUST-1086"/>
    <s v="Customer 1181"/>
    <x v="2"/>
    <s v="Lucknow"/>
    <x v="21"/>
    <x v="0"/>
    <n v="2"/>
    <n v="1999"/>
    <n v="0"/>
    <s v="Credit Card"/>
    <x v="1"/>
    <d v="2026-08-26T00:00:00"/>
    <m/>
    <n v="3998"/>
    <n v="0"/>
    <n v="3998"/>
    <s v=""/>
    <x v="1"/>
    <s v="Aug"/>
    <x v="10"/>
    <n v="0"/>
  </r>
  <r>
    <s v="ORD-10979"/>
    <d v="2026-10-12T00:00:00"/>
    <s v="CUST-1194"/>
    <s v="Customer 1064"/>
    <x v="3"/>
    <s v="Guwahati"/>
    <x v="18"/>
    <x v="3"/>
    <n v="2"/>
    <n v="1999"/>
    <n v="0.05"/>
    <s v="Net Banking"/>
    <x v="1"/>
    <d v="2026-10-15T00:00:00"/>
    <m/>
    <n v="3998"/>
    <n v="199.9"/>
    <n v="3798.1"/>
    <s v=""/>
    <x v="1"/>
    <s v="Oct"/>
    <x v="5"/>
    <n v="0"/>
  </r>
  <r>
    <s v="ORD-10980"/>
    <d v="2026-02-26T00:00:00"/>
    <s v="CUST-1181"/>
    <s v="Customer 1112"/>
    <x v="0"/>
    <s v="Kochi"/>
    <x v="2"/>
    <x v="2"/>
    <n v="2"/>
    <n v="699"/>
    <n v="0.05"/>
    <s v="Credit Card"/>
    <x v="3"/>
    <d v="2026-03-05T00:00:00"/>
    <d v="2026-03-09T00:00:00"/>
    <n v="1398"/>
    <n v="69.900000000000006"/>
    <n v="1328.1"/>
    <n v="11"/>
    <x v="2"/>
    <s v="Feb"/>
    <x v="4"/>
    <n v="0"/>
  </r>
  <r>
    <s v="ORD-10981"/>
    <d v="2026-11-19T00:00:00"/>
    <s v="CUST-1201"/>
    <s v="Customer 1116"/>
    <x v="3"/>
    <s v="Patna"/>
    <x v="21"/>
    <x v="0"/>
    <n v="1"/>
    <n v="1999"/>
    <n v="0.1"/>
    <s v="COD"/>
    <x v="1"/>
    <d v="2026-11-25T00:00:00"/>
    <m/>
    <n v="1999"/>
    <n v="199.9"/>
    <n v="1799.1"/>
    <s v=""/>
    <x v="1"/>
    <s v="Nov"/>
    <x v="1"/>
    <n v="0"/>
  </r>
  <r>
    <s v="ORD-10982"/>
    <d v="2026-08-19T00:00:00"/>
    <s v="CUST-1238"/>
    <s v="Customer 1089"/>
    <x v="3"/>
    <s v="Guwahati"/>
    <x v="15"/>
    <x v="4"/>
    <n v="1"/>
    <n v="749"/>
    <n v="0.05"/>
    <s v="Net Banking"/>
    <x v="0"/>
    <d v="2026-08-21T00:00:00"/>
    <d v="2026-08-21T00:00:00"/>
    <n v="749"/>
    <n v="37.450000000000003"/>
    <n v="711.55"/>
    <n v="2"/>
    <x v="0"/>
    <s v="Aug"/>
    <x v="10"/>
    <n v="0"/>
  </r>
  <r>
    <s v="ORD-10983"/>
    <d v="2026-08-03T00:00:00"/>
    <s v="CUST-1042"/>
    <s v="Customer 1293"/>
    <x v="0"/>
    <s v="Kochi"/>
    <x v="13"/>
    <x v="1"/>
    <n v="1"/>
    <n v="2499"/>
    <n v="0"/>
    <s v="COD"/>
    <x v="0"/>
    <d v="2026-08-06T00:00:00"/>
    <d v="2026-08-06T00:00:00"/>
    <n v="2499"/>
    <n v="0"/>
    <n v="2499"/>
    <n v="3"/>
    <x v="0"/>
    <s v="Aug"/>
    <x v="10"/>
    <n v="0"/>
  </r>
  <r>
    <s v="ORD-10984"/>
    <d v="2026-05-08T00:00:00"/>
    <s v="CUST-1283"/>
    <s v="Customer 1262"/>
    <x v="3"/>
    <s v="Kolkata"/>
    <x v="10"/>
    <x v="0"/>
    <n v="1"/>
    <n v="1899"/>
    <n v="0.15"/>
    <s v="UPI"/>
    <x v="0"/>
    <d v="2026-05-10T00:00:00"/>
    <d v="2026-05-10T00:00:00"/>
    <n v="1899"/>
    <n v="284.84999999999997"/>
    <n v="1614.15"/>
    <n v="2"/>
    <x v="0"/>
    <s v="May"/>
    <x v="3"/>
    <n v="0"/>
  </r>
  <r>
    <s v="ORD-10985"/>
    <d v="2026-05-03T00:00:00"/>
    <s v="CUST-1106"/>
    <s v="Customer 1296"/>
    <x v="1"/>
    <s v="Pune"/>
    <x v="15"/>
    <x v="4"/>
    <n v="1"/>
    <n v="749"/>
    <n v="0.05"/>
    <s v="Debit Card"/>
    <x v="0"/>
    <d v="2026-05-07T00:00:00"/>
    <d v="2026-05-04T00:00:00"/>
    <n v="749"/>
    <n v="37.450000000000003"/>
    <n v="711.55"/>
    <n v="1"/>
    <x v="0"/>
    <s v="May"/>
    <x v="3"/>
    <n v="0"/>
  </r>
  <r>
    <s v="ORD-10986"/>
    <d v="2026-08-16T00:00:00"/>
    <s v="CUST-1057"/>
    <s v="Customer 1170"/>
    <x v="3"/>
    <s v="Guwahati"/>
    <x v="7"/>
    <x v="2"/>
    <n v="5"/>
    <n v="3499"/>
    <n v="0.05"/>
    <s v="Net Banking"/>
    <x v="1"/>
    <d v="2026-08-23T00:00:00"/>
    <m/>
    <n v="17495"/>
    <n v="874.75"/>
    <n v="16620.25"/>
    <s v=""/>
    <x v="1"/>
    <s v="Aug"/>
    <x v="10"/>
    <n v="0"/>
  </r>
  <r>
    <s v="ORD-10987"/>
    <d v="2026-01-04T00:00:00"/>
    <s v="CUST-1134"/>
    <s v="Customer 1276"/>
    <x v="1"/>
    <s v="Pune"/>
    <x v="17"/>
    <x v="4"/>
    <n v="2"/>
    <n v="399"/>
    <n v="0.15"/>
    <s v="COD"/>
    <x v="0"/>
    <d v="2026-01-09T00:00:00"/>
    <d v="2026-01-08T00:00:00"/>
    <n v="798"/>
    <n v="119.69999999999999"/>
    <n v="678.3"/>
    <n v="4"/>
    <x v="0"/>
    <s v="Jan"/>
    <x v="9"/>
    <n v="0"/>
  </r>
  <r>
    <s v="ORD-10988"/>
    <d v="2026-01-31T00:00:00"/>
    <s v="CUST-1226"/>
    <s v="Customer 1220"/>
    <x v="0"/>
    <s v="Bengaluru"/>
    <x v="5"/>
    <x v="4"/>
    <n v="1"/>
    <n v="499"/>
    <n v="0.15"/>
    <s v="UPI"/>
    <x v="0"/>
    <d v="2026-02-05T00:00:00"/>
    <d v="2026-02-05T00:00:00"/>
    <n v="499"/>
    <n v="74.849999999999994"/>
    <n v="424.15"/>
    <n v="5"/>
    <x v="0"/>
    <s v="Jan"/>
    <x v="9"/>
    <n v="0"/>
  </r>
  <r>
    <s v="ORD-10989"/>
    <d v="2026-10-24T00:00:00"/>
    <s v="CUST-1125"/>
    <s v="Customer 1248"/>
    <x v="0"/>
    <s v="Bengaluru"/>
    <x v="16"/>
    <x v="2"/>
    <n v="3"/>
    <n v="899"/>
    <n v="0"/>
    <s v="Credit Card"/>
    <x v="0"/>
    <d v="2026-10-29T00:00:00"/>
    <d v="2026-10-26T00:00:00"/>
    <n v="2697"/>
    <n v="0"/>
    <n v="2697"/>
    <n v="2"/>
    <x v="0"/>
    <s v="Oct"/>
    <x v="5"/>
    <n v="0"/>
  </r>
  <r>
    <s v="ORD-10990"/>
    <d v="2026-11-25T00:00:00"/>
    <s v="CUST-1152"/>
    <s v="Customer 1228"/>
    <x v="1"/>
    <s v="Ahmedabad"/>
    <x v="18"/>
    <x v="3"/>
    <n v="2"/>
    <n v="1999"/>
    <n v="0.15"/>
    <s v="Net Banking"/>
    <x v="3"/>
    <d v="2026-11-28T00:00:00"/>
    <d v="2026-11-27T00:00:00"/>
    <n v="3998"/>
    <n v="599.69999999999993"/>
    <n v="3398.3"/>
    <n v="2"/>
    <x v="0"/>
    <s v="Nov"/>
    <x v="1"/>
    <n v="0"/>
  </r>
  <r>
    <s v="ORD-10991"/>
    <d v="2026-05-21T00:00:00"/>
    <s v="CUST-1014"/>
    <s v="Customer 1114"/>
    <x v="2"/>
    <s v="Chandigarh"/>
    <x v="10"/>
    <x v="0"/>
    <n v="2"/>
    <n v="1899"/>
    <n v="0.05"/>
    <s v="Credit Card"/>
    <x v="1"/>
    <d v="2026-05-25T00:00:00"/>
    <m/>
    <n v="3798"/>
    <n v="189.9"/>
    <n v="3608.1"/>
    <s v=""/>
    <x v="1"/>
    <s v="May"/>
    <x v="3"/>
    <n v="0"/>
  </r>
  <r>
    <s v="ORD-10992"/>
    <d v="2026-03-23T00:00:00"/>
    <s v="CUST-1066"/>
    <s v="Customer 1076"/>
    <x v="2"/>
    <s v="Lucknow"/>
    <x v="21"/>
    <x v="0"/>
    <n v="2"/>
    <n v="1999"/>
    <n v="0.1"/>
    <s v="Net Banking"/>
    <x v="2"/>
    <d v="2026-03-28T00:00:00"/>
    <d v="2026-03-25T00:00:00"/>
    <n v="3998"/>
    <n v="399.8"/>
    <n v="3598.2"/>
    <n v="2"/>
    <x v="0"/>
    <s v="Mar"/>
    <x v="8"/>
    <n v="3598.2"/>
  </r>
  <r>
    <s v="ORD-10993"/>
    <d v="2026-01-15T00:00:00"/>
    <s v="CUST-1261"/>
    <s v="Customer 1265"/>
    <x v="2"/>
    <s v="Chandigarh"/>
    <x v="0"/>
    <x v="0"/>
    <n v="3"/>
    <n v="1799"/>
    <n v="0.2"/>
    <s v="Debit Card"/>
    <x v="0"/>
    <d v="2026-01-21T00:00:00"/>
    <d v="2026-01-18T00:00:00"/>
    <n v="5397"/>
    <n v="1079.4000000000001"/>
    <n v="4317.6000000000004"/>
    <n v="3"/>
    <x v="0"/>
    <s v="Jan"/>
    <x v="9"/>
    <n v="0"/>
  </r>
  <r>
    <s v="ORD-10994"/>
    <d v="2026-06-26T00:00:00"/>
    <s v="CUST-1087"/>
    <s v="Customer 1269"/>
    <x v="3"/>
    <s v="Guwahati"/>
    <x v="1"/>
    <x v="1"/>
    <n v="2"/>
    <n v="599"/>
    <n v="0.2"/>
    <s v="COD"/>
    <x v="0"/>
    <d v="2026-07-02T00:00:00"/>
    <d v="2026-06-30T00:00:00"/>
    <n v="1198"/>
    <n v="239.60000000000002"/>
    <n v="958.4"/>
    <n v="4"/>
    <x v="0"/>
    <s v="Jun"/>
    <x v="2"/>
    <n v="0"/>
  </r>
  <r>
    <s v="ORD-10995"/>
    <d v="2026-01-08T00:00:00"/>
    <s v="CUST-1143"/>
    <s v="Customer 1062"/>
    <x v="3"/>
    <s v="Bhubaneswar"/>
    <x v="5"/>
    <x v="4"/>
    <n v="2"/>
    <n v="499"/>
    <n v="0"/>
    <s v="Debit Card"/>
    <x v="0"/>
    <d v="2026-01-12T00:00:00"/>
    <d v="2026-01-10T00:00:00"/>
    <n v="998"/>
    <n v="0"/>
    <n v="998"/>
    <n v="2"/>
    <x v="0"/>
    <s v="Jan"/>
    <x v="9"/>
    <n v="0"/>
  </r>
  <r>
    <s v="ORD-10996"/>
    <d v="2026-10-19T00:00:00"/>
    <s v="CUST-1017"/>
    <s v="Customer 1205"/>
    <x v="1"/>
    <s v="Ahmedabad"/>
    <x v="5"/>
    <x v="4"/>
    <n v="4"/>
    <n v="499"/>
    <n v="0"/>
    <s v="COD"/>
    <x v="0"/>
    <d v="2026-10-26T00:00:00"/>
    <d v="2026-10-25T00:00:00"/>
    <n v="1996"/>
    <n v="0"/>
    <n v="1996"/>
    <n v="6"/>
    <x v="0"/>
    <s v="Oct"/>
    <x v="5"/>
    <n v="0"/>
  </r>
  <r>
    <s v="ORD-10997"/>
    <d v="2026-05-19T00:00:00"/>
    <s v="CUST-1229"/>
    <s v="Customer 1291"/>
    <x v="0"/>
    <s v="Hyderabad"/>
    <x v="9"/>
    <x v="1"/>
    <n v="2"/>
    <n v="899"/>
    <n v="0.2"/>
    <s v="COD"/>
    <x v="3"/>
    <d v="2026-05-21T00:00:00"/>
    <d v="2026-05-22T00:00:00"/>
    <n v="1798"/>
    <n v="359.6"/>
    <n v="1438.4"/>
    <n v="3"/>
    <x v="2"/>
    <s v="May"/>
    <x v="3"/>
    <n v="0"/>
  </r>
  <r>
    <s v="ORD-10998"/>
    <d v="2026-12-20T00:00:00"/>
    <s v="CUST-1137"/>
    <s v="Customer 1283"/>
    <x v="1"/>
    <s v="Pune"/>
    <x v="0"/>
    <x v="0"/>
    <n v="4"/>
    <n v="1799"/>
    <n v="0.05"/>
    <s v="Credit Card"/>
    <x v="2"/>
    <d v="2026-12-27T00:00:00"/>
    <d v="2026-12-21T00:00:00"/>
    <n v="7196"/>
    <n v="359.8"/>
    <n v="6836.2"/>
    <n v="1"/>
    <x v="0"/>
    <s v="Dec"/>
    <x v="6"/>
    <n v="6836.2"/>
  </r>
  <r>
    <s v="ORD-10999"/>
    <d v="2026-03-09T00:00:00"/>
    <s v="CUST-1245"/>
    <s v="Customer 1238"/>
    <x v="2"/>
    <s v="Delhi"/>
    <x v="14"/>
    <x v="2"/>
    <n v="2"/>
    <n v="999"/>
    <n v="0"/>
    <s v="Credit Card"/>
    <x v="0"/>
    <d v="2026-03-12T00:00:00"/>
    <d v="2026-03-12T00:00:00"/>
    <n v="1998"/>
    <n v="0"/>
    <n v="1998"/>
    <n v="3"/>
    <x v="0"/>
    <s v="Mar"/>
    <x v="8"/>
    <n v="0"/>
  </r>
  <r>
    <s v="ORD-11000"/>
    <d v="2026-04-11T00:00:00"/>
    <s v="CUST-1111"/>
    <s v="Customer 1250"/>
    <x v="0"/>
    <s v="Bengaluru"/>
    <x v="6"/>
    <x v="0"/>
    <n v="2"/>
    <n v="699"/>
    <n v="0.15"/>
    <s v="UPI"/>
    <x v="0"/>
    <d v="2026-04-14T00:00:00"/>
    <d v="2026-04-14T00:00:00"/>
    <n v="1398"/>
    <n v="209.7"/>
    <n v="1188.3"/>
    <n v="3"/>
    <x v="0"/>
    <s v="Apr"/>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197BD-8086-486A-B47A-4A71C2F6D01B}"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7:E30" firstHeaderRow="1" firstDataRow="1" firstDataCol="1"/>
  <pivotFields count="25">
    <pivotField showAll="0"/>
    <pivotField numFmtId="166" showAll="0"/>
    <pivotField showAll="0"/>
    <pivotField showAll="0"/>
    <pivotField showAll="0"/>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axis="axisRow" numFmtId="17" showAll="0">
      <items count="13">
        <item x="9"/>
        <item x="4"/>
        <item x="8"/>
        <item x="0"/>
        <item x="3"/>
        <item x="2"/>
        <item x="11"/>
        <item x="10"/>
        <item x="7"/>
        <item x="5"/>
        <item x="1"/>
        <item x="6"/>
        <item t="default"/>
      </items>
    </pivotField>
    <pivotField numFmtId="165" showAll="0"/>
    <pivotField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Net Sales" fld="17"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4AB71-D16B-4E41-A701-537D4494B2A8}" name="Delivery Day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O28" firstHeaderRow="1" firstDataRow="3" firstDataCol="1"/>
  <pivotFields count="25">
    <pivotField dataField="1" showAll="0"/>
    <pivotField numFmtId="166" showAll="0"/>
    <pivotField showAll="0"/>
    <pivotField showAll="0"/>
    <pivotField axis="axisRow" showAll="0">
      <items count="5">
        <item x="3"/>
        <item x="2"/>
        <item x="0"/>
        <item x="1"/>
        <item t="default"/>
      </items>
    </pivotField>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numFmtId="165" showAll="0"/>
    <pivotField dataField="1" showAll="0"/>
    <pivotField axis="axisCol" showAll="0">
      <items count="4">
        <item x="2"/>
        <item x="0"/>
        <item x="1"/>
        <item t="default"/>
      </items>
    </pivotField>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Fields count="2">
    <field x="19"/>
    <field x="-2"/>
  </colFields>
  <colItems count="8">
    <i>
      <x/>
      <x/>
    </i>
    <i r="1" i="1">
      <x v="1"/>
    </i>
    <i>
      <x v="1"/>
      <x/>
    </i>
    <i r="1" i="1">
      <x v="1"/>
    </i>
    <i>
      <x v="2"/>
      <x/>
    </i>
    <i r="1" i="1">
      <x v="1"/>
    </i>
    <i t="grand">
      <x/>
    </i>
    <i t="grand" i="1">
      <x/>
    </i>
  </colItems>
  <dataFields count="2">
    <dataField name="Average of Delivery Days" fld="18" subtotal="average" baseField="4"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95CAC-5F71-4E35-8B28-CFBBA9B223B2}" name="Revenue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7" firstHeaderRow="1" firstDataRow="1" firstDataCol="1"/>
  <pivotFields count="25">
    <pivotField showAll="0"/>
    <pivotField numFmtId="166" showAll="0"/>
    <pivotField showAll="0"/>
    <pivotField showAll="0"/>
    <pivotField axis="axisRow" showAll="0">
      <items count="5">
        <item x="3"/>
        <item x="2"/>
        <item x="0"/>
        <item x="1"/>
        <item t="default"/>
      </items>
    </pivotField>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Net Sales" fld="17"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70EBD1-3142-4781-8C90-E23D366F833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I63" firstHeaderRow="1" firstDataRow="2" firstDataCol="1"/>
  <pivotFields count="25">
    <pivotField dataField="1" showAll="0"/>
    <pivotField numFmtId="166" showAll="0"/>
    <pivotField showAll="0"/>
    <pivotField showAll="0"/>
    <pivotField showAll="0"/>
    <pivotField showAll="0"/>
    <pivotField axis="axisRow" showAll="0">
      <items count="26">
        <item x="10"/>
        <item x="12"/>
        <item x="18"/>
        <item x="7"/>
        <item x="13"/>
        <item x="14"/>
        <item x="17"/>
        <item x="22"/>
        <item x="21"/>
        <item x="0"/>
        <item x="4"/>
        <item x="20"/>
        <item x="24"/>
        <item x="19"/>
        <item x="1"/>
        <item x="11"/>
        <item x="5"/>
        <item x="23"/>
        <item x="16"/>
        <item x="15"/>
        <item x="6"/>
        <item x="3"/>
        <item x="2"/>
        <item x="8"/>
        <item x="9"/>
        <item t="default"/>
      </items>
    </pivotField>
    <pivotField showAll="0"/>
    <pivotField showAll="0"/>
    <pivotField numFmtId="165" showAll="0"/>
    <pivotField numFmtId="9" showAll="0"/>
    <pivotField showAll="0"/>
    <pivotField axis="axisCol" showAll="0">
      <items count="5">
        <item x="2"/>
        <item x="0"/>
        <item x="1"/>
        <item x="3"/>
        <item t="default"/>
      </items>
    </pivotField>
    <pivotField numFmtId="164" showAll="0"/>
    <pivotField showAll="0"/>
    <pivotField numFmtId="165" showAll="0"/>
    <pivotField numFmtId="165" showAll="0"/>
    <pivotField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2"/>
  </colFields>
  <colItems count="5">
    <i>
      <x/>
    </i>
    <i>
      <x v="1"/>
    </i>
    <i>
      <x v="2"/>
    </i>
    <i>
      <x v="3"/>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46E4CB-5D76-4B5C-9241-A7E7A4E0D5DB}" name="Average Revenue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1" firstHeaderRow="1" firstDataRow="1" firstDataCol="1"/>
  <pivotFields count="25">
    <pivotField showAll="0"/>
    <pivotField numFmtId="166" showAll="0"/>
    <pivotField showAll="0"/>
    <pivotField showAll="0"/>
    <pivotField axis="axisRow" showAll="0">
      <items count="5">
        <item x="3"/>
        <item x="2"/>
        <item x="0"/>
        <item x="1"/>
        <item t="default"/>
      </items>
    </pivotField>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Average of Net Sales" fld="17"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6341BE-1CF6-4E59-A8A7-EDC07E29383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D118" firstHeaderRow="0" firstDataRow="1" firstDataCol="1"/>
  <pivotFields count="25">
    <pivotField showAll="0"/>
    <pivotField numFmtId="166" showAll="0"/>
    <pivotField showAll="0"/>
    <pivotField showAll="0"/>
    <pivotField showAll="0"/>
    <pivotField showAll="0"/>
    <pivotField axis="axisRow" showAll="0" sortType="descending">
      <items count="26">
        <item x="10"/>
        <item x="12"/>
        <item x="18"/>
        <item x="7"/>
        <item x="13"/>
        <item x="14"/>
        <item x="17"/>
        <item x="22"/>
        <item x="21"/>
        <item x="0"/>
        <item x="4"/>
        <item x="20"/>
        <item x="24"/>
        <item x="19"/>
        <item x="1"/>
        <item x="11"/>
        <item x="5"/>
        <item x="23"/>
        <item x="16"/>
        <item x="15"/>
        <item x="6"/>
        <item x="3"/>
        <item x="2"/>
        <item x="8"/>
        <item x="9"/>
        <item t="default"/>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v="3"/>
    </i>
    <i>
      <x v="15"/>
    </i>
    <i>
      <x v="17"/>
    </i>
    <i>
      <x v="4"/>
    </i>
    <i>
      <x v="2"/>
    </i>
    <i>
      <x v="8"/>
    </i>
    <i>
      <x v="21"/>
    </i>
    <i>
      <x v="10"/>
    </i>
    <i>
      <x v="9"/>
    </i>
    <i>
      <x/>
    </i>
    <i>
      <x v="1"/>
    </i>
    <i>
      <x v="12"/>
    </i>
    <i>
      <x v="5"/>
    </i>
    <i>
      <x v="18"/>
    </i>
    <i>
      <x v="13"/>
    </i>
    <i>
      <x v="24"/>
    </i>
    <i>
      <x v="20"/>
    </i>
    <i>
      <x v="7"/>
    </i>
    <i>
      <x v="19"/>
    </i>
    <i>
      <x v="23"/>
    </i>
    <i>
      <x v="22"/>
    </i>
    <i>
      <x v="16"/>
    </i>
    <i>
      <x v="11"/>
    </i>
    <i>
      <x v="14"/>
    </i>
    <i>
      <x v="6"/>
    </i>
    <i t="grand">
      <x/>
    </i>
  </rowItems>
  <colFields count="1">
    <field x="-2"/>
  </colFields>
  <colItems count="3">
    <i>
      <x/>
    </i>
    <i i="1">
      <x v="1"/>
    </i>
    <i i="2">
      <x v="2"/>
    </i>
  </colItems>
  <dataFields count="3">
    <dataField name="Sum of Net Sales" fld="17" baseField="0" baseItem="0" numFmtId="165"/>
    <dataField name="Sum of Quantity" fld="8" baseField="0" baseItem="0"/>
    <dataField name="Average of Net Sales" fld="17" subtotal="average" baseField="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13AC34-967F-41D4-92A8-5B5B19B0D34D}"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9:E15" firstHeaderRow="1" firstDataRow="1" firstDataCol="1"/>
  <pivotFields count="25">
    <pivotField showAll="0"/>
    <pivotField numFmtId="166" showAll="0"/>
    <pivotField showAll="0"/>
    <pivotField showAll="0"/>
    <pivotField showAll="0"/>
    <pivotField showAll="0"/>
    <pivotField showAll="0"/>
    <pivotField axis="axisRow" showAll="0">
      <items count="6">
        <item x="4"/>
        <item x="3"/>
        <item x="0"/>
        <item x="2"/>
        <item x="1"/>
        <item t="default"/>
      </items>
    </pivotField>
    <pivotField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Net Sales" fld="17" baseField="0" baseItem="0" numFmtId="165"/>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14DDC2-27D3-4A8B-9796-351BDA2FAB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6" firstHeaderRow="1" firstDataRow="1" firstDataCol="1"/>
  <pivotFields count="25">
    <pivotField dataField="1" showAll="0"/>
    <pivotField numFmtId="166" showAll="0"/>
    <pivotField showAll="0"/>
    <pivotField showAll="0"/>
    <pivotField showAll="0"/>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numFmtId="165" showAll="0"/>
    <pivotField showAll="0"/>
    <pivotField axis="axisRow" showAll="0">
      <items count="4">
        <item x="2"/>
        <item x="0"/>
        <item x="1"/>
        <item t="default"/>
      </items>
    </pivotField>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2077CD-9084-46BE-82FF-FB67DD9F1EC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90" firstHeaderRow="1" firstDataRow="1" firstDataCol="1"/>
  <pivotFields count="25">
    <pivotField showAll="0"/>
    <pivotField numFmtId="166" showAll="0"/>
    <pivotField showAll="0"/>
    <pivotField showAll="0"/>
    <pivotField showAll="0"/>
    <pivotField showAll="0"/>
    <pivotField axis="axisRow" showAll="0" sortType="descending">
      <items count="26">
        <item x="10"/>
        <item x="12"/>
        <item x="18"/>
        <item x="7"/>
        <item x="13"/>
        <item x="14"/>
        <item x="17"/>
        <item x="22"/>
        <item x="21"/>
        <item x="0"/>
        <item x="4"/>
        <item x="20"/>
        <item x="24"/>
        <item x="19"/>
        <item x="1"/>
        <item x="11"/>
        <item x="5"/>
        <item x="23"/>
        <item x="16"/>
        <item x="15"/>
        <item x="6"/>
        <item x="3"/>
        <item x="2"/>
        <item x="8"/>
        <item x="9"/>
        <item t="default"/>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9" showAll="0"/>
    <pivotField showAll="0"/>
    <pivotField showAll="0"/>
    <pivotField numFmtId="164" showAll="0"/>
    <pivotField showAll="0"/>
    <pivotField numFmtId="165" showAll="0"/>
    <pivotField numFmtId="165" showAll="0"/>
    <pivotField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v="16"/>
    </i>
    <i>
      <x v="20"/>
    </i>
    <i>
      <x v="10"/>
    </i>
    <i>
      <x v="19"/>
    </i>
    <i>
      <x v="18"/>
    </i>
    <i>
      <x v="2"/>
    </i>
    <i>
      <x v="5"/>
    </i>
    <i>
      <x v="3"/>
    </i>
    <i>
      <x v="24"/>
    </i>
    <i>
      <x v="22"/>
    </i>
    <i>
      <x v="23"/>
    </i>
    <i>
      <x v="17"/>
    </i>
    <i>
      <x v="4"/>
    </i>
    <i>
      <x v="15"/>
    </i>
    <i>
      <x v="21"/>
    </i>
    <i>
      <x v="8"/>
    </i>
    <i>
      <x v="11"/>
    </i>
    <i>
      <x v="6"/>
    </i>
    <i>
      <x v="9"/>
    </i>
    <i>
      <x v="1"/>
    </i>
    <i>
      <x v="7"/>
    </i>
    <i>
      <x v="12"/>
    </i>
    <i>
      <x/>
    </i>
    <i>
      <x v="14"/>
    </i>
    <i>
      <x v="13"/>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F56B9D-058C-48F1-8334-197AE362BB4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1:H147" firstHeaderRow="0" firstDataRow="1" firstDataCol="1"/>
  <pivotFields count="25">
    <pivotField dataField="1" showAll="0"/>
    <pivotField numFmtId="166" showAll="0"/>
    <pivotField showAll="0"/>
    <pivotField showAll="0"/>
    <pivotField showAll="0"/>
    <pivotField showAll="0"/>
    <pivotField axis="axisRow" showAll="0" sortType="descending">
      <items count="26">
        <item x="10"/>
        <item x="12"/>
        <item x="18"/>
        <item x="7"/>
        <item x="13"/>
        <item x="14"/>
        <item x="17"/>
        <item x="22"/>
        <item x="21"/>
        <item x="0"/>
        <item x="4"/>
        <item x="20"/>
        <item x="24"/>
        <item x="19"/>
        <item x="1"/>
        <item x="11"/>
        <item x="5"/>
        <item x="23"/>
        <item x="16"/>
        <item x="15"/>
        <item x="6"/>
        <item x="3"/>
        <item x="2"/>
        <item x="8"/>
        <item x="9"/>
        <item t="default"/>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v="3"/>
    </i>
    <i>
      <x v="15"/>
    </i>
    <i>
      <x v="17"/>
    </i>
    <i>
      <x v="4"/>
    </i>
    <i>
      <x v="2"/>
    </i>
    <i>
      <x v="8"/>
    </i>
    <i>
      <x v="21"/>
    </i>
    <i>
      <x v="10"/>
    </i>
    <i>
      <x v="9"/>
    </i>
    <i>
      <x/>
    </i>
    <i>
      <x v="1"/>
    </i>
    <i>
      <x v="12"/>
    </i>
    <i>
      <x v="5"/>
    </i>
    <i>
      <x v="18"/>
    </i>
    <i>
      <x v="13"/>
    </i>
    <i>
      <x v="24"/>
    </i>
    <i>
      <x v="20"/>
    </i>
    <i>
      <x v="7"/>
    </i>
    <i>
      <x v="19"/>
    </i>
    <i>
      <x v="23"/>
    </i>
    <i>
      <x v="22"/>
    </i>
    <i>
      <x v="16"/>
    </i>
    <i>
      <x v="11"/>
    </i>
    <i>
      <x v="14"/>
    </i>
    <i>
      <x v="6"/>
    </i>
    <i t="grand">
      <x/>
    </i>
  </rowItems>
  <colFields count="1">
    <field x="-2"/>
  </colFields>
  <colItems count="4">
    <i>
      <x/>
    </i>
    <i i="1">
      <x v="1"/>
    </i>
    <i i="2">
      <x v="2"/>
    </i>
    <i i="3">
      <x v="3"/>
    </i>
  </colItems>
  <dataFields count="4">
    <dataField name="Sum of Net Sales" fld="17" baseField="0" baseItem="0" numFmtId="165"/>
    <dataField name="Sum of Quantity" fld="8" baseField="0" baseItem="0"/>
    <dataField name="Count of Order ID" fld="0" subtotal="count" baseField="0" baseItem="0"/>
    <dataField name="Sum of Cancelled Sales" fld="2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14C1D-C07E-4BF9-8ADE-23DD0D97841F}" name="Orders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25">
    <pivotField dataField="1" showAll="0"/>
    <pivotField numFmtId="166" showAll="0"/>
    <pivotField showAll="0"/>
    <pivotField showAll="0"/>
    <pivotField axis="axisRow" showAll="0">
      <items count="5">
        <item x="3"/>
        <item x="2"/>
        <item x="0"/>
        <item x="1"/>
        <item t="default"/>
      </items>
    </pivotField>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6E2297-3506-4A79-8D58-34931351637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B147" firstHeaderRow="1" firstDataRow="1" firstDataCol="1"/>
  <pivotFields count="25">
    <pivotField showAll="0"/>
    <pivotField numFmtId="166" showAll="0"/>
    <pivotField showAll="0"/>
    <pivotField showAll="0"/>
    <pivotField showAll="0"/>
    <pivotField showAll="0"/>
    <pivotField axis="axisRow" showAll="0" sortType="descending">
      <items count="26">
        <item x="10"/>
        <item x="12"/>
        <item x="18"/>
        <item x="7"/>
        <item x="13"/>
        <item x="14"/>
        <item x="17"/>
        <item x="22"/>
        <item x="21"/>
        <item x="0"/>
        <item x="4"/>
        <item x="20"/>
        <item x="24"/>
        <item x="19"/>
        <item x="1"/>
        <item x="11"/>
        <item x="5"/>
        <item x="23"/>
        <item x="16"/>
        <item x="15"/>
        <item x="6"/>
        <item x="3"/>
        <item x="2"/>
        <item x="8"/>
        <item x="9"/>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9" showAll="0"/>
    <pivotField showAll="0"/>
    <pivotField showAll="0"/>
    <pivotField numFmtId="164" showAll="0"/>
    <pivotField showAll="0"/>
    <pivotField numFmtId="165" showAll="0"/>
    <pivotField numFmtId="165" showAll="0"/>
    <pivotField numFmtId="165" showAll="0"/>
    <pivotField showAll="0"/>
    <pivotField showAll="0"/>
    <pivotField showAll="0"/>
    <pivotField numFmtId="17" showAll="0">
      <items count="13">
        <item x="9"/>
        <item x="4"/>
        <item x="8"/>
        <item x="0"/>
        <item x="3"/>
        <item x="2"/>
        <item x="11"/>
        <item x="10"/>
        <item x="7"/>
        <item x="5"/>
        <item x="1"/>
        <item x="6"/>
        <item t="default"/>
      </items>
    </pivotField>
    <pivotField dataField="1"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v="17"/>
    </i>
    <i>
      <x v="2"/>
    </i>
    <i>
      <x v="4"/>
    </i>
    <i>
      <x v="8"/>
    </i>
    <i>
      <x v="9"/>
    </i>
    <i>
      <x v="21"/>
    </i>
    <i>
      <x v="10"/>
    </i>
    <i>
      <x v="12"/>
    </i>
    <i>
      <x/>
    </i>
    <i>
      <x v="15"/>
    </i>
    <i>
      <x v="20"/>
    </i>
    <i>
      <x v="5"/>
    </i>
    <i>
      <x v="7"/>
    </i>
    <i>
      <x v="3"/>
    </i>
    <i>
      <x v="13"/>
    </i>
    <i>
      <x v="1"/>
    </i>
    <i>
      <x v="23"/>
    </i>
    <i>
      <x v="16"/>
    </i>
    <i>
      <x v="14"/>
    </i>
    <i>
      <x v="24"/>
    </i>
    <i>
      <x v="22"/>
    </i>
    <i>
      <x v="18"/>
    </i>
    <i>
      <x v="6"/>
    </i>
    <i>
      <x v="19"/>
    </i>
    <i>
      <x v="11"/>
    </i>
    <i t="grand">
      <x/>
    </i>
  </rowItems>
  <colItems count="1">
    <i/>
  </colItems>
  <dataFields count="1">
    <dataField name="Sum of Cancelled Sales" fld="2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A5D4FF-825C-4ADC-A695-185F19AAB9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6" firstHeaderRow="1" firstDataRow="1" firstDataCol="1"/>
  <pivotFields count="25">
    <pivotField showAll="0"/>
    <pivotField numFmtId="166" showAll="0"/>
    <pivotField showAll="0"/>
    <pivotField showAll="0"/>
    <pivotField showAll="0"/>
    <pivotField showAll="0"/>
    <pivotField showAll="0"/>
    <pivotField showAll="0"/>
    <pivotField showAll="0"/>
    <pivotField numFmtId="165" showAll="0"/>
    <pivotField numFmtId="9" showAll="0"/>
    <pivotField showAll="0"/>
    <pivotField showAll="0"/>
    <pivotField numFmtId="164" showAll="0"/>
    <pivotField showAll="0"/>
    <pivotField numFmtId="165" showAll="0"/>
    <pivotField numFmtId="165" showAll="0"/>
    <pivotField numFmtId="165" showAll="0"/>
    <pivotField dataField="1" showAll="0"/>
    <pivotField axis="axisRow" showAll="0">
      <items count="4">
        <item x="2"/>
        <item x="0"/>
        <item x="1"/>
        <item t="default"/>
      </items>
    </pivotField>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4">
    <i>
      <x/>
    </i>
    <i>
      <x v="1"/>
    </i>
    <i>
      <x v="2"/>
    </i>
    <i t="grand">
      <x/>
    </i>
  </rowItems>
  <colItems count="1">
    <i/>
  </colItems>
  <dataFields count="1">
    <dataField name="Sum of Delivery Days" fld="18"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B0B7C8-C82E-408B-A3C0-9DE99C255B2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A36:B62" firstHeaderRow="1" firstDataRow="1" firstDataCol="1"/>
  <pivotFields count="25">
    <pivotField showAll="0"/>
    <pivotField numFmtId="166" showAll="0"/>
    <pivotField showAll="0"/>
    <pivotField showAll="0"/>
    <pivotField showAll="0"/>
    <pivotField showAll="0"/>
    <pivotField axis="axisRow" showAll="0" sortType="descending">
      <items count="26">
        <item x="10"/>
        <item x="12"/>
        <item x="18"/>
        <item x="7"/>
        <item x="13"/>
        <item x="14"/>
        <item x="17"/>
        <item x="22"/>
        <item x="21"/>
        <item x="0"/>
        <item x="4"/>
        <item x="20"/>
        <item x="24"/>
        <item x="19"/>
        <item x="1"/>
        <item x="11"/>
        <item x="5"/>
        <item x="23"/>
        <item x="16"/>
        <item x="15"/>
        <item x="6"/>
        <item x="3"/>
        <item x="2"/>
        <item x="8"/>
        <item x="9"/>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9" showAll="0"/>
    <pivotField showAll="0"/>
    <pivotField showAll="0"/>
    <pivotField numFmtId="164" showAll="0"/>
    <pivotField showAll="0"/>
    <pivotField numFmtId="165" showAll="0"/>
    <pivotField numFmtId="165" showAll="0"/>
    <pivotField dataField="1"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6">
    <i>
      <x v="3"/>
    </i>
    <i>
      <x v="15"/>
    </i>
    <i>
      <x v="17"/>
    </i>
    <i>
      <x v="4"/>
    </i>
    <i>
      <x v="2"/>
    </i>
    <i>
      <x v="8"/>
    </i>
    <i>
      <x v="21"/>
    </i>
    <i>
      <x v="10"/>
    </i>
    <i>
      <x v="9"/>
    </i>
    <i>
      <x/>
    </i>
    <i>
      <x v="1"/>
    </i>
    <i>
      <x v="12"/>
    </i>
    <i>
      <x v="5"/>
    </i>
    <i>
      <x v="18"/>
    </i>
    <i>
      <x v="13"/>
    </i>
    <i>
      <x v="24"/>
    </i>
    <i>
      <x v="20"/>
    </i>
    <i>
      <x v="7"/>
    </i>
    <i>
      <x v="19"/>
    </i>
    <i>
      <x v="23"/>
    </i>
    <i>
      <x v="22"/>
    </i>
    <i>
      <x v="16"/>
    </i>
    <i>
      <x v="11"/>
    </i>
    <i>
      <x v="14"/>
    </i>
    <i>
      <x v="6"/>
    </i>
    <i t="grand">
      <x/>
    </i>
  </rowItems>
  <colItems count="1">
    <i/>
  </colItems>
  <dataFields count="1">
    <dataField name="Sum of Net Sales" fld="17" baseField="0" baseItem="0" numFmtId="165"/>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1992B7-D3AC-4F48-AD07-CB1A1BDBCFB4}" name="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Status">
  <location ref="D2:E4" firstHeaderRow="1" firstDataRow="1" firstDataCol="1"/>
  <pivotFields count="25">
    <pivotField dataField="1" showAll="0"/>
    <pivotField numFmtId="166" showAll="0"/>
    <pivotField showAll="0"/>
    <pivotField showAll="0"/>
    <pivotField showAll="0"/>
    <pivotField showAll="0"/>
    <pivotField showAll="0"/>
    <pivotField showAll="0"/>
    <pivotField showAll="0"/>
    <pivotField numFmtId="165" showAll="0"/>
    <pivotField numFmtId="9" showAll="0"/>
    <pivotField showAll="0"/>
    <pivotField axis="axisRow" showAll="0">
      <items count="5">
        <item h="1" x="2"/>
        <item h="1" x="0"/>
        <item h="1" x="1"/>
        <item x="3"/>
        <item t="default"/>
      </items>
    </pivotField>
    <pivotField numFmtId="164" showAll="0"/>
    <pivotField showAll="0"/>
    <pivotField numFmtId="165" showAll="0"/>
    <pivotField numFmtId="165" showAll="0"/>
    <pivotField numFmtId="165" showAll="0"/>
    <pivotField showAll="0"/>
    <pivotField showAll="0"/>
    <pivotField showAll="0"/>
    <pivotField numFmtId="17" showAll="0">
      <items count="13">
        <item x="9"/>
        <item x="4"/>
        <item x="8"/>
        <item x="0"/>
        <item x="3"/>
        <item x="2"/>
        <item x="11"/>
        <item x="10"/>
        <item x="7"/>
        <item x="5"/>
        <item x="1"/>
        <item x="6"/>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v="3"/>
    </i>
    <i t="grand">
      <x/>
    </i>
  </rowItems>
  <colItems count="1">
    <i/>
  </colItems>
  <dataFields count="1">
    <dataField name="Count of Order ID"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182BD1-7548-4C63-96FE-53CC0939D88F}" sourceName="Region">
  <pivotTables>
    <pivotTable tabId="3" name="Revenue per Region"/>
    <pivotTable tabId="3" name="Average Revenue Per Region"/>
    <pivotTable tabId="3" name="Delivery Days by Region"/>
    <pivotTable tabId="3" name="Orders Per Region"/>
  </pivotTables>
  <data>
    <tabular pivotCacheId="120329561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A2FC65-210B-463A-91EF-5BB1E8D3395A}" sourceName="Category">
  <pivotTables>
    <pivotTable tabId="3" name="Revenue by Category"/>
  </pivotTables>
  <data>
    <tabular pivotCacheId="1203295616">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99D4959-9E63-4DCE-BC70-3E30B758BB87}" sourceName="Order Status">
  <pivotTables>
    <pivotTable tabId="3" name="Order Status"/>
  </pivotTables>
  <data>
    <tabular pivotCacheId="1203295616">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55299D-E705-4229-97D8-8C796BFA2619}" cache="Slicer_Region" caption="Region" rowHeight="234950"/>
  <slicer name="Category" xr10:uid="{3DA9BBE1-1F18-47C9-BCDB-7106A6AC65A8}" cache="Slicer_Category" caption="Category" rowHeight="234950"/>
  <slicer name="Order Status" xr10:uid="{2563AFCE-2877-47BD-8FE1-AA2DD4729017}" cache="Slicer_Order_Status" caption="Order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B22E0-D133-4A3E-8913-2577453B9D45}" name="Orders" displayName="Orders" ref="A1:W1001" totalsRowShown="0" headerRowDxfId="15" headerRowBorderDxfId="14" tableBorderDxfId="13">
  <autoFilter ref="A1:W1001" xr:uid="{00000000-0009-0000-0000-000000000000}"/>
  <tableColumns count="23">
    <tableColumn id="1" xr3:uid="{CA82FA7C-4F24-4EEE-A9AF-FEAE5401A910}" name="Order ID"/>
    <tableColumn id="2" xr3:uid="{727A1099-24CF-4DF8-821F-3CAC816CB789}" name="Order Date" dataDxfId="12"/>
    <tableColumn id="3" xr3:uid="{86F50701-C958-4223-88F4-5646013F01AD}" name="Customer ID"/>
    <tableColumn id="4" xr3:uid="{016A5081-49C3-4FF8-BB20-E8F51F833559}" name="Customer Name"/>
    <tableColumn id="5" xr3:uid="{582C7AF2-8EBE-44C7-9F23-EFE64F999AD8}" name="Region"/>
    <tableColumn id="6" xr3:uid="{B5D56A83-9E44-4AFB-8E73-C58F53F1039D}" name="City"/>
    <tableColumn id="7" xr3:uid="{0F0730D8-C39C-478A-A683-939AFAE7EDCE}" name="Product"/>
    <tableColumn id="8" xr3:uid="{FD2D1235-15C7-4C0C-B3D0-82C2D7B1F830}" name="Category"/>
    <tableColumn id="9" xr3:uid="{0C42E5DA-E289-452E-8002-4885F6C50E9D}" name="Quantity"/>
    <tableColumn id="10" xr3:uid="{51DBB6E7-7AAE-4217-86D1-58EFA27FF38C}" name="Unit Price" dataDxfId="11"/>
    <tableColumn id="11" xr3:uid="{31497B9F-1545-4D91-8ABD-5C9EAE27C4A4}" name="Discount %" dataDxfId="10"/>
    <tableColumn id="12" xr3:uid="{899B159C-C8B2-47CC-BAE2-51B6DD4AAC24}" name="Payment Method"/>
    <tableColumn id="13" xr3:uid="{789E3BB2-18CD-4638-B9F2-E0F8BBE5C515}" name="Order Status"/>
    <tableColumn id="14" xr3:uid="{5B52FED2-8C92-4CB7-9F45-471508B41E26}" name="Expected Delivery Date" dataDxfId="9"/>
    <tableColumn id="15" xr3:uid="{64C0D9D6-AEE7-427E-9966-A634D599D548}" name="Actual Delivery Date" dataDxfId="8"/>
    <tableColumn id="16" xr3:uid="{5DB838D2-8311-4C4E-AB34-B02E7C11E065}" name="Gross Sales" dataDxfId="7">
      <calculatedColumnFormula>Orders[[#This Row],[Quantity]]*Orders[[#This Row],[Unit Price]]</calculatedColumnFormula>
    </tableColumn>
    <tableColumn id="17" xr3:uid="{E828EF57-AFDE-4D5F-88B0-126245A31F90}" name="Discount Amount" dataDxfId="6">
      <calculatedColumnFormula>Orders[[#This Row],[Gross Sales]]*Orders[[#This Row],[Discount %]]</calculatedColumnFormula>
    </tableColumn>
    <tableColumn id="18" xr3:uid="{CF52AD85-D373-445D-9F73-B58E8981C680}" name="Net Sales" dataDxfId="5">
      <calculatedColumnFormula>Orders[[#This Row],[Gross Sales]]-Orders[[#This Row],[Discount Amount]]</calculatedColumnFormula>
    </tableColumn>
    <tableColumn id="19" xr3:uid="{35363371-5B01-4F33-A4CD-10164B63FF30}" name="Delivery Days" dataDxfId="4">
      <calculatedColumnFormula>IF(Orders[[#This Row],[Actual Delivery Date]]="","",Orders[[#This Row],[Actual Delivery Date]]-Orders[[#This Row],[Order Date]])</calculatedColumnFormula>
    </tableColumn>
    <tableColumn id="20" xr3:uid="{E73F05C7-2AF7-42E9-810D-7A03305B6EA3}" name="Delivery Status" dataDxfId="3">
      <calculatedColumnFormula>IF(Orders[[#This Row],[Actual Delivery Date]]="","Pending",IF(Orders[[#This Row],[Actual Delivery Date]]&lt;=Orders[[#This Row],[Expected Delivery Date]],"On Time","Late"))</calculatedColumnFormula>
    </tableColumn>
    <tableColumn id="21" xr3:uid="{20961617-A437-4148-8772-C9E9B3128149}" name="Month" dataDxfId="2">
      <calculatedColumnFormula>TEXT(Orders[[#This Row],[Order Date]],"mmm")</calculatedColumnFormula>
    </tableColumn>
    <tableColumn id="23" xr3:uid="{0AC5C6C8-BF65-433E-96E7-5CD88E0B71FD}" name="Month Start" dataDxfId="1">
      <calculatedColumnFormula>DATE(YEAR(Orders[[#This Row],[Order Date]]),MONTH(Orders[[#This Row],[Order Date]]),1)</calculatedColumnFormula>
    </tableColumn>
    <tableColumn id="24" xr3:uid="{5C71E13E-3339-4B2C-93A0-0D0506A4FD36}" name="Cancelled Sales" dataDxfId="0">
      <calculatedColumnFormula>IF(Orders[[#This Row],[Order Status]]="Cancelled",Orders[[#This Row],[Net Sales]],0)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workbookViewId="0">
      <pane ySplit="1" topLeftCell="A2" activePane="bottomLeft" state="frozen"/>
      <selection pane="bottomLeft" activeCell="N16" sqref="N16"/>
    </sheetView>
  </sheetViews>
  <sheetFormatPr defaultRowHeight="14.4" x14ac:dyDescent="0.3"/>
  <cols>
    <col min="1" max="1" width="12.44140625" bestFit="1" customWidth="1"/>
    <col min="2" max="2" width="16.77734375" style="7" bestFit="1" customWidth="1"/>
    <col min="3" max="3" width="15.77734375" bestFit="1" customWidth="1"/>
    <col min="4" max="4" width="19.109375" bestFit="1" customWidth="1"/>
    <col min="5" max="5" width="11.21875" bestFit="1" customWidth="1"/>
    <col min="6" max="6" width="12" bestFit="1" customWidth="1"/>
    <col min="7" max="7" width="16.109375" bestFit="1" customWidth="1"/>
    <col min="8" max="8" width="13" bestFit="1" customWidth="1"/>
    <col min="9" max="9" width="12.77734375" bestFit="1" customWidth="1"/>
    <col min="10" max="10" width="13.5546875" style="5" bestFit="1" customWidth="1"/>
    <col min="11" max="11" width="14.6640625" bestFit="1" customWidth="1"/>
    <col min="12" max="12" width="20.33203125" bestFit="1" customWidth="1"/>
    <col min="13" max="13" width="15.88671875" bestFit="1" customWidth="1"/>
    <col min="14" max="14" width="24.88671875" bestFit="1" customWidth="1"/>
    <col min="15" max="15" width="22.5546875" bestFit="1" customWidth="1"/>
    <col min="16" max="16" width="14.6640625" bestFit="1" customWidth="1"/>
    <col min="17" max="17" width="20.21875" bestFit="1" customWidth="1"/>
    <col min="18" max="18" width="13.109375" bestFit="1" customWidth="1"/>
    <col min="19" max="19" width="16.6640625" bestFit="1" customWidth="1"/>
    <col min="20" max="20" width="18" bestFit="1" customWidth="1"/>
    <col min="21" max="21" width="11.21875" bestFit="1" customWidth="1"/>
    <col min="22" max="22" width="15.6640625" style="8" bestFit="1" customWidth="1"/>
    <col min="23" max="23" width="18.33203125" bestFit="1" customWidth="1"/>
  </cols>
  <sheetData>
    <row r="1" spans="1:23" x14ac:dyDescent="0.3">
      <c r="A1" s="3" t="s">
        <v>0</v>
      </c>
      <c r="B1" s="6" t="s">
        <v>1</v>
      </c>
      <c r="C1" s="3" t="s">
        <v>2</v>
      </c>
      <c r="D1" s="3" t="s">
        <v>3</v>
      </c>
      <c r="E1" s="3" t="s">
        <v>4</v>
      </c>
      <c r="F1" s="3" t="s">
        <v>5</v>
      </c>
      <c r="G1" s="3" t="s">
        <v>6</v>
      </c>
      <c r="H1" s="3" t="s">
        <v>7</v>
      </c>
      <c r="I1" s="3" t="s">
        <v>8</v>
      </c>
      <c r="J1" s="4" t="s">
        <v>9</v>
      </c>
      <c r="K1" s="3" t="s">
        <v>10</v>
      </c>
      <c r="L1" s="3" t="s">
        <v>11</v>
      </c>
      <c r="M1" s="3" t="s">
        <v>12</v>
      </c>
      <c r="N1" s="3" t="s">
        <v>13</v>
      </c>
      <c r="O1" s="3" t="s">
        <v>14</v>
      </c>
      <c r="P1" s="3" t="s">
        <v>1651</v>
      </c>
      <c r="Q1" s="3" t="s">
        <v>1652</v>
      </c>
      <c r="R1" s="3" t="s">
        <v>1653</v>
      </c>
      <c r="S1" s="3" t="s">
        <v>1654</v>
      </c>
      <c r="T1" s="3" t="s">
        <v>1655</v>
      </c>
      <c r="U1" s="3" t="s">
        <v>1656</v>
      </c>
      <c r="V1" s="9" t="s">
        <v>1657</v>
      </c>
      <c r="W1" s="4" t="s">
        <v>1680</v>
      </c>
    </row>
    <row r="2" spans="1:23" x14ac:dyDescent="0.3">
      <c r="A2" t="s">
        <v>15</v>
      </c>
      <c r="B2" s="7">
        <v>46137</v>
      </c>
      <c r="C2" t="s">
        <v>16</v>
      </c>
      <c r="D2" t="s">
        <v>17</v>
      </c>
      <c r="E2" t="s">
        <v>18</v>
      </c>
      <c r="F2" t="s">
        <v>19</v>
      </c>
      <c r="G2" t="s">
        <v>20</v>
      </c>
      <c r="H2" t="s">
        <v>21</v>
      </c>
      <c r="I2">
        <v>1</v>
      </c>
      <c r="J2" s="5">
        <v>1799</v>
      </c>
      <c r="K2" s="2">
        <v>0</v>
      </c>
      <c r="L2" t="s">
        <v>22</v>
      </c>
      <c r="M2" t="s">
        <v>23</v>
      </c>
      <c r="N2" s="1">
        <v>46143</v>
      </c>
      <c r="O2" s="1">
        <v>46138</v>
      </c>
      <c r="P2" s="5">
        <f>Orders[[#This Row],[Quantity]]*Orders[[#This Row],[Unit Price]]</f>
        <v>1799</v>
      </c>
      <c r="Q2" s="5">
        <f>Orders[[#This Row],[Gross Sales]]*Orders[[#This Row],[Discount %]]</f>
        <v>0</v>
      </c>
      <c r="R2" s="5">
        <f>Orders[[#This Row],[Gross Sales]]-Orders[[#This Row],[Discount Amount]]</f>
        <v>1799</v>
      </c>
      <c r="S2">
        <f>IF(Orders[[#This Row],[Actual Delivery Date]]="","",Orders[[#This Row],[Actual Delivery Date]]-Orders[[#This Row],[Order Date]])</f>
        <v>1</v>
      </c>
      <c r="T2" t="str">
        <f>IF(Orders[[#This Row],[Actual Delivery Date]]="","Pending",IF(Orders[[#This Row],[Actual Delivery Date]]&lt;=Orders[[#This Row],[Expected Delivery Date]],"On Time","Late"))</f>
        <v>On Time</v>
      </c>
      <c r="U2" t="str">
        <f>TEXT(Orders[[#This Row],[Order Date]],"mmm")</f>
        <v>Apr</v>
      </c>
      <c r="V2" s="8">
        <f>DATE(YEAR(Orders[[#This Row],[Order Date]]),MONTH(Orders[[#This Row],[Order Date]]),1)</f>
        <v>46113</v>
      </c>
      <c r="W2" s="5">
        <f>IF(Orders[[#This Row],[Order Status]]="Cancelled",Orders[[#This Row],[Net Sales]],0)</f>
        <v>0</v>
      </c>
    </row>
    <row r="3" spans="1:23" x14ac:dyDescent="0.3">
      <c r="A3" t="s">
        <v>24</v>
      </c>
      <c r="B3" s="7">
        <v>46355</v>
      </c>
      <c r="C3" t="s">
        <v>25</v>
      </c>
      <c r="D3" t="s">
        <v>26</v>
      </c>
      <c r="E3" t="s">
        <v>27</v>
      </c>
      <c r="F3" t="s">
        <v>28</v>
      </c>
      <c r="G3" t="s">
        <v>29</v>
      </c>
      <c r="H3" t="s">
        <v>30</v>
      </c>
      <c r="I3">
        <v>2</v>
      </c>
      <c r="J3" s="5">
        <v>599</v>
      </c>
      <c r="K3" s="2">
        <v>0.15</v>
      </c>
      <c r="L3" t="s">
        <v>31</v>
      </c>
      <c r="M3" t="s">
        <v>23</v>
      </c>
      <c r="N3" s="1">
        <v>46361</v>
      </c>
      <c r="O3" s="1">
        <v>46356</v>
      </c>
      <c r="P3" s="5">
        <f>Orders[[#This Row],[Quantity]]*Orders[[#This Row],[Unit Price]]</f>
        <v>1198</v>
      </c>
      <c r="Q3" s="5">
        <f>Orders[[#This Row],[Gross Sales]]*Orders[[#This Row],[Discount %]]</f>
        <v>179.7</v>
      </c>
      <c r="R3" s="5">
        <f>Orders[[#This Row],[Gross Sales]]-Orders[[#This Row],[Discount Amount]]</f>
        <v>1018.3</v>
      </c>
      <c r="S3">
        <f>IF(Orders[[#This Row],[Actual Delivery Date]]="","",Orders[[#This Row],[Actual Delivery Date]]-Orders[[#This Row],[Order Date]])</f>
        <v>1</v>
      </c>
      <c r="T3" t="str">
        <f>IF(Orders[[#This Row],[Actual Delivery Date]]="","Pending",IF(Orders[[#This Row],[Actual Delivery Date]]&lt;=Orders[[#This Row],[Expected Delivery Date]],"On Time","Late"))</f>
        <v>On Time</v>
      </c>
      <c r="U3" t="str">
        <f>TEXT(Orders[[#This Row],[Order Date]],"mmm")</f>
        <v>Nov</v>
      </c>
      <c r="V3" s="8">
        <f>DATE(YEAR(Orders[[#This Row],[Order Date]]),MONTH(Orders[[#This Row],[Order Date]]),1)</f>
        <v>46327</v>
      </c>
      <c r="W3" s="5">
        <f>IF(Orders[[#This Row],[Order Status]]="Cancelled",Orders[[#This Row],[Net Sales]],0)</f>
        <v>0</v>
      </c>
    </row>
    <row r="4" spans="1:23" x14ac:dyDescent="0.3">
      <c r="A4" t="s">
        <v>32</v>
      </c>
      <c r="B4" s="7">
        <v>46195</v>
      </c>
      <c r="C4" t="s">
        <v>33</v>
      </c>
      <c r="D4" t="s">
        <v>34</v>
      </c>
      <c r="E4" t="s">
        <v>35</v>
      </c>
      <c r="F4" t="s">
        <v>36</v>
      </c>
      <c r="G4" t="s">
        <v>37</v>
      </c>
      <c r="H4" t="s">
        <v>38</v>
      </c>
      <c r="I4">
        <v>1</v>
      </c>
      <c r="J4" s="5">
        <v>699</v>
      </c>
      <c r="K4" s="2">
        <v>0.15</v>
      </c>
      <c r="L4" t="s">
        <v>39</v>
      </c>
      <c r="M4" t="s">
        <v>23</v>
      </c>
      <c r="N4" s="1">
        <v>46199</v>
      </c>
      <c r="O4" s="1">
        <v>46196</v>
      </c>
      <c r="P4" s="5">
        <f>Orders[[#This Row],[Quantity]]*Orders[[#This Row],[Unit Price]]</f>
        <v>699</v>
      </c>
      <c r="Q4" s="5">
        <f>Orders[[#This Row],[Gross Sales]]*Orders[[#This Row],[Discount %]]</f>
        <v>104.85</v>
      </c>
      <c r="R4" s="5">
        <f>Orders[[#This Row],[Gross Sales]]-Orders[[#This Row],[Discount Amount]]</f>
        <v>594.15</v>
      </c>
      <c r="S4">
        <f>IF(Orders[[#This Row],[Actual Delivery Date]]="","",Orders[[#This Row],[Actual Delivery Date]]-Orders[[#This Row],[Order Date]])</f>
        <v>1</v>
      </c>
      <c r="T4" t="str">
        <f>IF(Orders[[#This Row],[Actual Delivery Date]]="","Pending",IF(Orders[[#This Row],[Actual Delivery Date]]&lt;=Orders[[#This Row],[Expected Delivery Date]],"On Time","Late"))</f>
        <v>On Time</v>
      </c>
      <c r="U4" t="str">
        <f>TEXT(Orders[[#This Row],[Order Date]],"mmm")</f>
        <v>Jun</v>
      </c>
      <c r="V4" s="8">
        <f>DATE(YEAR(Orders[[#This Row],[Order Date]]),MONTH(Orders[[#This Row],[Order Date]]),1)</f>
        <v>46174</v>
      </c>
      <c r="W4" s="5">
        <f>IF(Orders[[#This Row],[Order Status]]="Cancelled",Orders[[#This Row],[Net Sales]],0)</f>
        <v>0</v>
      </c>
    </row>
    <row r="5" spans="1:23" x14ac:dyDescent="0.3">
      <c r="A5" t="s">
        <v>40</v>
      </c>
      <c r="B5" s="7">
        <v>46173</v>
      </c>
      <c r="C5" t="s">
        <v>41</v>
      </c>
      <c r="D5" t="s">
        <v>42</v>
      </c>
      <c r="E5" t="s">
        <v>18</v>
      </c>
      <c r="F5" t="s">
        <v>43</v>
      </c>
      <c r="G5" t="s">
        <v>44</v>
      </c>
      <c r="H5" t="s">
        <v>45</v>
      </c>
      <c r="I5">
        <v>3</v>
      </c>
      <c r="J5" s="5">
        <v>1799</v>
      </c>
      <c r="K5" s="2">
        <v>0.2</v>
      </c>
      <c r="L5" t="s">
        <v>46</v>
      </c>
      <c r="M5" t="s">
        <v>47</v>
      </c>
      <c r="N5" s="1">
        <v>46176</v>
      </c>
      <c r="O5" s="1"/>
      <c r="P5" s="5">
        <f>Orders[[#This Row],[Quantity]]*Orders[[#This Row],[Unit Price]]</f>
        <v>5397</v>
      </c>
      <c r="Q5" s="5">
        <f>Orders[[#This Row],[Gross Sales]]*Orders[[#This Row],[Discount %]]</f>
        <v>1079.4000000000001</v>
      </c>
      <c r="R5" s="5">
        <f>Orders[[#This Row],[Gross Sales]]-Orders[[#This Row],[Discount Amount]]</f>
        <v>4317.6000000000004</v>
      </c>
      <c r="S5" t="str">
        <f>IF(Orders[[#This Row],[Actual Delivery Date]]="","",Orders[[#This Row],[Actual Delivery Date]]-Orders[[#This Row],[Order Date]])</f>
        <v/>
      </c>
      <c r="T5" t="str">
        <f>IF(Orders[[#This Row],[Actual Delivery Date]]="","Pending",IF(Orders[[#This Row],[Actual Delivery Date]]&lt;=Orders[[#This Row],[Expected Delivery Date]],"On Time","Late"))</f>
        <v>Pending</v>
      </c>
      <c r="U5" t="str">
        <f>TEXT(Orders[[#This Row],[Order Date]],"mmm")</f>
        <v>May</v>
      </c>
      <c r="V5" s="8">
        <f>DATE(YEAR(Orders[[#This Row],[Order Date]]),MONTH(Orders[[#This Row],[Order Date]]),1)</f>
        <v>46143</v>
      </c>
      <c r="W5" s="5">
        <f>IF(Orders[[#This Row],[Order Status]]="Cancelled",Orders[[#This Row],[Net Sales]],0)</f>
        <v>0</v>
      </c>
    </row>
    <row r="6" spans="1:23" x14ac:dyDescent="0.3">
      <c r="A6" t="s">
        <v>48</v>
      </c>
      <c r="B6" s="7">
        <v>46074</v>
      </c>
      <c r="C6" t="s">
        <v>49</v>
      </c>
      <c r="D6" t="s">
        <v>50</v>
      </c>
      <c r="E6" t="s">
        <v>27</v>
      </c>
      <c r="F6" t="s">
        <v>51</v>
      </c>
      <c r="G6" t="s">
        <v>52</v>
      </c>
      <c r="H6" t="s">
        <v>45</v>
      </c>
      <c r="I6">
        <v>1</v>
      </c>
      <c r="J6" s="5">
        <v>1299</v>
      </c>
      <c r="K6" s="2">
        <v>0.15</v>
      </c>
      <c r="L6" t="s">
        <v>46</v>
      </c>
      <c r="M6" t="s">
        <v>23</v>
      </c>
      <c r="N6" s="1">
        <v>46078</v>
      </c>
      <c r="O6" s="1">
        <v>46077</v>
      </c>
      <c r="P6" s="5">
        <f>Orders[[#This Row],[Quantity]]*Orders[[#This Row],[Unit Price]]</f>
        <v>1299</v>
      </c>
      <c r="Q6" s="5">
        <f>Orders[[#This Row],[Gross Sales]]*Orders[[#This Row],[Discount %]]</f>
        <v>194.85</v>
      </c>
      <c r="R6" s="5">
        <f>Orders[[#This Row],[Gross Sales]]-Orders[[#This Row],[Discount Amount]]</f>
        <v>1104.1500000000001</v>
      </c>
      <c r="S6">
        <f>IF(Orders[[#This Row],[Actual Delivery Date]]="","",Orders[[#This Row],[Actual Delivery Date]]-Orders[[#This Row],[Order Date]])</f>
        <v>3</v>
      </c>
      <c r="T6" t="str">
        <f>IF(Orders[[#This Row],[Actual Delivery Date]]="","Pending",IF(Orders[[#This Row],[Actual Delivery Date]]&lt;=Orders[[#This Row],[Expected Delivery Date]],"On Time","Late"))</f>
        <v>On Time</v>
      </c>
      <c r="U6" t="str">
        <f>TEXT(Orders[[#This Row],[Order Date]],"mmm")</f>
        <v>Feb</v>
      </c>
      <c r="V6" s="8">
        <f>DATE(YEAR(Orders[[#This Row],[Order Date]]),MONTH(Orders[[#This Row],[Order Date]]),1)</f>
        <v>46054</v>
      </c>
      <c r="W6" s="5">
        <f>IF(Orders[[#This Row],[Order Status]]="Cancelled",Orders[[#This Row],[Net Sales]],0)</f>
        <v>0</v>
      </c>
    </row>
    <row r="7" spans="1:23" x14ac:dyDescent="0.3">
      <c r="A7" t="s">
        <v>53</v>
      </c>
      <c r="B7" s="7">
        <v>46161</v>
      </c>
      <c r="C7" t="s">
        <v>54</v>
      </c>
      <c r="D7" t="s">
        <v>55</v>
      </c>
      <c r="E7" t="s">
        <v>27</v>
      </c>
      <c r="F7" t="s">
        <v>56</v>
      </c>
      <c r="G7" t="s">
        <v>57</v>
      </c>
      <c r="H7" t="s">
        <v>58</v>
      </c>
      <c r="I7">
        <v>5</v>
      </c>
      <c r="J7" s="5">
        <v>499</v>
      </c>
      <c r="K7" s="2">
        <v>0.2</v>
      </c>
      <c r="L7" t="s">
        <v>31</v>
      </c>
      <c r="M7" t="s">
        <v>59</v>
      </c>
      <c r="N7" s="1">
        <v>46165</v>
      </c>
      <c r="O7" s="1">
        <v>46162</v>
      </c>
      <c r="P7" s="5">
        <f>Orders[[#This Row],[Quantity]]*Orders[[#This Row],[Unit Price]]</f>
        <v>2495</v>
      </c>
      <c r="Q7" s="5">
        <f>Orders[[#This Row],[Gross Sales]]*Orders[[#This Row],[Discount %]]</f>
        <v>499</v>
      </c>
      <c r="R7" s="5">
        <f>Orders[[#This Row],[Gross Sales]]-Orders[[#This Row],[Discount Amount]]</f>
        <v>1996</v>
      </c>
      <c r="S7">
        <f>IF(Orders[[#This Row],[Actual Delivery Date]]="","",Orders[[#This Row],[Actual Delivery Date]]-Orders[[#This Row],[Order Date]])</f>
        <v>1</v>
      </c>
      <c r="T7" t="str">
        <f>IF(Orders[[#This Row],[Actual Delivery Date]]="","Pending",IF(Orders[[#This Row],[Actual Delivery Date]]&lt;=Orders[[#This Row],[Expected Delivery Date]],"On Time","Late"))</f>
        <v>On Time</v>
      </c>
      <c r="U7" t="str">
        <f>TEXT(Orders[[#This Row],[Order Date]],"mmm")</f>
        <v>May</v>
      </c>
      <c r="V7" s="8">
        <f>DATE(YEAR(Orders[[#This Row],[Order Date]]),MONTH(Orders[[#This Row],[Order Date]]),1)</f>
        <v>46143</v>
      </c>
      <c r="W7" s="5">
        <f>IF(Orders[[#This Row],[Order Status]]="Cancelled",Orders[[#This Row],[Net Sales]],0)</f>
        <v>1996</v>
      </c>
    </row>
    <row r="8" spans="1:23" x14ac:dyDescent="0.3">
      <c r="A8" t="s">
        <v>60</v>
      </c>
      <c r="B8" s="7">
        <v>46131</v>
      </c>
      <c r="C8" t="s">
        <v>61</v>
      </c>
      <c r="D8" t="s">
        <v>62</v>
      </c>
      <c r="E8" t="s">
        <v>35</v>
      </c>
      <c r="F8" t="s">
        <v>63</v>
      </c>
      <c r="G8" t="s">
        <v>64</v>
      </c>
      <c r="H8" t="s">
        <v>21</v>
      </c>
      <c r="I8">
        <v>4</v>
      </c>
      <c r="J8" s="5">
        <v>699</v>
      </c>
      <c r="K8" s="2">
        <v>0.2</v>
      </c>
      <c r="L8" t="s">
        <v>46</v>
      </c>
      <c r="M8" t="s">
        <v>23</v>
      </c>
      <c r="N8" s="1">
        <v>46138</v>
      </c>
      <c r="O8" s="1">
        <v>46137</v>
      </c>
      <c r="P8" s="5">
        <f>Orders[[#This Row],[Quantity]]*Orders[[#This Row],[Unit Price]]</f>
        <v>2796</v>
      </c>
      <c r="Q8" s="5">
        <f>Orders[[#This Row],[Gross Sales]]*Orders[[#This Row],[Discount %]]</f>
        <v>559.20000000000005</v>
      </c>
      <c r="R8" s="5">
        <f>Orders[[#This Row],[Gross Sales]]-Orders[[#This Row],[Discount Amount]]</f>
        <v>2236.8000000000002</v>
      </c>
      <c r="S8">
        <f>IF(Orders[[#This Row],[Actual Delivery Date]]="","",Orders[[#This Row],[Actual Delivery Date]]-Orders[[#This Row],[Order Date]])</f>
        <v>6</v>
      </c>
      <c r="T8" t="str">
        <f>IF(Orders[[#This Row],[Actual Delivery Date]]="","Pending",IF(Orders[[#This Row],[Actual Delivery Date]]&lt;=Orders[[#This Row],[Expected Delivery Date]],"On Time","Late"))</f>
        <v>On Time</v>
      </c>
      <c r="U8" t="str">
        <f>TEXT(Orders[[#This Row],[Order Date]],"mmm")</f>
        <v>Apr</v>
      </c>
      <c r="V8" s="8">
        <f>DATE(YEAR(Orders[[#This Row],[Order Date]]),MONTH(Orders[[#This Row],[Order Date]]),1)</f>
        <v>46113</v>
      </c>
      <c r="W8" s="5">
        <f>IF(Orders[[#This Row],[Order Status]]="Cancelled",Orders[[#This Row],[Net Sales]],0)</f>
        <v>0</v>
      </c>
    </row>
    <row r="9" spans="1:23" x14ac:dyDescent="0.3">
      <c r="A9" t="s">
        <v>65</v>
      </c>
      <c r="B9" s="7">
        <v>46298</v>
      </c>
      <c r="C9" t="s">
        <v>66</v>
      </c>
      <c r="D9" t="s">
        <v>67</v>
      </c>
      <c r="E9" t="s">
        <v>35</v>
      </c>
      <c r="F9" t="s">
        <v>68</v>
      </c>
      <c r="G9" t="s">
        <v>69</v>
      </c>
      <c r="H9" t="s">
        <v>38</v>
      </c>
      <c r="I9">
        <v>1</v>
      </c>
      <c r="J9" s="5">
        <v>3499</v>
      </c>
      <c r="K9" s="2">
        <v>0.2</v>
      </c>
      <c r="L9" t="s">
        <v>70</v>
      </c>
      <c r="M9" t="s">
        <v>47</v>
      </c>
      <c r="N9" s="1">
        <v>46303</v>
      </c>
      <c r="O9" s="1"/>
      <c r="P9" s="5">
        <f>Orders[[#This Row],[Quantity]]*Orders[[#This Row],[Unit Price]]</f>
        <v>3499</v>
      </c>
      <c r="Q9" s="5">
        <f>Orders[[#This Row],[Gross Sales]]*Orders[[#This Row],[Discount %]]</f>
        <v>699.80000000000007</v>
      </c>
      <c r="R9" s="5">
        <f>Orders[[#This Row],[Gross Sales]]-Orders[[#This Row],[Discount Amount]]</f>
        <v>2799.2</v>
      </c>
      <c r="S9" t="str">
        <f>IF(Orders[[#This Row],[Actual Delivery Date]]="","",Orders[[#This Row],[Actual Delivery Date]]-Orders[[#This Row],[Order Date]])</f>
        <v/>
      </c>
      <c r="T9" t="str">
        <f>IF(Orders[[#This Row],[Actual Delivery Date]]="","Pending",IF(Orders[[#This Row],[Actual Delivery Date]]&lt;=Orders[[#This Row],[Expected Delivery Date]],"On Time","Late"))</f>
        <v>Pending</v>
      </c>
      <c r="U9" t="str">
        <f>TEXT(Orders[[#This Row],[Order Date]],"mmm")</f>
        <v>Oct</v>
      </c>
      <c r="V9" s="8">
        <f>DATE(YEAR(Orders[[#This Row],[Order Date]]),MONTH(Orders[[#This Row],[Order Date]]),1)</f>
        <v>46296</v>
      </c>
      <c r="W9" s="5">
        <f>IF(Orders[[#This Row],[Order Status]]="Cancelled",Orders[[#This Row],[Net Sales]],0)</f>
        <v>0</v>
      </c>
    </row>
    <row r="10" spans="1:23" x14ac:dyDescent="0.3">
      <c r="A10" t="s">
        <v>71</v>
      </c>
      <c r="B10" s="7">
        <v>46079</v>
      </c>
      <c r="C10" t="s">
        <v>72</v>
      </c>
      <c r="D10" t="s">
        <v>73</v>
      </c>
      <c r="E10" t="s">
        <v>27</v>
      </c>
      <c r="F10" t="s">
        <v>74</v>
      </c>
      <c r="G10" t="s">
        <v>75</v>
      </c>
      <c r="H10" t="s">
        <v>45</v>
      </c>
      <c r="I10">
        <v>1</v>
      </c>
      <c r="J10" s="5">
        <v>799</v>
      </c>
      <c r="K10" s="2">
        <v>0.05</v>
      </c>
      <c r="L10" t="s">
        <v>70</v>
      </c>
      <c r="M10" t="s">
        <v>47</v>
      </c>
      <c r="N10" s="1">
        <v>46081</v>
      </c>
      <c r="O10" s="1"/>
      <c r="P10" s="5">
        <f>Orders[[#This Row],[Quantity]]*Orders[[#This Row],[Unit Price]]</f>
        <v>799</v>
      </c>
      <c r="Q10" s="5">
        <f>Orders[[#This Row],[Gross Sales]]*Orders[[#This Row],[Discount %]]</f>
        <v>39.950000000000003</v>
      </c>
      <c r="R10" s="5">
        <f>Orders[[#This Row],[Gross Sales]]-Orders[[#This Row],[Discount Amount]]</f>
        <v>759.05</v>
      </c>
      <c r="S10" t="str">
        <f>IF(Orders[[#This Row],[Actual Delivery Date]]="","",Orders[[#This Row],[Actual Delivery Date]]-Orders[[#This Row],[Order Date]])</f>
        <v/>
      </c>
      <c r="T10" t="str">
        <f>IF(Orders[[#This Row],[Actual Delivery Date]]="","Pending",IF(Orders[[#This Row],[Actual Delivery Date]]&lt;=Orders[[#This Row],[Expected Delivery Date]],"On Time","Late"))</f>
        <v>Pending</v>
      </c>
      <c r="U10" t="str">
        <f>TEXT(Orders[[#This Row],[Order Date]],"mmm")</f>
        <v>Feb</v>
      </c>
      <c r="V10" s="8">
        <f>DATE(YEAR(Orders[[#This Row],[Order Date]]),MONTH(Orders[[#This Row],[Order Date]]),1)</f>
        <v>46054</v>
      </c>
      <c r="W10" s="5">
        <f>IF(Orders[[#This Row],[Order Status]]="Cancelled",Orders[[#This Row],[Net Sales]],0)</f>
        <v>0</v>
      </c>
    </row>
    <row r="11" spans="1:23" x14ac:dyDescent="0.3">
      <c r="A11" t="s">
        <v>76</v>
      </c>
      <c r="B11" s="7">
        <v>46371</v>
      </c>
      <c r="C11" t="s">
        <v>77</v>
      </c>
      <c r="D11" t="s">
        <v>78</v>
      </c>
      <c r="E11" t="s">
        <v>79</v>
      </c>
      <c r="F11" t="s">
        <v>80</v>
      </c>
      <c r="G11" t="s">
        <v>81</v>
      </c>
      <c r="H11" t="s">
        <v>30</v>
      </c>
      <c r="I11">
        <v>2</v>
      </c>
      <c r="J11" s="5">
        <v>899</v>
      </c>
      <c r="K11" s="2">
        <v>0.2</v>
      </c>
      <c r="L11" t="s">
        <v>46</v>
      </c>
      <c r="M11" t="s">
        <v>82</v>
      </c>
      <c r="N11" s="1">
        <v>46378</v>
      </c>
      <c r="O11" s="1">
        <v>46374</v>
      </c>
      <c r="P11" s="5">
        <f>Orders[[#This Row],[Quantity]]*Orders[[#This Row],[Unit Price]]</f>
        <v>1798</v>
      </c>
      <c r="Q11" s="5">
        <f>Orders[[#This Row],[Gross Sales]]*Orders[[#This Row],[Discount %]]</f>
        <v>359.6</v>
      </c>
      <c r="R11" s="5">
        <f>Orders[[#This Row],[Gross Sales]]-Orders[[#This Row],[Discount Amount]]</f>
        <v>1438.4</v>
      </c>
      <c r="S11">
        <f>IF(Orders[[#This Row],[Actual Delivery Date]]="","",Orders[[#This Row],[Actual Delivery Date]]-Orders[[#This Row],[Order Date]])</f>
        <v>3</v>
      </c>
      <c r="T11" t="str">
        <f>IF(Orders[[#This Row],[Actual Delivery Date]]="","Pending",IF(Orders[[#This Row],[Actual Delivery Date]]&lt;=Orders[[#This Row],[Expected Delivery Date]],"On Time","Late"))</f>
        <v>On Time</v>
      </c>
      <c r="U11" t="str">
        <f>TEXT(Orders[[#This Row],[Order Date]],"mmm")</f>
        <v>Dec</v>
      </c>
      <c r="V11" s="8">
        <f>DATE(YEAR(Orders[[#This Row],[Order Date]]),MONTH(Orders[[#This Row],[Order Date]]),1)</f>
        <v>46357</v>
      </c>
      <c r="W11" s="5">
        <f>IF(Orders[[#This Row],[Order Status]]="Cancelled",Orders[[#This Row],[Net Sales]],0)</f>
        <v>0</v>
      </c>
    </row>
    <row r="12" spans="1:23" x14ac:dyDescent="0.3">
      <c r="A12" t="s">
        <v>83</v>
      </c>
      <c r="B12" s="7">
        <v>46114</v>
      </c>
      <c r="C12" t="s">
        <v>84</v>
      </c>
      <c r="D12" t="s">
        <v>85</v>
      </c>
      <c r="E12" t="s">
        <v>79</v>
      </c>
      <c r="F12" t="s">
        <v>86</v>
      </c>
      <c r="G12" t="s">
        <v>87</v>
      </c>
      <c r="H12" t="s">
        <v>21</v>
      </c>
      <c r="I12">
        <v>2</v>
      </c>
      <c r="J12" s="5">
        <v>1899</v>
      </c>
      <c r="K12" s="2">
        <v>0</v>
      </c>
      <c r="L12" t="s">
        <v>46</v>
      </c>
      <c r="M12" t="s">
        <v>82</v>
      </c>
      <c r="N12" s="1">
        <v>46121</v>
      </c>
      <c r="O12" s="1">
        <v>46116</v>
      </c>
      <c r="P12" s="5">
        <f>Orders[[#This Row],[Quantity]]*Orders[[#This Row],[Unit Price]]</f>
        <v>3798</v>
      </c>
      <c r="Q12" s="5">
        <f>Orders[[#This Row],[Gross Sales]]*Orders[[#This Row],[Discount %]]</f>
        <v>0</v>
      </c>
      <c r="R12" s="5">
        <f>Orders[[#This Row],[Gross Sales]]-Orders[[#This Row],[Discount Amount]]</f>
        <v>3798</v>
      </c>
      <c r="S12">
        <f>IF(Orders[[#This Row],[Actual Delivery Date]]="","",Orders[[#This Row],[Actual Delivery Date]]-Orders[[#This Row],[Order Date]])</f>
        <v>2</v>
      </c>
      <c r="T12" t="str">
        <f>IF(Orders[[#This Row],[Actual Delivery Date]]="","Pending",IF(Orders[[#This Row],[Actual Delivery Date]]&lt;=Orders[[#This Row],[Expected Delivery Date]],"On Time","Late"))</f>
        <v>On Time</v>
      </c>
      <c r="U12" t="str">
        <f>TEXT(Orders[[#This Row],[Order Date]],"mmm")</f>
        <v>Apr</v>
      </c>
      <c r="V12" s="8">
        <f>DATE(YEAR(Orders[[#This Row],[Order Date]]),MONTH(Orders[[#This Row],[Order Date]]),1)</f>
        <v>46113</v>
      </c>
      <c r="W12" s="5">
        <f>IF(Orders[[#This Row],[Order Status]]="Cancelled",Orders[[#This Row],[Net Sales]],0)</f>
        <v>0</v>
      </c>
    </row>
    <row r="13" spans="1:23" x14ac:dyDescent="0.3">
      <c r="A13" t="s">
        <v>88</v>
      </c>
      <c r="B13" s="7">
        <v>46273</v>
      </c>
      <c r="C13" t="s">
        <v>89</v>
      </c>
      <c r="D13" t="s">
        <v>90</v>
      </c>
      <c r="E13" t="s">
        <v>27</v>
      </c>
      <c r="F13" t="s">
        <v>28</v>
      </c>
      <c r="G13" t="s">
        <v>91</v>
      </c>
      <c r="H13" t="s">
        <v>30</v>
      </c>
      <c r="I13">
        <v>1</v>
      </c>
      <c r="J13" s="5">
        <v>3299</v>
      </c>
      <c r="K13" s="2">
        <v>0.1</v>
      </c>
      <c r="L13" t="s">
        <v>46</v>
      </c>
      <c r="M13" t="s">
        <v>23</v>
      </c>
      <c r="N13" s="1">
        <v>46275</v>
      </c>
      <c r="O13" s="1">
        <v>46274</v>
      </c>
      <c r="P13" s="5">
        <f>Orders[[#This Row],[Quantity]]*Orders[[#This Row],[Unit Price]]</f>
        <v>3299</v>
      </c>
      <c r="Q13" s="5">
        <f>Orders[[#This Row],[Gross Sales]]*Orders[[#This Row],[Discount %]]</f>
        <v>329.90000000000003</v>
      </c>
      <c r="R13" s="5">
        <f>Orders[[#This Row],[Gross Sales]]-Orders[[#This Row],[Discount Amount]]</f>
        <v>2969.1</v>
      </c>
      <c r="S13">
        <f>IF(Orders[[#This Row],[Actual Delivery Date]]="","",Orders[[#This Row],[Actual Delivery Date]]-Orders[[#This Row],[Order Date]])</f>
        <v>1</v>
      </c>
      <c r="T13" t="str">
        <f>IF(Orders[[#This Row],[Actual Delivery Date]]="","Pending",IF(Orders[[#This Row],[Actual Delivery Date]]&lt;=Orders[[#This Row],[Expected Delivery Date]],"On Time","Late"))</f>
        <v>On Time</v>
      </c>
      <c r="U13" t="str">
        <f>TEXT(Orders[[#This Row],[Order Date]],"mmm")</f>
        <v>Sep</v>
      </c>
      <c r="V13" s="8">
        <f>DATE(YEAR(Orders[[#This Row],[Order Date]]),MONTH(Orders[[#This Row],[Order Date]]),1)</f>
        <v>46266</v>
      </c>
      <c r="W13" s="5">
        <f>IF(Orders[[#This Row],[Order Status]]="Cancelled",Orders[[#This Row],[Net Sales]],0)</f>
        <v>0</v>
      </c>
    </row>
    <row r="14" spans="1:23" x14ac:dyDescent="0.3">
      <c r="A14" t="s">
        <v>92</v>
      </c>
      <c r="B14" s="7">
        <v>46304</v>
      </c>
      <c r="C14" t="s">
        <v>93</v>
      </c>
      <c r="D14" t="s">
        <v>94</v>
      </c>
      <c r="E14" t="s">
        <v>18</v>
      </c>
      <c r="F14" t="s">
        <v>95</v>
      </c>
      <c r="G14" t="s">
        <v>96</v>
      </c>
      <c r="H14" t="s">
        <v>38</v>
      </c>
      <c r="I14">
        <v>1</v>
      </c>
      <c r="J14" s="5">
        <v>1599</v>
      </c>
      <c r="K14" s="2">
        <v>0.2</v>
      </c>
      <c r="L14" t="s">
        <v>22</v>
      </c>
      <c r="M14" t="s">
        <v>23</v>
      </c>
      <c r="N14" s="1">
        <v>46307</v>
      </c>
      <c r="O14" s="1">
        <v>46309</v>
      </c>
      <c r="P14" s="5">
        <f>Orders[[#This Row],[Quantity]]*Orders[[#This Row],[Unit Price]]</f>
        <v>1599</v>
      </c>
      <c r="Q14" s="5">
        <f>Orders[[#This Row],[Gross Sales]]*Orders[[#This Row],[Discount %]]</f>
        <v>319.8</v>
      </c>
      <c r="R14" s="5">
        <f>Orders[[#This Row],[Gross Sales]]-Orders[[#This Row],[Discount Amount]]</f>
        <v>1279.2</v>
      </c>
      <c r="S14">
        <f>IF(Orders[[#This Row],[Actual Delivery Date]]="","",Orders[[#This Row],[Actual Delivery Date]]-Orders[[#This Row],[Order Date]])</f>
        <v>5</v>
      </c>
      <c r="T14" t="str">
        <f>IF(Orders[[#This Row],[Actual Delivery Date]]="","Pending",IF(Orders[[#This Row],[Actual Delivery Date]]&lt;=Orders[[#This Row],[Expected Delivery Date]],"On Time","Late"))</f>
        <v>Late</v>
      </c>
      <c r="U14" t="str">
        <f>TEXT(Orders[[#This Row],[Order Date]],"mmm")</f>
        <v>Oct</v>
      </c>
      <c r="V14" s="8">
        <f>DATE(YEAR(Orders[[#This Row],[Order Date]]),MONTH(Orders[[#This Row],[Order Date]]),1)</f>
        <v>46296</v>
      </c>
      <c r="W14" s="5">
        <f>IF(Orders[[#This Row],[Order Status]]="Cancelled",Orders[[#This Row],[Net Sales]],0)</f>
        <v>0</v>
      </c>
    </row>
    <row r="15" spans="1:23" x14ac:dyDescent="0.3">
      <c r="A15" t="s">
        <v>97</v>
      </c>
      <c r="B15" s="7">
        <v>46084</v>
      </c>
      <c r="C15" t="s">
        <v>98</v>
      </c>
      <c r="D15" t="s">
        <v>99</v>
      </c>
      <c r="E15" t="s">
        <v>35</v>
      </c>
      <c r="F15" t="s">
        <v>63</v>
      </c>
      <c r="G15" t="s">
        <v>100</v>
      </c>
      <c r="H15" t="s">
        <v>30</v>
      </c>
      <c r="I15">
        <v>1</v>
      </c>
      <c r="J15" s="5">
        <v>2499</v>
      </c>
      <c r="K15" s="2">
        <v>0</v>
      </c>
      <c r="L15" t="s">
        <v>46</v>
      </c>
      <c r="M15" t="s">
        <v>23</v>
      </c>
      <c r="N15" s="1">
        <v>46090</v>
      </c>
      <c r="O15" s="1">
        <v>46089</v>
      </c>
      <c r="P15" s="5">
        <f>Orders[[#This Row],[Quantity]]*Orders[[#This Row],[Unit Price]]</f>
        <v>2499</v>
      </c>
      <c r="Q15" s="5">
        <f>Orders[[#This Row],[Gross Sales]]*Orders[[#This Row],[Discount %]]</f>
        <v>0</v>
      </c>
      <c r="R15" s="5">
        <f>Orders[[#This Row],[Gross Sales]]-Orders[[#This Row],[Discount Amount]]</f>
        <v>2499</v>
      </c>
      <c r="S15">
        <f>IF(Orders[[#This Row],[Actual Delivery Date]]="","",Orders[[#This Row],[Actual Delivery Date]]-Orders[[#This Row],[Order Date]])</f>
        <v>5</v>
      </c>
      <c r="T15" t="str">
        <f>IF(Orders[[#This Row],[Actual Delivery Date]]="","Pending",IF(Orders[[#This Row],[Actual Delivery Date]]&lt;=Orders[[#This Row],[Expected Delivery Date]],"On Time","Late"))</f>
        <v>On Time</v>
      </c>
      <c r="U15" t="str">
        <f>TEXT(Orders[[#This Row],[Order Date]],"mmm")</f>
        <v>Mar</v>
      </c>
      <c r="V15" s="8">
        <f>DATE(YEAR(Orders[[#This Row],[Order Date]]),MONTH(Orders[[#This Row],[Order Date]]),1)</f>
        <v>46082</v>
      </c>
      <c r="W15" s="5">
        <f>IF(Orders[[#This Row],[Order Status]]="Cancelled",Orders[[#This Row],[Net Sales]],0)</f>
        <v>0</v>
      </c>
    </row>
    <row r="16" spans="1:23" x14ac:dyDescent="0.3">
      <c r="A16" t="s">
        <v>101</v>
      </c>
      <c r="B16" s="7">
        <v>46039</v>
      </c>
      <c r="C16" t="s">
        <v>102</v>
      </c>
      <c r="D16" t="s">
        <v>103</v>
      </c>
      <c r="E16" t="s">
        <v>18</v>
      </c>
      <c r="F16" t="s">
        <v>19</v>
      </c>
      <c r="G16" t="s">
        <v>104</v>
      </c>
      <c r="H16" t="s">
        <v>38</v>
      </c>
      <c r="I16">
        <v>3</v>
      </c>
      <c r="J16" s="5">
        <v>999</v>
      </c>
      <c r="K16" s="2">
        <v>0</v>
      </c>
      <c r="L16" t="s">
        <v>22</v>
      </c>
      <c r="M16" t="s">
        <v>23</v>
      </c>
      <c r="N16" s="1">
        <v>46043</v>
      </c>
      <c r="O16" s="1">
        <v>46041</v>
      </c>
      <c r="P16" s="5">
        <f>Orders[[#This Row],[Quantity]]*Orders[[#This Row],[Unit Price]]</f>
        <v>2997</v>
      </c>
      <c r="Q16" s="5">
        <f>Orders[[#This Row],[Gross Sales]]*Orders[[#This Row],[Discount %]]</f>
        <v>0</v>
      </c>
      <c r="R16" s="5">
        <f>Orders[[#This Row],[Gross Sales]]-Orders[[#This Row],[Discount Amount]]</f>
        <v>2997</v>
      </c>
      <c r="S16">
        <f>IF(Orders[[#This Row],[Actual Delivery Date]]="","",Orders[[#This Row],[Actual Delivery Date]]-Orders[[#This Row],[Order Date]])</f>
        <v>2</v>
      </c>
      <c r="T16" t="str">
        <f>IF(Orders[[#This Row],[Actual Delivery Date]]="","Pending",IF(Orders[[#This Row],[Actual Delivery Date]]&lt;=Orders[[#This Row],[Expected Delivery Date]],"On Time","Late"))</f>
        <v>On Time</v>
      </c>
      <c r="U16" t="str">
        <f>TEXT(Orders[[#This Row],[Order Date]],"mmm")</f>
        <v>Jan</v>
      </c>
      <c r="V16" s="8">
        <f>DATE(YEAR(Orders[[#This Row],[Order Date]]),MONTH(Orders[[#This Row],[Order Date]]),1)</f>
        <v>46023</v>
      </c>
      <c r="W16" s="5">
        <f>IF(Orders[[#This Row],[Order Status]]="Cancelled",Orders[[#This Row],[Net Sales]],0)</f>
        <v>0</v>
      </c>
    </row>
    <row r="17" spans="1:23" x14ac:dyDescent="0.3">
      <c r="A17" t="s">
        <v>105</v>
      </c>
      <c r="B17" s="7">
        <v>46120</v>
      </c>
      <c r="C17" t="s">
        <v>106</v>
      </c>
      <c r="D17" t="s">
        <v>107</v>
      </c>
      <c r="E17" t="s">
        <v>79</v>
      </c>
      <c r="F17" t="s">
        <v>108</v>
      </c>
      <c r="G17" t="s">
        <v>57</v>
      </c>
      <c r="H17" t="s">
        <v>58</v>
      </c>
      <c r="I17">
        <v>1</v>
      </c>
      <c r="J17" s="5">
        <v>499</v>
      </c>
      <c r="K17" s="2">
        <v>0.15</v>
      </c>
      <c r="L17" t="s">
        <v>46</v>
      </c>
      <c r="M17" t="s">
        <v>23</v>
      </c>
      <c r="N17" s="1">
        <v>46125</v>
      </c>
      <c r="O17" s="1">
        <v>46121</v>
      </c>
      <c r="P17" s="5">
        <f>Orders[[#This Row],[Quantity]]*Orders[[#This Row],[Unit Price]]</f>
        <v>499</v>
      </c>
      <c r="Q17" s="5">
        <f>Orders[[#This Row],[Gross Sales]]*Orders[[#This Row],[Discount %]]</f>
        <v>74.849999999999994</v>
      </c>
      <c r="R17" s="5">
        <f>Orders[[#This Row],[Gross Sales]]-Orders[[#This Row],[Discount Amount]]</f>
        <v>424.15</v>
      </c>
      <c r="S17">
        <f>IF(Orders[[#This Row],[Actual Delivery Date]]="","",Orders[[#This Row],[Actual Delivery Date]]-Orders[[#This Row],[Order Date]])</f>
        <v>1</v>
      </c>
      <c r="T17" t="str">
        <f>IF(Orders[[#This Row],[Actual Delivery Date]]="","Pending",IF(Orders[[#This Row],[Actual Delivery Date]]&lt;=Orders[[#This Row],[Expected Delivery Date]],"On Time","Late"))</f>
        <v>On Time</v>
      </c>
      <c r="U17" t="str">
        <f>TEXT(Orders[[#This Row],[Order Date]],"mmm")</f>
        <v>Apr</v>
      </c>
      <c r="V17" s="8">
        <f>DATE(YEAR(Orders[[#This Row],[Order Date]]),MONTH(Orders[[#This Row],[Order Date]]),1)</f>
        <v>46113</v>
      </c>
      <c r="W17" s="5">
        <f>IF(Orders[[#This Row],[Order Status]]="Cancelled",Orders[[#This Row],[Net Sales]],0)</f>
        <v>0</v>
      </c>
    </row>
    <row r="18" spans="1:23" x14ac:dyDescent="0.3">
      <c r="A18" t="s">
        <v>109</v>
      </c>
      <c r="B18" s="7">
        <v>46121</v>
      </c>
      <c r="C18" t="s">
        <v>110</v>
      </c>
      <c r="D18" t="s">
        <v>111</v>
      </c>
      <c r="E18" t="s">
        <v>79</v>
      </c>
      <c r="F18" t="s">
        <v>80</v>
      </c>
      <c r="G18" t="s">
        <v>52</v>
      </c>
      <c r="H18" t="s">
        <v>45</v>
      </c>
      <c r="I18">
        <v>1</v>
      </c>
      <c r="J18" s="5">
        <v>1299</v>
      </c>
      <c r="K18" s="2">
        <v>0.15</v>
      </c>
      <c r="L18" t="s">
        <v>31</v>
      </c>
      <c r="M18" t="s">
        <v>23</v>
      </c>
      <c r="N18" s="1">
        <v>46124</v>
      </c>
      <c r="O18" s="1">
        <v>46122</v>
      </c>
      <c r="P18" s="5">
        <f>Orders[[#This Row],[Quantity]]*Orders[[#This Row],[Unit Price]]</f>
        <v>1299</v>
      </c>
      <c r="Q18" s="5">
        <f>Orders[[#This Row],[Gross Sales]]*Orders[[#This Row],[Discount %]]</f>
        <v>194.85</v>
      </c>
      <c r="R18" s="5">
        <f>Orders[[#This Row],[Gross Sales]]-Orders[[#This Row],[Discount Amount]]</f>
        <v>1104.1500000000001</v>
      </c>
      <c r="S18">
        <f>IF(Orders[[#This Row],[Actual Delivery Date]]="","",Orders[[#This Row],[Actual Delivery Date]]-Orders[[#This Row],[Order Date]])</f>
        <v>1</v>
      </c>
      <c r="T18" t="str">
        <f>IF(Orders[[#This Row],[Actual Delivery Date]]="","Pending",IF(Orders[[#This Row],[Actual Delivery Date]]&lt;=Orders[[#This Row],[Expected Delivery Date]],"On Time","Late"))</f>
        <v>On Time</v>
      </c>
      <c r="U18" t="str">
        <f>TEXT(Orders[[#This Row],[Order Date]],"mmm")</f>
        <v>Apr</v>
      </c>
      <c r="V18" s="8">
        <f>DATE(YEAR(Orders[[#This Row],[Order Date]]),MONTH(Orders[[#This Row],[Order Date]]),1)</f>
        <v>46113</v>
      </c>
      <c r="W18" s="5">
        <f>IF(Orders[[#This Row],[Order Status]]="Cancelled",Orders[[#This Row],[Net Sales]],0)</f>
        <v>0</v>
      </c>
    </row>
    <row r="19" spans="1:23" x14ac:dyDescent="0.3">
      <c r="A19" t="s">
        <v>112</v>
      </c>
      <c r="B19" s="7">
        <v>46070</v>
      </c>
      <c r="C19" t="s">
        <v>113</v>
      </c>
      <c r="D19" t="s">
        <v>114</v>
      </c>
      <c r="E19" t="s">
        <v>18</v>
      </c>
      <c r="F19" t="s">
        <v>19</v>
      </c>
      <c r="G19" t="s">
        <v>81</v>
      </c>
      <c r="H19" t="s">
        <v>30</v>
      </c>
      <c r="I19">
        <v>4</v>
      </c>
      <c r="J19" s="5">
        <v>899</v>
      </c>
      <c r="K19" s="2">
        <v>0.05</v>
      </c>
      <c r="L19" t="s">
        <v>31</v>
      </c>
      <c r="M19" t="s">
        <v>23</v>
      </c>
      <c r="N19" s="1">
        <v>46075</v>
      </c>
      <c r="O19" s="1">
        <v>46074</v>
      </c>
      <c r="P19" s="5">
        <f>Orders[[#This Row],[Quantity]]*Orders[[#This Row],[Unit Price]]</f>
        <v>3596</v>
      </c>
      <c r="Q19" s="5">
        <f>Orders[[#This Row],[Gross Sales]]*Orders[[#This Row],[Discount %]]</f>
        <v>179.8</v>
      </c>
      <c r="R19" s="5">
        <f>Orders[[#This Row],[Gross Sales]]-Orders[[#This Row],[Discount Amount]]</f>
        <v>3416.2</v>
      </c>
      <c r="S19">
        <f>IF(Orders[[#This Row],[Actual Delivery Date]]="","",Orders[[#This Row],[Actual Delivery Date]]-Orders[[#This Row],[Order Date]])</f>
        <v>4</v>
      </c>
      <c r="T19" t="str">
        <f>IF(Orders[[#This Row],[Actual Delivery Date]]="","Pending",IF(Orders[[#This Row],[Actual Delivery Date]]&lt;=Orders[[#This Row],[Expected Delivery Date]],"On Time","Late"))</f>
        <v>On Time</v>
      </c>
      <c r="U19" t="str">
        <f>TEXT(Orders[[#This Row],[Order Date]],"mmm")</f>
        <v>Feb</v>
      </c>
      <c r="V19" s="8">
        <f>DATE(YEAR(Orders[[#This Row],[Order Date]]),MONTH(Orders[[#This Row],[Order Date]]),1)</f>
        <v>46054</v>
      </c>
      <c r="W19" s="5">
        <f>IF(Orders[[#This Row],[Order Status]]="Cancelled",Orders[[#This Row],[Net Sales]],0)</f>
        <v>0</v>
      </c>
    </row>
    <row r="20" spans="1:23" x14ac:dyDescent="0.3">
      <c r="A20" t="s">
        <v>115</v>
      </c>
      <c r="B20" s="7">
        <v>46255</v>
      </c>
      <c r="C20" t="s">
        <v>116</v>
      </c>
      <c r="D20" t="s">
        <v>117</v>
      </c>
      <c r="E20" t="s">
        <v>79</v>
      </c>
      <c r="F20" t="s">
        <v>86</v>
      </c>
      <c r="G20" t="s">
        <v>118</v>
      </c>
      <c r="H20" t="s">
        <v>58</v>
      </c>
      <c r="I20">
        <v>1</v>
      </c>
      <c r="J20" s="5">
        <v>749</v>
      </c>
      <c r="K20" s="2">
        <v>0.2</v>
      </c>
      <c r="L20" t="s">
        <v>70</v>
      </c>
      <c r="M20" t="s">
        <v>23</v>
      </c>
      <c r="N20" s="1">
        <v>46258</v>
      </c>
      <c r="O20" s="1">
        <v>46256</v>
      </c>
      <c r="P20" s="5">
        <f>Orders[[#This Row],[Quantity]]*Orders[[#This Row],[Unit Price]]</f>
        <v>749</v>
      </c>
      <c r="Q20" s="5">
        <f>Orders[[#This Row],[Gross Sales]]*Orders[[#This Row],[Discount %]]</f>
        <v>149.80000000000001</v>
      </c>
      <c r="R20" s="5">
        <f>Orders[[#This Row],[Gross Sales]]-Orders[[#This Row],[Discount Amount]]</f>
        <v>599.20000000000005</v>
      </c>
      <c r="S20">
        <f>IF(Orders[[#This Row],[Actual Delivery Date]]="","",Orders[[#This Row],[Actual Delivery Date]]-Orders[[#This Row],[Order Date]])</f>
        <v>1</v>
      </c>
      <c r="T20" t="str">
        <f>IF(Orders[[#This Row],[Actual Delivery Date]]="","Pending",IF(Orders[[#This Row],[Actual Delivery Date]]&lt;=Orders[[#This Row],[Expected Delivery Date]],"On Time","Late"))</f>
        <v>On Time</v>
      </c>
      <c r="U20" t="str">
        <f>TEXT(Orders[[#This Row],[Order Date]],"mmm")</f>
        <v>Aug</v>
      </c>
      <c r="V20" s="8">
        <f>DATE(YEAR(Orders[[#This Row],[Order Date]]),MONTH(Orders[[#This Row],[Order Date]]),1)</f>
        <v>46235</v>
      </c>
      <c r="W20" s="5">
        <f>IF(Orders[[#This Row],[Order Status]]="Cancelled",Orders[[#This Row],[Net Sales]],0)</f>
        <v>0</v>
      </c>
    </row>
    <row r="21" spans="1:23" x14ac:dyDescent="0.3">
      <c r="A21" t="s">
        <v>119</v>
      </c>
      <c r="B21" s="7">
        <v>46322</v>
      </c>
      <c r="C21" t="s">
        <v>41</v>
      </c>
      <c r="D21" t="s">
        <v>120</v>
      </c>
      <c r="E21" t="s">
        <v>18</v>
      </c>
      <c r="F21" t="s">
        <v>121</v>
      </c>
      <c r="G21" t="s">
        <v>75</v>
      </c>
      <c r="H21" t="s">
        <v>45</v>
      </c>
      <c r="I21">
        <v>2</v>
      </c>
      <c r="J21" s="5">
        <v>799</v>
      </c>
      <c r="K21" s="2">
        <v>0.2</v>
      </c>
      <c r="L21" t="s">
        <v>31</v>
      </c>
      <c r="M21" t="s">
        <v>23</v>
      </c>
      <c r="N21" s="1">
        <v>46328</v>
      </c>
      <c r="O21" s="1">
        <v>46324</v>
      </c>
      <c r="P21" s="5">
        <f>Orders[[#This Row],[Quantity]]*Orders[[#This Row],[Unit Price]]</f>
        <v>1598</v>
      </c>
      <c r="Q21" s="5">
        <f>Orders[[#This Row],[Gross Sales]]*Orders[[#This Row],[Discount %]]</f>
        <v>319.60000000000002</v>
      </c>
      <c r="R21" s="5">
        <f>Orders[[#This Row],[Gross Sales]]-Orders[[#This Row],[Discount Amount]]</f>
        <v>1278.4000000000001</v>
      </c>
      <c r="S21">
        <f>IF(Orders[[#This Row],[Actual Delivery Date]]="","",Orders[[#This Row],[Actual Delivery Date]]-Orders[[#This Row],[Order Date]])</f>
        <v>2</v>
      </c>
      <c r="T21" t="str">
        <f>IF(Orders[[#This Row],[Actual Delivery Date]]="","Pending",IF(Orders[[#This Row],[Actual Delivery Date]]&lt;=Orders[[#This Row],[Expected Delivery Date]],"On Time","Late"))</f>
        <v>On Time</v>
      </c>
      <c r="U21" t="str">
        <f>TEXT(Orders[[#This Row],[Order Date]],"mmm")</f>
        <v>Oct</v>
      </c>
      <c r="V21" s="8">
        <f>DATE(YEAR(Orders[[#This Row],[Order Date]]),MONTH(Orders[[#This Row],[Order Date]]),1)</f>
        <v>46296</v>
      </c>
      <c r="W21" s="5">
        <f>IF(Orders[[#This Row],[Order Status]]="Cancelled",Orders[[#This Row],[Net Sales]],0)</f>
        <v>0</v>
      </c>
    </row>
    <row r="22" spans="1:23" x14ac:dyDescent="0.3">
      <c r="A22" t="s">
        <v>122</v>
      </c>
      <c r="B22" s="7">
        <v>46149</v>
      </c>
      <c r="C22" t="s">
        <v>123</v>
      </c>
      <c r="D22" t="s">
        <v>124</v>
      </c>
      <c r="E22" t="s">
        <v>27</v>
      </c>
      <c r="F22" t="s">
        <v>74</v>
      </c>
      <c r="G22" t="s">
        <v>44</v>
      </c>
      <c r="H22" t="s">
        <v>45</v>
      </c>
      <c r="I22">
        <v>2</v>
      </c>
      <c r="J22" s="5">
        <v>1799</v>
      </c>
      <c r="K22" s="2">
        <v>0</v>
      </c>
      <c r="L22" t="s">
        <v>22</v>
      </c>
      <c r="M22" t="s">
        <v>23</v>
      </c>
      <c r="N22" s="1">
        <v>46154</v>
      </c>
      <c r="O22" s="1">
        <v>46154</v>
      </c>
      <c r="P22" s="5">
        <f>Orders[[#This Row],[Quantity]]*Orders[[#This Row],[Unit Price]]</f>
        <v>3598</v>
      </c>
      <c r="Q22" s="5">
        <f>Orders[[#This Row],[Gross Sales]]*Orders[[#This Row],[Discount %]]</f>
        <v>0</v>
      </c>
      <c r="R22" s="5">
        <f>Orders[[#This Row],[Gross Sales]]-Orders[[#This Row],[Discount Amount]]</f>
        <v>3598</v>
      </c>
      <c r="S22">
        <f>IF(Orders[[#This Row],[Actual Delivery Date]]="","",Orders[[#This Row],[Actual Delivery Date]]-Orders[[#This Row],[Order Date]])</f>
        <v>5</v>
      </c>
      <c r="T22" t="str">
        <f>IF(Orders[[#This Row],[Actual Delivery Date]]="","Pending",IF(Orders[[#This Row],[Actual Delivery Date]]&lt;=Orders[[#This Row],[Expected Delivery Date]],"On Time","Late"))</f>
        <v>On Time</v>
      </c>
      <c r="U22" t="str">
        <f>TEXT(Orders[[#This Row],[Order Date]],"mmm")</f>
        <v>May</v>
      </c>
      <c r="V22" s="8">
        <f>DATE(YEAR(Orders[[#This Row],[Order Date]]),MONTH(Orders[[#This Row],[Order Date]]),1)</f>
        <v>46143</v>
      </c>
      <c r="W22" s="5">
        <f>IF(Orders[[#This Row],[Order Status]]="Cancelled",Orders[[#This Row],[Net Sales]],0)</f>
        <v>0</v>
      </c>
    </row>
    <row r="23" spans="1:23" x14ac:dyDescent="0.3">
      <c r="A23" t="s">
        <v>125</v>
      </c>
      <c r="B23" s="7">
        <v>46158</v>
      </c>
      <c r="C23" t="s">
        <v>126</v>
      </c>
      <c r="D23" t="s">
        <v>127</v>
      </c>
      <c r="E23" t="s">
        <v>35</v>
      </c>
      <c r="F23" t="s">
        <v>68</v>
      </c>
      <c r="G23" t="s">
        <v>20</v>
      </c>
      <c r="H23" t="s">
        <v>21</v>
      </c>
      <c r="I23">
        <v>1</v>
      </c>
      <c r="J23" s="5">
        <v>1799</v>
      </c>
      <c r="K23" s="2">
        <v>0.1</v>
      </c>
      <c r="L23" t="s">
        <v>70</v>
      </c>
      <c r="M23" t="s">
        <v>23</v>
      </c>
      <c r="N23" s="1">
        <v>46160</v>
      </c>
      <c r="O23" s="1">
        <v>46159</v>
      </c>
      <c r="P23" s="5">
        <f>Orders[[#This Row],[Quantity]]*Orders[[#This Row],[Unit Price]]</f>
        <v>1799</v>
      </c>
      <c r="Q23" s="5">
        <f>Orders[[#This Row],[Gross Sales]]*Orders[[#This Row],[Discount %]]</f>
        <v>179.9</v>
      </c>
      <c r="R23" s="5">
        <f>Orders[[#This Row],[Gross Sales]]-Orders[[#This Row],[Discount Amount]]</f>
        <v>1619.1</v>
      </c>
      <c r="S23">
        <f>IF(Orders[[#This Row],[Actual Delivery Date]]="","",Orders[[#This Row],[Actual Delivery Date]]-Orders[[#This Row],[Order Date]])</f>
        <v>1</v>
      </c>
      <c r="T23" t="str">
        <f>IF(Orders[[#This Row],[Actual Delivery Date]]="","Pending",IF(Orders[[#This Row],[Actual Delivery Date]]&lt;=Orders[[#This Row],[Expected Delivery Date]],"On Time","Late"))</f>
        <v>On Time</v>
      </c>
      <c r="U23" t="str">
        <f>TEXT(Orders[[#This Row],[Order Date]],"mmm")</f>
        <v>May</v>
      </c>
      <c r="V23" s="8">
        <f>DATE(YEAR(Orders[[#This Row],[Order Date]]),MONTH(Orders[[#This Row],[Order Date]]),1)</f>
        <v>46143</v>
      </c>
      <c r="W23" s="5">
        <f>IF(Orders[[#This Row],[Order Status]]="Cancelled",Orders[[#This Row],[Net Sales]],0)</f>
        <v>0</v>
      </c>
    </row>
    <row r="24" spans="1:23" x14ac:dyDescent="0.3">
      <c r="A24" t="s">
        <v>128</v>
      </c>
      <c r="B24" s="7">
        <v>46058</v>
      </c>
      <c r="C24" t="s">
        <v>129</v>
      </c>
      <c r="D24" t="s">
        <v>130</v>
      </c>
      <c r="E24" t="s">
        <v>27</v>
      </c>
      <c r="F24" t="s">
        <v>51</v>
      </c>
      <c r="G24" t="s">
        <v>131</v>
      </c>
      <c r="H24" t="s">
        <v>38</v>
      </c>
      <c r="I24">
        <v>3</v>
      </c>
      <c r="J24" s="5">
        <v>899</v>
      </c>
      <c r="K24" s="2">
        <v>0.1</v>
      </c>
      <c r="L24" t="s">
        <v>46</v>
      </c>
      <c r="M24" t="s">
        <v>23</v>
      </c>
      <c r="N24" s="1">
        <v>46063</v>
      </c>
      <c r="O24" s="1">
        <v>46061</v>
      </c>
      <c r="P24" s="5">
        <f>Orders[[#This Row],[Quantity]]*Orders[[#This Row],[Unit Price]]</f>
        <v>2697</v>
      </c>
      <c r="Q24" s="5">
        <f>Orders[[#This Row],[Gross Sales]]*Orders[[#This Row],[Discount %]]</f>
        <v>269.7</v>
      </c>
      <c r="R24" s="5">
        <f>Orders[[#This Row],[Gross Sales]]-Orders[[#This Row],[Discount Amount]]</f>
        <v>2427.3000000000002</v>
      </c>
      <c r="S24">
        <f>IF(Orders[[#This Row],[Actual Delivery Date]]="","",Orders[[#This Row],[Actual Delivery Date]]-Orders[[#This Row],[Order Date]])</f>
        <v>3</v>
      </c>
      <c r="T24" t="str">
        <f>IF(Orders[[#This Row],[Actual Delivery Date]]="","Pending",IF(Orders[[#This Row],[Actual Delivery Date]]&lt;=Orders[[#This Row],[Expected Delivery Date]],"On Time","Late"))</f>
        <v>On Time</v>
      </c>
      <c r="U24" t="str">
        <f>TEXT(Orders[[#This Row],[Order Date]],"mmm")</f>
        <v>Feb</v>
      </c>
      <c r="V24" s="8">
        <f>DATE(YEAR(Orders[[#This Row],[Order Date]]),MONTH(Orders[[#This Row],[Order Date]]),1)</f>
        <v>46054</v>
      </c>
      <c r="W24" s="5">
        <f>IF(Orders[[#This Row],[Order Status]]="Cancelled",Orders[[#This Row],[Net Sales]],0)</f>
        <v>0</v>
      </c>
    </row>
    <row r="25" spans="1:23" x14ac:dyDescent="0.3">
      <c r="A25" t="s">
        <v>132</v>
      </c>
      <c r="B25" s="7">
        <v>46082</v>
      </c>
      <c r="C25" t="s">
        <v>133</v>
      </c>
      <c r="D25" t="s">
        <v>134</v>
      </c>
      <c r="E25" t="s">
        <v>35</v>
      </c>
      <c r="F25" t="s">
        <v>135</v>
      </c>
      <c r="G25" t="s">
        <v>131</v>
      </c>
      <c r="H25" t="s">
        <v>38</v>
      </c>
      <c r="I25">
        <v>3</v>
      </c>
      <c r="J25" s="5">
        <v>899</v>
      </c>
      <c r="K25" s="2">
        <v>0.2</v>
      </c>
      <c r="L25" t="s">
        <v>31</v>
      </c>
      <c r="M25" t="s">
        <v>23</v>
      </c>
      <c r="N25" s="1">
        <v>46086</v>
      </c>
      <c r="O25" s="1">
        <v>46085</v>
      </c>
      <c r="P25" s="5">
        <f>Orders[[#This Row],[Quantity]]*Orders[[#This Row],[Unit Price]]</f>
        <v>2697</v>
      </c>
      <c r="Q25" s="5">
        <f>Orders[[#This Row],[Gross Sales]]*Orders[[#This Row],[Discount %]]</f>
        <v>539.4</v>
      </c>
      <c r="R25" s="5">
        <f>Orders[[#This Row],[Gross Sales]]-Orders[[#This Row],[Discount Amount]]</f>
        <v>2157.6</v>
      </c>
      <c r="S25">
        <f>IF(Orders[[#This Row],[Actual Delivery Date]]="","",Orders[[#This Row],[Actual Delivery Date]]-Orders[[#This Row],[Order Date]])</f>
        <v>3</v>
      </c>
      <c r="T25" t="str">
        <f>IF(Orders[[#This Row],[Actual Delivery Date]]="","Pending",IF(Orders[[#This Row],[Actual Delivery Date]]&lt;=Orders[[#This Row],[Expected Delivery Date]],"On Time","Late"))</f>
        <v>On Time</v>
      </c>
      <c r="U25" t="str">
        <f>TEXT(Orders[[#This Row],[Order Date]],"mmm")</f>
        <v>Mar</v>
      </c>
      <c r="V25" s="8">
        <f>DATE(YEAR(Orders[[#This Row],[Order Date]]),MONTH(Orders[[#This Row],[Order Date]]),1)</f>
        <v>46082</v>
      </c>
      <c r="W25" s="5">
        <f>IF(Orders[[#This Row],[Order Status]]="Cancelled",Orders[[#This Row],[Net Sales]],0)</f>
        <v>0</v>
      </c>
    </row>
    <row r="26" spans="1:23" x14ac:dyDescent="0.3">
      <c r="A26" t="s">
        <v>136</v>
      </c>
      <c r="B26" s="7">
        <v>46347</v>
      </c>
      <c r="C26" t="s">
        <v>137</v>
      </c>
      <c r="D26" t="s">
        <v>111</v>
      </c>
      <c r="E26" t="s">
        <v>79</v>
      </c>
      <c r="F26" t="s">
        <v>80</v>
      </c>
      <c r="G26" t="s">
        <v>75</v>
      </c>
      <c r="H26" t="s">
        <v>45</v>
      </c>
      <c r="I26">
        <v>1</v>
      </c>
      <c r="J26" s="5">
        <v>799</v>
      </c>
      <c r="K26" s="2">
        <v>0.1</v>
      </c>
      <c r="L26" t="s">
        <v>39</v>
      </c>
      <c r="M26" t="s">
        <v>23</v>
      </c>
      <c r="N26" s="1">
        <v>46351</v>
      </c>
      <c r="O26" s="1">
        <v>46350</v>
      </c>
      <c r="P26" s="5">
        <f>Orders[[#This Row],[Quantity]]*Orders[[#This Row],[Unit Price]]</f>
        <v>799</v>
      </c>
      <c r="Q26" s="5">
        <f>Orders[[#This Row],[Gross Sales]]*Orders[[#This Row],[Discount %]]</f>
        <v>79.900000000000006</v>
      </c>
      <c r="R26" s="5">
        <f>Orders[[#This Row],[Gross Sales]]-Orders[[#This Row],[Discount Amount]]</f>
        <v>719.1</v>
      </c>
      <c r="S26">
        <f>IF(Orders[[#This Row],[Actual Delivery Date]]="","",Orders[[#This Row],[Actual Delivery Date]]-Orders[[#This Row],[Order Date]])</f>
        <v>3</v>
      </c>
      <c r="T26" t="str">
        <f>IF(Orders[[#This Row],[Actual Delivery Date]]="","Pending",IF(Orders[[#This Row],[Actual Delivery Date]]&lt;=Orders[[#This Row],[Expected Delivery Date]],"On Time","Late"))</f>
        <v>On Time</v>
      </c>
      <c r="U26" t="str">
        <f>TEXT(Orders[[#This Row],[Order Date]],"mmm")</f>
        <v>Nov</v>
      </c>
      <c r="V26" s="8">
        <f>DATE(YEAR(Orders[[#This Row],[Order Date]]),MONTH(Orders[[#This Row],[Order Date]]),1)</f>
        <v>46327</v>
      </c>
      <c r="W26" s="5">
        <f>IF(Orders[[#This Row],[Order Status]]="Cancelled",Orders[[#This Row],[Net Sales]],0)</f>
        <v>0</v>
      </c>
    </row>
    <row r="27" spans="1:23" x14ac:dyDescent="0.3">
      <c r="A27" t="s">
        <v>138</v>
      </c>
      <c r="B27" s="7">
        <v>46376</v>
      </c>
      <c r="C27" t="s">
        <v>139</v>
      </c>
      <c r="D27" t="s">
        <v>140</v>
      </c>
      <c r="E27" t="s">
        <v>79</v>
      </c>
      <c r="F27" t="s">
        <v>86</v>
      </c>
      <c r="G27" t="s">
        <v>75</v>
      </c>
      <c r="H27" t="s">
        <v>45</v>
      </c>
      <c r="I27">
        <v>4</v>
      </c>
      <c r="J27" s="5">
        <v>799</v>
      </c>
      <c r="K27" s="2">
        <v>0.2</v>
      </c>
      <c r="L27" t="s">
        <v>39</v>
      </c>
      <c r="M27" t="s">
        <v>82</v>
      </c>
      <c r="N27" s="1">
        <v>46380</v>
      </c>
      <c r="O27" s="1">
        <v>46378</v>
      </c>
      <c r="P27" s="5">
        <f>Orders[[#This Row],[Quantity]]*Orders[[#This Row],[Unit Price]]</f>
        <v>3196</v>
      </c>
      <c r="Q27" s="5">
        <f>Orders[[#This Row],[Gross Sales]]*Orders[[#This Row],[Discount %]]</f>
        <v>639.20000000000005</v>
      </c>
      <c r="R27" s="5">
        <f>Orders[[#This Row],[Gross Sales]]-Orders[[#This Row],[Discount Amount]]</f>
        <v>2556.8000000000002</v>
      </c>
      <c r="S27">
        <f>IF(Orders[[#This Row],[Actual Delivery Date]]="","",Orders[[#This Row],[Actual Delivery Date]]-Orders[[#This Row],[Order Date]])</f>
        <v>2</v>
      </c>
      <c r="T27" t="str">
        <f>IF(Orders[[#This Row],[Actual Delivery Date]]="","Pending",IF(Orders[[#This Row],[Actual Delivery Date]]&lt;=Orders[[#This Row],[Expected Delivery Date]],"On Time","Late"))</f>
        <v>On Time</v>
      </c>
      <c r="U27" t="str">
        <f>TEXT(Orders[[#This Row],[Order Date]],"mmm")</f>
        <v>Dec</v>
      </c>
      <c r="V27" s="8">
        <f>DATE(YEAR(Orders[[#This Row],[Order Date]]),MONTH(Orders[[#This Row],[Order Date]]),1)</f>
        <v>46357</v>
      </c>
      <c r="W27" s="5">
        <f>IF(Orders[[#This Row],[Order Status]]="Cancelled",Orders[[#This Row],[Net Sales]],0)</f>
        <v>0</v>
      </c>
    </row>
    <row r="28" spans="1:23" x14ac:dyDescent="0.3">
      <c r="A28" t="s">
        <v>141</v>
      </c>
      <c r="B28" s="7">
        <v>46206</v>
      </c>
      <c r="C28" t="s">
        <v>142</v>
      </c>
      <c r="D28" t="s">
        <v>143</v>
      </c>
      <c r="E28" t="s">
        <v>18</v>
      </c>
      <c r="F28" t="s">
        <v>121</v>
      </c>
      <c r="G28" t="s">
        <v>64</v>
      </c>
      <c r="H28" t="s">
        <v>21</v>
      </c>
      <c r="I28">
        <v>1</v>
      </c>
      <c r="J28" s="5">
        <v>699</v>
      </c>
      <c r="K28" s="2">
        <v>0.05</v>
      </c>
      <c r="L28" t="s">
        <v>39</v>
      </c>
      <c r="M28" t="s">
        <v>23</v>
      </c>
      <c r="N28" s="1">
        <v>46212</v>
      </c>
      <c r="O28" s="1">
        <v>46216</v>
      </c>
      <c r="P28" s="5">
        <f>Orders[[#This Row],[Quantity]]*Orders[[#This Row],[Unit Price]]</f>
        <v>699</v>
      </c>
      <c r="Q28" s="5">
        <f>Orders[[#This Row],[Gross Sales]]*Orders[[#This Row],[Discount %]]</f>
        <v>34.950000000000003</v>
      </c>
      <c r="R28" s="5">
        <f>Orders[[#This Row],[Gross Sales]]-Orders[[#This Row],[Discount Amount]]</f>
        <v>664.05</v>
      </c>
      <c r="S28">
        <f>IF(Orders[[#This Row],[Actual Delivery Date]]="","",Orders[[#This Row],[Actual Delivery Date]]-Orders[[#This Row],[Order Date]])</f>
        <v>10</v>
      </c>
      <c r="T28" t="str">
        <f>IF(Orders[[#This Row],[Actual Delivery Date]]="","Pending",IF(Orders[[#This Row],[Actual Delivery Date]]&lt;=Orders[[#This Row],[Expected Delivery Date]],"On Time","Late"))</f>
        <v>Late</v>
      </c>
      <c r="U28" t="str">
        <f>TEXT(Orders[[#This Row],[Order Date]],"mmm")</f>
        <v>Jul</v>
      </c>
      <c r="V28" s="8">
        <f>DATE(YEAR(Orders[[#This Row],[Order Date]]),MONTH(Orders[[#This Row],[Order Date]]),1)</f>
        <v>46204</v>
      </c>
      <c r="W28" s="5">
        <f>IF(Orders[[#This Row],[Order Status]]="Cancelled",Orders[[#This Row],[Net Sales]],0)</f>
        <v>0</v>
      </c>
    </row>
    <row r="29" spans="1:23" x14ac:dyDescent="0.3">
      <c r="A29" t="s">
        <v>144</v>
      </c>
      <c r="B29" s="7">
        <v>46114</v>
      </c>
      <c r="C29" t="s">
        <v>145</v>
      </c>
      <c r="D29" t="s">
        <v>146</v>
      </c>
      <c r="E29" t="s">
        <v>27</v>
      </c>
      <c r="F29" t="s">
        <v>56</v>
      </c>
      <c r="G29" t="s">
        <v>147</v>
      </c>
      <c r="H29" t="s">
        <v>58</v>
      </c>
      <c r="I29">
        <v>2</v>
      </c>
      <c r="J29" s="5">
        <v>399</v>
      </c>
      <c r="K29" s="2">
        <v>0.1</v>
      </c>
      <c r="L29" t="s">
        <v>70</v>
      </c>
      <c r="M29" t="s">
        <v>82</v>
      </c>
      <c r="N29" s="1">
        <v>46121</v>
      </c>
      <c r="O29" s="1">
        <v>46121</v>
      </c>
      <c r="P29" s="5">
        <f>Orders[[#This Row],[Quantity]]*Orders[[#This Row],[Unit Price]]</f>
        <v>798</v>
      </c>
      <c r="Q29" s="5">
        <f>Orders[[#This Row],[Gross Sales]]*Orders[[#This Row],[Discount %]]</f>
        <v>79.800000000000011</v>
      </c>
      <c r="R29" s="5">
        <f>Orders[[#This Row],[Gross Sales]]-Orders[[#This Row],[Discount Amount]]</f>
        <v>718.2</v>
      </c>
      <c r="S29">
        <f>IF(Orders[[#This Row],[Actual Delivery Date]]="","",Orders[[#This Row],[Actual Delivery Date]]-Orders[[#This Row],[Order Date]])</f>
        <v>7</v>
      </c>
      <c r="T29" t="str">
        <f>IF(Orders[[#This Row],[Actual Delivery Date]]="","Pending",IF(Orders[[#This Row],[Actual Delivery Date]]&lt;=Orders[[#This Row],[Expected Delivery Date]],"On Time","Late"))</f>
        <v>On Time</v>
      </c>
      <c r="U29" t="str">
        <f>TEXT(Orders[[#This Row],[Order Date]],"mmm")</f>
        <v>Apr</v>
      </c>
      <c r="V29" s="8">
        <f>DATE(YEAR(Orders[[#This Row],[Order Date]]),MONTH(Orders[[#This Row],[Order Date]]),1)</f>
        <v>46113</v>
      </c>
      <c r="W29" s="5">
        <f>IF(Orders[[#This Row],[Order Status]]="Cancelled",Orders[[#This Row],[Net Sales]],0)</f>
        <v>0</v>
      </c>
    </row>
    <row r="30" spans="1:23" x14ac:dyDescent="0.3">
      <c r="A30" t="s">
        <v>148</v>
      </c>
      <c r="B30" s="7">
        <v>46263</v>
      </c>
      <c r="C30" t="s">
        <v>149</v>
      </c>
      <c r="D30" t="s">
        <v>94</v>
      </c>
      <c r="E30" t="s">
        <v>27</v>
      </c>
      <c r="F30" t="s">
        <v>28</v>
      </c>
      <c r="G30" t="s">
        <v>147</v>
      </c>
      <c r="H30" t="s">
        <v>58</v>
      </c>
      <c r="I30">
        <v>1</v>
      </c>
      <c r="J30" s="5">
        <v>399</v>
      </c>
      <c r="K30" s="2">
        <v>0.15</v>
      </c>
      <c r="L30" t="s">
        <v>46</v>
      </c>
      <c r="M30" t="s">
        <v>23</v>
      </c>
      <c r="N30" s="1">
        <v>46266</v>
      </c>
      <c r="O30" s="1">
        <v>46266</v>
      </c>
      <c r="P30" s="5">
        <f>Orders[[#This Row],[Quantity]]*Orders[[#This Row],[Unit Price]]</f>
        <v>399</v>
      </c>
      <c r="Q30" s="5">
        <f>Orders[[#This Row],[Gross Sales]]*Orders[[#This Row],[Discount %]]</f>
        <v>59.849999999999994</v>
      </c>
      <c r="R30" s="5">
        <f>Orders[[#This Row],[Gross Sales]]-Orders[[#This Row],[Discount Amount]]</f>
        <v>339.15</v>
      </c>
      <c r="S30">
        <f>IF(Orders[[#This Row],[Actual Delivery Date]]="","",Orders[[#This Row],[Actual Delivery Date]]-Orders[[#This Row],[Order Date]])</f>
        <v>3</v>
      </c>
      <c r="T30" t="str">
        <f>IF(Orders[[#This Row],[Actual Delivery Date]]="","Pending",IF(Orders[[#This Row],[Actual Delivery Date]]&lt;=Orders[[#This Row],[Expected Delivery Date]],"On Time","Late"))</f>
        <v>On Time</v>
      </c>
      <c r="U30" t="str">
        <f>TEXT(Orders[[#This Row],[Order Date]],"mmm")</f>
        <v>Aug</v>
      </c>
      <c r="V30" s="8">
        <f>DATE(YEAR(Orders[[#This Row],[Order Date]]),MONTH(Orders[[#This Row],[Order Date]]),1)</f>
        <v>46235</v>
      </c>
      <c r="W30" s="5">
        <f>IF(Orders[[#This Row],[Order Status]]="Cancelled",Orders[[#This Row],[Net Sales]],0)</f>
        <v>0</v>
      </c>
    </row>
    <row r="31" spans="1:23" x14ac:dyDescent="0.3">
      <c r="A31" t="s">
        <v>150</v>
      </c>
      <c r="B31" s="7">
        <v>46202</v>
      </c>
      <c r="C31" t="s">
        <v>151</v>
      </c>
      <c r="D31" t="s">
        <v>152</v>
      </c>
      <c r="E31" t="s">
        <v>35</v>
      </c>
      <c r="F31" t="s">
        <v>36</v>
      </c>
      <c r="G31" t="s">
        <v>153</v>
      </c>
      <c r="H31" t="s">
        <v>45</v>
      </c>
      <c r="I31">
        <v>2</v>
      </c>
      <c r="J31" s="5">
        <v>1999</v>
      </c>
      <c r="K31" s="2">
        <v>0.15</v>
      </c>
      <c r="L31" t="s">
        <v>22</v>
      </c>
      <c r="M31" t="s">
        <v>23</v>
      </c>
      <c r="N31" s="1">
        <v>46204</v>
      </c>
      <c r="O31" s="1">
        <v>46204</v>
      </c>
      <c r="P31" s="5">
        <f>Orders[[#This Row],[Quantity]]*Orders[[#This Row],[Unit Price]]</f>
        <v>3998</v>
      </c>
      <c r="Q31" s="5">
        <f>Orders[[#This Row],[Gross Sales]]*Orders[[#This Row],[Discount %]]</f>
        <v>599.69999999999993</v>
      </c>
      <c r="R31" s="5">
        <f>Orders[[#This Row],[Gross Sales]]-Orders[[#This Row],[Discount Amount]]</f>
        <v>3398.3</v>
      </c>
      <c r="S31">
        <f>IF(Orders[[#This Row],[Actual Delivery Date]]="","",Orders[[#This Row],[Actual Delivery Date]]-Orders[[#This Row],[Order Date]])</f>
        <v>2</v>
      </c>
      <c r="T31" t="str">
        <f>IF(Orders[[#This Row],[Actual Delivery Date]]="","Pending",IF(Orders[[#This Row],[Actual Delivery Date]]&lt;=Orders[[#This Row],[Expected Delivery Date]],"On Time","Late"))</f>
        <v>On Time</v>
      </c>
      <c r="U31" t="str">
        <f>TEXT(Orders[[#This Row],[Order Date]],"mmm")</f>
        <v>Jun</v>
      </c>
      <c r="V31" s="8">
        <f>DATE(YEAR(Orders[[#This Row],[Order Date]]),MONTH(Orders[[#This Row],[Order Date]]),1)</f>
        <v>46174</v>
      </c>
      <c r="W31" s="5">
        <f>IF(Orders[[#This Row],[Order Status]]="Cancelled",Orders[[#This Row],[Net Sales]],0)</f>
        <v>0</v>
      </c>
    </row>
    <row r="32" spans="1:23" x14ac:dyDescent="0.3">
      <c r="A32" t="s">
        <v>154</v>
      </c>
      <c r="B32" s="7">
        <v>46245</v>
      </c>
      <c r="C32" t="s">
        <v>155</v>
      </c>
      <c r="D32" t="s">
        <v>156</v>
      </c>
      <c r="E32" t="s">
        <v>35</v>
      </c>
      <c r="F32" t="s">
        <v>135</v>
      </c>
      <c r="G32" t="s">
        <v>44</v>
      </c>
      <c r="H32" t="s">
        <v>45</v>
      </c>
      <c r="I32">
        <v>1</v>
      </c>
      <c r="J32" s="5">
        <v>1799</v>
      </c>
      <c r="K32" s="2">
        <v>0.1</v>
      </c>
      <c r="L32" t="s">
        <v>70</v>
      </c>
      <c r="M32" t="s">
        <v>47</v>
      </c>
      <c r="N32" s="1">
        <v>46251</v>
      </c>
      <c r="O32" s="1"/>
      <c r="P32" s="5">
        <f>Orders[[#This Row],[Quantity]]*Orders[[#This Row],[Unit Price]]</f>
        <v>1799</v>
      </c>
      <c r="Q32" s="5">
        <f>Orders[[#This Row],[Gross Sales]]*Orders[[#This Row],[Discount %]]</f>
        <v>179.9</v>
      </c>
      <c r="R32" s="5">
        <f>Orders[[#This Row],[Gross Sales]]-Orders[[#This Row],[Discount Amount]]</f>
        <v>1619.1</v>
      </c>
      <c r="S32" t="str">
        <f>IF(Orders[[#This Row],[Actual Delivery Date]]="","",Orders[[#This Row],[Actual Delivery Date]]-Orders[[#This Row],[Order Date]])</f>
        <v/>
      </c>
      <c r="T32" t="str">
        <f>IF(Orders[[#This Row],[Actual Delivery Date]]="","Pending",IF(Orders[[#This Row],[Actual Delivery Date]]&lt;=Orders[[#This Row],[Expected Delivery Date]],"On Time","Late"))</f>
        <v>Pending</v>
      </c>
      <c r="U32" t="str">
        <f>TEXT(Orders[[#This Row],[Order Date]],"mmm")</f>
        <v>Aug</v>
      </c>
      <c r="V32" s="8">
        <f>DATE(YEAR(Orders[[#This Row],[Order Date]]),MONTH(Orders[[#This Row],[Order Date]]),1)</f>
        <v>46235</v>
      </c>
      <c r="W32" s="5">
        <f>IF(Orders[[#This Row],[Order Status]]="Cancelled",Orders[[#This Row],[Net Sales]],0)</f>
        <v>0</v>
      </c>
    </row>
    <row r="33" spans="1:23" x14ac:dyDescent="0.3">
      <c r="A33" t="s">
        <v>157</v>
      </c>
      <c r="B33" s="7">
        <v>46023</v>
      </c>
      <c r="C33" t="s">
        <v>158</v>
      </c>
      <c r="D33" t="s">
        <v>159</v>
      </c>
      <c r="E33" t="s">
        <v>27</v>
      </c>
      <c r="F33" t="s">
        <v>51</v>
      </c>
      <c r="G33" t="s">
        <v>160</v>
      </c>
      <c r="H33" t="s">
        <v>45</v>
      </c>
      <c r="I33">
        <v>2</v>
      </c>
      <c r="J33" s="5">
        <v>1499</v>
      </c>
      <c r="K33" s="2">
        <v>0.2</v>
      </c>
      <c r="L33" t="s">
        <v>31</v>
      </c>
      <c r="M33" t="s">
        <v>23</v>
      </c>
      <c r="N33" s="1">
        <v>46028</v>
      </c>
      <c r="O33" s="1">
        <v>46026</v>
      </c>
      <c r="P33" s="5">
        <f>Orders[[#This Row],[Quantity]]*Orders[[#This Row],[Unit Price]]</f>
        <v>2998</v>
      </c>
      <c r="Q33" s="5">
        <f>Orders[[#This Row],[Gross Sales]]*Orders[[#This Row],[Discount %]]</f>
        <v>599.6</v>
      </c>
      <c r="R33" s="5">
        <f>Orders[[#This Row],[Gross Sales]]-Orders[[#This Row],[Discount Amount]]</f>
        <v>2398.4</v>
      </c>
      <c r="S33">
        <f>IF(Orders[[#This Row],[Actual Delivery Date]]="","",Orders[[#This Row],[Actual Delivery Date]]-Orders[[#This Row],[Order Date]])</f>
        <v>3</v>
      </c>
      <c r="T33" t="str">
        <f>IF(Orders[[#This Row],[Actual Delivery Date]]="","Pending",IF(Orders[[#This Row],[Actual Delivery Date]]&lt;=Orders[[#This Row],[Expected Delivery Date]],"On Time","Late"))</f>
        <v>On Time</v>
      </c>
      <c r="U33" t="str">
        <f>TEXT(Orders[[#This Row],[Order Date]],"mmm")</f>
        <v>Jan</v>
      </c>
      <c r="V33" s="8">
        <f>DATE(YEAR(Orders[[#This Row],[Order Date]]),MONTH(Orders[[#This Row],[Order Date]]),1)</f>
        <v>46023</v>
      </c>
      <c r="W33" s="5">
        <f>IF(Orders[[#This Row],[Order Status]]="Cancelled",Orders[[#This Row],[Net Sales]],0)</f>
        <v>0</v>
      </c>
    </row>
    <row r="34" spans="1:23" x14ac:dyDescent="0.3">
      <c r="A34" t="s">
        <v>161</v>
      </c>
      <c r="B34" s="7">
        <v>46229</v>
      </c>
      <c r="C34" t="s">
        <v>162</v>
      </c>
      <c r="D34" t="s">
        <v>163</v>
      </c>
      <c r="E34" t="s">
        <v>35</v>
      </c>
      <c r="F34" t="s">
        <v>36</v>
      </c>
      <c r="G34" t="s">
        <v>118</v>
      </c>
      <c r="H34" t="s">
        <v>58</v>
      </c>
      <c r="I34">
        <v>2</v>
      </c>
      <c r="J34" s="5">
        <v>749</v>
      </c>
      <c r="K34" s="2">
        <v>0.2</v>
      </c>
      <c r="L34" t="s">
        <v>31</v>
      </c>
      <c r="M34" t="s">
        <v>23</v>
      </c>
      <c r="N34" s="1">
        <v>46234</v>
      </c>
      <c r="O34" s="1">
        <v>46233</v>
      </c>
      <c r="P34" s="5">
        <f>Orders[[#This Row],[Quantity]]*Orders[[#This Row],[Unit Price]]</f>
        <v>1498</v>
      </c>
      <c r="Q34" s="5">
        <f>Orders[[#This Row],[Gross Sales]]*Orders[[#This Row],[Discount %]]</f>
        <v>299.60000000000002</v>
      </c>
      <c r="R34" s="5">
        <f>Orders[[#This Row],[Gross Sales]]-Orders[[#This Row],[Discount Amount]]</f>
        <v>1198.4000000000001</v>
      </c>
      <c r="S34">
        <f>IF(Orders[[#This Row],[Actual Delivery Date]]="","",Orders[[#This Row],[Actual Delivery Date]]-Orders[[#This Row],[Order Date]])</f>
        <v>4</v>
      </c>
      <c r="T34" t="str">
        <f>IF(Orders[[#This Row],[Actual Delivery Date]]="","Pending",IF(Orders[[#This Row],[Actual Delivery Date]]&lt;=Orders[[#This Row],[Expected Delivery Date]],"On Time","Late"))</f>
        <v>On Time</v>
      </c>
      <c r="U34" t="str">
        <f>TEXT(Orders[[#This Row],[Order Date]],"mmm")</f>
        <v>Jul</v>
      </c>
      <c r="V34" s="8">
        <f>DATE(YEAR(Orders[[#This Row],[Order Date]]),MONTH(Orders[[#This Row],[Order Date]]),1)</f>
        <v>46204</v>
      </c>
      <c r="W34" s="5">
        <f>IF(Orders[[#This Row],[Order Status]]="Cancelled",Orders[[#This Row],[Net Sales]],0)</f>
        <v>0</v>
      </c>
    </row>
    <row r="35" spans="1:23" x14ac:dyDescent="0.3">
      <c r="A35" t="s">
        <v>164</v>
      </c>
      <c r="B35" s="7">
        <v>46178</v>
      </c>
      <c r="C35" t="s">
        <v>165</v>
      </c>
      <c r="D35" t="s">
        <v>166</v>
      </c>
      <c r="E35" t="s">
        <v>35</v>
      </c>
      <c r="F35" t="s">
        <v>63</v>
      </c>
      <c r="G35" t="s">
        <v>81</v>
      </c>
      <c r="H35" t="s">
        <v>30</v>
      </c>
      <c r="I35">
        <v>1</v>
      </c>
      <c r="J35" s="5">
        <v>899</v>
      </c>
      <c r="K35" s="2">
        <v>0.15</v>
      </c>
      <c r="L35" t="s">
        <v>22</v>
      </c>
      <c r="M35" t="s">
        <v>47</v>
      </c>
      <c r="N35" s="1">
        <v>46185</v>
      </c>
      <c r="O35" s="1"/>
      <c r="P35" s="5">
        <f>Orders[[#This Row],[Quantity]]*Orders[[#This Row],[Unit Price]]</f>
        <v>899</v>
      </c>
      <c r="Q35" s="5">
        <f>Orders[[#This Row],[Gross Sales]]*Orders[[#This Row],[Discount %]]</f>
        <v>134.85</v>
      </c>
      <c r="R35" s="5">
        <f>Orders[[#This Row],[Gross Sales]]-Orders[[#This Row],[Discount Amount]]</f>
        <v>764.15</v>
      </c>
      <c r="S35" t="str">
        <f>IF(Orders[[#This Row],[Actual Delivery Date]]="","",Orders[[#This Row],[Actual Delivery Date]]-Orders[[#This Row],[Order Date]])</f>
        <v/>
      </c>
      <c r="T35" t="str">
        <f>IF(Orders[[#This Row],[Actual Delivery Date]]="","Pending",IF(Orders[[#This Row],[Actual Delivery Date]]&lt;=Orders[[#This Row],[Expected Delivery Date]],"On Time","Late"))</f>
        <v>Pending</v>
      </c>
      <c r="U35" t="str">
        <f>TEXT(Orders[[#This Row],[Order Date]],"mmm")</f>
        <v>Jun</v>
      </c>
      <c r="V35" s="8">
        <f>DATE(YEAR(Orders[[#This Row],[Order Date]]),MONTH(Orders[[#This Row],[Order Date]]),1)</f>
        <v>46174</v>
      </c>
      <c r="W35" s="5">
        <f>IF(Orders[[#This Row],[Order Status]]="Cancelled",Orders[[#This Row],[Net Sales]],0)</f>
        <v>0</v>
      </c>
    </row>
    <row r="36" spans="1:23" x14ac:dyDescent="0.3">
      <c r="A36" t="s">
        <v>167</v>
      </c>
      <c r="B36" s="7">
        <v>46265</v>
      </c>
      <c r="C36" t="s">
        <v>168</v>
      </c>
      <c r="D36" t="s">
        <v>169</v>
      </c>
      <c r="E36" t="s">
        <v>79</v>
      </c>
      <c r="F36" t="s">
        <v>170</v>
      </c>
      <c r="G36" t="s">
        <v>69</v>
      </c>
      <c r="H36" t="s">
        <v>38</v>
      </c>
      <c r="I36">
        <v>3</v>
      </c>
      <c r="J36" s="5">
        <v>3499</v>
      </c>
      <c r="K36" s="2">
        <v>0.05</v>
      </c>
      <c r="L36" t="s">
        <v>39</v>
      </c>
      <c r="M36" t="s">
        <v>23</v>
      </c>
      <c r="N36" s="1">
        <v>46271</v>
      </c>
      <c r="O36" s="1">
        <v>46270</v>
      </c>
      <c r="P36" s="5">
        <f>Orders[[#This Row],[Quantity]]*Orders[[#This Row],[Unit Price]]</f>
        <v>10497</v>
      </c>
      <c r="Q36" s="5">
        <f>Orders[[#This Row],[Gross Sales]]*Orders[[#This Row],[Discount %]]</f>
        <v>524.85</v>
      </c>
      <c r="R36" s="5">
        <f>Orders[[#This Row],[Gross Sales]]-Orders[[#This Row],[Discount Amount]]</f>
        <v>9972.15</v>
      </c>
      <c r="S36">
        <f>IF(Orders[[#This Row],[Actual Delivery Date]]="","",Orders[[#This Row],[Actual Delivery Date]]-Orders[[#This Row],[Order Date]])</f>
        <v>5</v>
      </c>
      <c r="T36" t="str">
        <f>IF(Orders[[#This Row],[Actual Delivery Date]]="","Pending",IF(Orders[[#This Row],[Actual Delivery Date]]&lt;=Orders[[#This Row],[Expected Delivery Date]],"On Time","Late"))</f>
        <v>On Time</v>
      </c>
      <c r="U36" t="str">
        <f>TEXT(Orders[[#This Row],[Order Date]],"mmm")</f>
        <v>Aug</v>
      </c>
      <c r="V36" s="8">
        <f>DATE(YEAR(Orders[[#This Row],[Order Date]]),MONTH(Orders[[#This Row],[Order Date]]),1)</f>
        <v>46235</v>
      </c>
      <c r="W36" s="5">
        <f>IF(Orders[[#This Row],[Order Status]]="Cancelled",Orders[[#This Row],[Net Sales]],0)</f>
        <v>0</v>
      </c>
    </row>
    <row r="37" spans="1:23" x14ac:dyDescent="0.3">
      <c r="A37" t="s">
        <v>171</v>
      </c>
      <c r="B37" s="7">
        <v>46098</v>
      </c>
      <c r="C37" t="s">
        <v>172</v>
      </c>
      <c r="D37" t="s">
        <v>173</v>
      </c>
      <c r="E37" t="s">
        <v>27</v>
      </c>
      <c r="F37" t="s">
        <v>51</v>
      </c>
      <c r="G37" t="s">
        <v>37</v>
      </c>
      <c r="H37" t="s">
        <v>38</v>
      </c>
      <c r="I37">
        <v>1</v>
      </c>
      <c r="J37" s="5">
        <v>699</v>
      </c>
      <c r="K37" s="2">
        <v>0.05</v>
      </c>
      <c r="L37" t="s">
        <v>70</v>
      </c>
      <c r="M37" t="s">
        <v>47</v>
      </c>
      <c r="N37" s="1">
        <v>46100</v>
      </c>
      <c r="O37" s="1"/>
      <c r="P37" s="5">
        <f>Orders[[#This Row],[Quantity]]*Orders[[#This Row],[Unit Price]]</f>
        <v>699</v>
      </c>
      <c r="Q37" s="5">
        <f>Orders[[#This Row],[Gross Sales]]*Orders[[#This Row],[Discount %]]</f>
        <v>34.950000000000003</v>
      </c>
      <c r="R37" s="5">
        <f>Orders[[#This Row],[Gross Sales]]-Orders[[#This Row],[Discount Amount]]</f>
        <v>664.05</v>
      </c>
      <c r="S37" t="str">
        <f>IF(Orders[[#This Row],[Actual Delivery Date]]="","",Orders[[#This Row],[Actual Delivery Date]]-Orders[[#This Row],[Order Date]])</f>
        <v/>
      </c>
      <c r="T37" t="str">
        <f>IF(Orders[[#This Row],[Actual Delivery Date]]="","Pending",IF(Orders[[#This Row],[Actual Delivery Date]]&lt;=Orders[[#This Row],[Expected Delivery Date]],"On Time","Late"))</f>
        <v>Pending</v>
      </c>
      <c r="U37" t="str">
        <f>TEXT(Orders[[#This Row],[Order Date]],"mmm")</f>
        <v>Mar</v>
      </c>
      <c r="V37" s="8">
        <f>DATE(YEAR(Orders[[#This Row],[Order Date]]),MONTH(Orders[[#This Row],[Order Date]]),1)</f>
        <v>46082</v>
      </c>
      <c r="W37" s="5">
        <f>IF(Orders[[#This Row],[Order Status]]="Cancelled",Orders[[#This Row],[Net Sales]],0)</f>
        <v>0</v>
      </c>
    </row>
    <row r="38" spans="1:23" x14ac:dyDescent="0.3">
      <c r="A38" t="s">
        <v>174</v>
      </c>
      <c r="B38" s="7">
        <v>46147</v>
      </c>
      <c r="C38" t="s">
        <v>175</v>
      </c>
      <c r="D38" t="s">
        <v>176</v>
      </c>
      <c r="E38" t="s">
        <v>27</v>
      </c>
      <c r="F38" t="s">
        <v>74</v>
      </c>
      <c r="G38" t="s">
        <v>57</v>
      </c>
      <c r="H38" t="s">
        <v>58</v>
      </c>
      <c r="I38">
        <v>1</v>
      </c>
      <c r="J38" s="5">
        <v>499</v>
      </c>
      <c r="K38" s="2">
        <v>0</v>
      </c>
      <c r="L38" t="s">
        <v>39</v>
      </c>
      <c r="M38" t="s">
        <v>82</v>
      </c>
      <c r="N38" s="1">
        <v>46152</v>
      </c>
      <c r="O38" s="1">
        <v>46152</v>
      </c>
      <c r="P38" s="5">
        <f>Orders[[#This Row],[Quantity]]*Orders[[#This Row],[Unit Price]]</f>
        <v>499</v>
      </c>
      <c r="Q38" s="5">
        <f>Orders[[#This Row],[Gross Sales]]*Orders[[#This Row],[Discount %]]</f>
        <v>0</v>
      </c>
      <c r="R38" s="5">
        <f>Orders[[#This Row],[Gross Sales]]-Orders[[#This Row],[Discount Amount]]</f>
        <v>499</v>
      </c>
      <c r="S38">
        <f>IF(Orders[[#This Row],[Actual Delivery Date]]="","",Orders[[#This Row],[Actual Delivery Date]]-Orders[[#This Row],[Order Date]])</f>
        <v>5</v>
      </c>
      <c r="T38" t="str">
        <f>IF(Orders[[#This Row],[Actual Delivery Date]]="","Pending",IF(Orders[[#This Row],[Actual Delivery Date]]&lt;=Orders[[#This Row],[Expected Delivery Date]],"On Time","Late"))</f>
        <v>On Time</v>
      </c>
      <c r="U38" t="str">
        <f>TEXT(Orders[[#This Row],[Order Date]],"mmm")</f>
        <v>May</v>
      </c>
      <c r="V38" s="8">
        <f>DATE(YEAR(Orders[[#This Row],[Order Date]]),MONTH(Orders[[#This Row],[Order Date]]),1)</f>
        <v>46143</v>
      </c>
      <c r="W38" s="5">
        <f>IF(Orders[[#This Row],[Order Status]]="Cancelled",Orders[[#This Row],[Net Sales]],0)</f>
        <v>0</v>
      </c>
    </row>
    <row r="39" spans="1:23" x14ac:dyDescent="0.3">
      <c r="A39" t="s">
        <v>177</v>
      </c>
      <c r="B39" s="7">
        <v>46260</v>
      </c>
      <c r="C39" t="s">
        <v>178</v>
      </c>
      <c r="D39" t="s">
        <v>179</v>
      </c>
      <c r="E39" t="s">
        <v>27</v>
      </c>
      <c r="F39" t="s">
        <v>28</v>
      </c>
      <c r="G39" t="s">
        <v>180</v>
      </c>
      <c r="H39" t="s">
        <v>58</v>
      </c>
      <c r="I39">
        <v>2</v>
      </c>
      <c r="J39" s="5">
        <v>599</v>
      </c>
      <c r="K39" s="2">
        <v>0.2</v>
      </c>
      <c r="L39" t="s">
        <v>22</v>
      </c>
      <c r="M39" t="s">
        <v>23</v>
      </c>
      <c r="N39" s="1">
        <v>46265</v>
      </c>
      <c r="O39" s="1">
        <v>46265</v>
      </c>
      <c r="P39" s="5">
        <f>Orders[[#This Row],[Quantity]]*Orders[[#This Row],[Unit Price]]</f>
        <v>1198</v>
      </c>
      <c r="Q39" s="5">
        <f>Orders[[#This Row],[Gross Sales]]*Orders[[#This Row],[Discount %]]</f>
        <v>239.60000000000002</v>
      </c>
      <c r="R39" s="5">
        <f>Orders[[#This Row],[Gross Sales]]-Orders[[#This Row],[Discount Amount]]</f>
        <v>958.4</v>
      </c>
      <c r="S39">
        <f>IF(Orders[[#This Row],[Actual Delivery Date]]="","",Orders[[#This Row],[Actual Delivery Date]]-Orders[[#This Row],[Order Date]])</f>
        <v>5</v>
      </c>
      <c r="T39" t="str">
        <f>IF(Orders[[#This Row],[Actual Delivery Date]]="","Pending",IF(Orders[[#This Row],[Actual Delivery Date]]&lt;=Orders[[#This Row],[Expected Delivery Date]],"On Time","Late"))</f>
        <v>On Time</v>
      </c>
      <c r="U39" t="str">
        <f>TEXT(Orders[[#This Row],[Order Date]],"mmm")</f>
        <v>Aug</v>
      </c>
      <c r="V39" s="8">
        <f>DATE(YEAR(Orders[[#This Row],[Order Date]]),MONTH(Orders[[#This Row],[Order Date]]),1)</f>
        <v>46235</v>
      </c>
      <c r="W39" s="5">
        <f>IF(Orders[[#This Row],[Order Status]]="Cancelled",Orders[[#This Row],[Net Sales]],0)</f>
        <v>0</v>
      </c>
    </row>
    <row r="40" spans="1:23" x14ac:dyDescent="0.3">
      <c r="A40" t="s">
        <v>181</v>
      </c>
      <c r="B40" s="7">
        <v>46155</v>
      </c>
      <c r="C40" t="s">
        <v>182</v>
      </c>
      <c r="D40" t="s">
        <v>183</v>
      </c>
      <c r="E40" t="s">
        <v>79</v>
      </c>
      <c r="F40" t="s">
        <v>108</v>
      </c>
      <c r="G40" t="s">
        <v>57</v>
      </c>
      <c r="H40" t="s">
        <v>58</v>
      </c>
      <c r="I40">
        <v>3</v>
      </c>
      <c r="J40" s="5">
        <v>499</v>
      </c>
      <c r="K40" s="2">
        <v>0.1</v>
      </c>
      <c r="L40" t="s">
        <v>22</v>
      </c>
      <c r="M40" t="s">
        <v>23</v>
      </c>
      <c r="N40" s="1">
        <v>46162</v>
      </c>
      <c r="O40" s="1">
        <v>46159</v>
      </c>
      <c r="P40" s="5">
        <f>Orders[[#This Row],[Quantity]]*Orders[[#This Row],[Unit Price]]</f>
        <v>1497</v>
      </c>
      <c r="Q40" s="5">
        <f>Orders[[#This Row],[Gross Sales]]*Orders[[#This Row],[Discount %]]</f>
        <v>149.70000000000002</v>
      </c>
      <c r="R40" s="5">
        <f>Orders[[#This Row],[Gross Sales]]-Orders[[#This Row],[Discount Amount]]</f>
        <v>1347.3</v>
      </c>
      <c r="S40">
        <f>IF(Orders[[#This Row],[Actual Delivery Date]]="","",Orders[[#This Row],[Actual Delivery Date]]-Orders[[#This Row],[Order Date]])</f>
        <v>4</v>
      </c>
      <c r="T40" t="str">
        <f>IF(Orders[[#This Row],[Actual Delivery Date]]="","Pending",IF(Orders[[#This Row],[Actual Delivery Date]]&lt;=Orders[[#This Row],[Expected Delivery Date]],"On Time","Late"))</f>
        <v>On Time</v>
      </c>
      <c r="U40" t="str">
        <f>TEXT(Orders[[#This Row],[Order Date]],"mmm")</f>
        <v>May</v>
      </c>
      <c r="V40" s="8">
        <f>DATE(YEAR(Orders[[#This Row],[Order Date]]),MONTH(Orders[[#This Row],[Order Date]]),1)</f>
        <v>46143</v>
      </c>
      <c r="W40" s="5">
        <f>IF(Orders[[#This Row],[Order Status]]="Cancelled",Orders[[#This Row],[Net Sales]],0)</f>
        <v>0</v>
      </c>
    </row>
    <row r="41" spans="1:23" x14ac:dyDescent="0.3">
      <c r="A41" t="s">
        <v>184</v>
      </c>
      <c r="B41" s="7">
        <v>46299</v>
      </c>
      <c r="C41" t="s">
        <v>185</v>
      </c>
      <c r="D41" t="s">
        <v>173</v>
      </c>
      <c r="E41" t="s">
        <v>27</v>
      </c>
      <c r="F41" t="s">
        <v>51</v>
      </c>
      <c r="G41" t="s">
        <v>186</v>
      </c>
      <c r="H41" t="s">
        <v>21</v>
      </c>
      <c r="I41">
        <v>1</v>
      </c>
      <c r="J41" s="5">
        <v>1999</v>
      </c>
      <c r="K41" s="2">
        <v>0.05</v>
      </c>
      <c r="L41" t="s">
        <v>31</v>
      </c>
      <c r="M41" t="s">
        <v>23</v>
      </c>
      <c r="N41" s="1">
        <v>46306</v>
      </c>
      <c r="O41" s="1">
        <v>46301</v>
      </c>
      <c r="P41" s="5">
        <f>Orders[[#This Row],[Quantity]]*Orders[[#This Row],[Unit Price]]</f>
        <v>1999</v>
      </c>
      <c r="Q41" s="5">
        <f>Orders[[#This Row],[Gross Sales]]*Orders[[#This Row],[Discount %]]</f>
        <v>99.95</v>
      </c>
      <c r="R41" s="5">
        <f>Orders[[#This Row],[Gross Sales]]-Orders[[#This Row],[Discount Amount]]</f>
        <v>1899.05</v>
      </c>
      <c r="S41">
        <f>IF(Orders[[#This Row],[Actual Delivery Date]]="","",Orders[[#This Row],[Actual Delivery Date]]-Orders[[#This Row],[Order Date]])</f>
        <v>2</v>
      </c>
      <c r="T41" t="str">
        <f>IF(Orders[[#This Row],[Actual Delivery Date]]="","Pending",IF(Orders[[#This Row],[Actual Delivery Date]]&lt;=Orders[[#This Row],[Expected Delivery Date]],"On Time","Late"))</f>
        <v>On Time</v>
      </c>
      <c r="U41" t="str">
        <f>TEXT(Orders[[#This Row],[Order Date]],"mmm")</f>
        <v>Oct</v>
      </c>
      <c r="V41" s="8">
        <f>DATE(YEAR(Orders[[#This Row],[Order Date]]),MONTH(Orders[[#This Row],[Order Date]]),1)</f>
        <v>46296</v>
      </c>
      <c r="W41" s="5">
        <f>IF(Orders[[#This Row],[Order Status]]="Cancelled",Orders[[#This Row],[Net Sales]],0)</f>
        <v>0</v>
      </c>
    </row>
    <row r="42" spans="1:23" x14ac:dyDescent="0.3">
      <c r="A42" t="s">
        <v>187</v>
      </c>
      <c r="B42" s="7">
        <v>46235</v>
      </c>
      <c r="C42" t="s">
        <v>188</v>
      </c>
      <c r="D42" t="s">
        <v>189</v>
      </c>
      <c r="E42" t="s">
        <v>79</v>
      </c>
      <c r="F42" t="s">
        <v>80</v>
      </c>
      <c r="G42" t="s">
        <v>100</v>
      </c>
      <c r="H42" t="s">
        <v>30</v>
      </c>
      <c r="I42">
        <v>1</v>
      </c>
      <c r="J42" s="5">
        <v>2499</v>
      </c>
      <c r="K42" s="2">
        <v>0.15</v>
      </c>
      <c r="L42" t="s">
        <v>70</v>
      </c>
      <c r="M42" t="s">
        <v>82</v>
      </c>
      <c r="N42" s="1">
        <v>46241</v>
      </c>
      <c r="O42" s="1">
        <v>46242</v>
      </c>
      <c r="P42" s="5">
        <f>Orders[[#This Row],[Quantity]]*Orders[[#This Row],[Unit Price]]</f>
        <v>2499</v>
      </c>
      <c r="Q42" s="5">
        <f>Orders[[#This Row],[Gross Sales]]*Orders[[#This Row],[Discount %]]</f>
        <v>374.84999999999997</v>
      </c>
      <c r="R42" s="5">
        <f>Orders[[#This Row],[Gross Sales]]-Orders[[#This Row],[Discount Amount]]</f>
        <v>2124.15</v>
      </c>
      <c r="S42">
        <f>IF(Orders[[#This Row],[Actual Delivery Date]]="","",Orders[[#This Row],[Actual Delivery Date]]-Orders[[#This Row],[Order Date]])</f>
        <v>7</v>
      </c>
      <c r="T42" t="str">
        <f>IF(Orders[[#This Row],[Actual Delivery Date]]="","Pending",IF(Orders[[#This Row],[Actual Delivery Date]]&lt;=Orders[[#This Row],[Expected Delivery Date]],"On Time","Late"))</f>
        <v>Late</v>
      </c>
      <c r="U42" t="str">
        <f>TEXT(Orders[[#This Row],[Order Date]],"mmm")</f>
        <v>Aug</v>
      </c>
      <c r="V42" s="8">
        <f>DATE(YEAR(Orders[[#This Row],[Order Date]]),MONTH(Orders[[#This Row],[Order Date]]),1)</f>
        <v>46235</v>
      </c>
      <c r="W42" s="5">
        <f>IF(Orders[[#This Row],[Order Status]]="Cancelled",Orders[[#This Row],[Net Sales]],0)</f>
        <v>0</v>
      </c>
    </row>
    <row r="43" spans="1:23" x14ac:dyDescent="0.3">
      <c r="A43" t="s">
        <v>190</v>
      </c>
      <c r="B43" s="7">
        <v>46222</v>
      </c>
      <c r="C43" t="s">
        <v>98</v>
      </c>
      <c r="D43" t="s">
        <v>191</v>
      </c>
      <c r="E43" t="s">
        <v>79</v>
      </c>
      <c r="F43" t="s">
        <v>86</v>
      </c>
      <c r="G43" t="s">
        <v>186</v>
      </c>
      <c r="H43" t="s">
        <v>21</v>
      </c>
      <c r="I43">
        <v>3</v>
      </c>
      <c r="J43" s="5">
        <v>1999</v>
      </c>
      <c r="K43" s="2">
        <v>0.15</v>
      </c>
      <c r="L43" t="s">
        <v>22</v>
      </c>
      <c r="M43" t="s">
        <v>59</v>
      </c>
      <c r="N43" s="1">
        <v>46229</v>
      </c>
      <c r="O43" s="1">
        <v>46227</v>
      </c>
      <c r="P43" s="5">
        <f>Orders[[#This Row],[Quantity]]*Orders[[#This Row],[Unit Price]]</f>
        <v>5997</v>
      </c>
      <c r="Q43" s="5">
        <f>Orders[[#This Row],[Gross Sales]]*Orders[[#This Row],[Discount %]]</f>
        <v>899.55</v>
      </c>
      <c r="R43" s="5">
        <f>Orders[[#This Row],[Gross Sales]]-Orders[[#This Row],[Discount Amount]]</f>
        <v>5097.45</v>
      </c>
      <c r="S43">
        <f>IF(Orders[[#This Row],[Actual Delivery Date]]="","",Orders[[#This Row],[Actual Delivery Date]]-Orders[[#This Row],[Order Date]])</f>
        <v>5</v>
      </c>
      <c r="T43" t="str">
        <f>IF(Orders[[#This Row],[Actual Delivery Date]]="","Pending",IF(Orders[[#This Row],[Actual Delivery Date]]&lt;=Orders[[#This Row],[Expected Delivery Date]],"On Time","Late"))</f>
        <v>On Time</v>
      </c>
      <c r="U43" t="str">
        <f>TEXT(Orders[[#This Row],[Order Date]],"mmm")</f>
        <v>Jul</v>
      </c>
      <c r="V43" s="8">
        <f>DATE(YEAR(Orders[[#This Row],[Order Date]]),MONTH(Orders[[#This Row],[Order Date]]),1)</f>
        <v>46204</v>
      </c>
      <c r="W43" s="5">
        <f>IF(Orders[[#This Row],[Order Status]]="Cancelled",Orders[[#This Row],[Net Sales]],0)</f>
        <v>5097.45</v>
      </c>
    </row>
    <row r="44" spans="1:23" x14ac:dyDescent="0.3">
      <c r="A44" t="s">
        <v>192</v>
      </c>
      <c r="B44" s="7">
        <v>46037</v>
      </c>
      <c r="C44" t="s">
        <v>193</v>
      </c>
      <c r="D44" t="s">
        <v>194</v>
      </c>
      <c r="E44" t="s">
        <v>27</v>
      </c>
      <c r="F44" t="s">
        <v>51</v>
      </c>
      <c r="G44" t="s">
        <v>57</v>
      </c>
      <c r="H44" t="s">
        <v>58</v>
      </c>
      <c r="I44">
        <v>1</v>
      </c>
      <c r="J44" s="5">
        <v>499</v>
      </c>
      <c r="K44" s="2">
        <v>0.15</v>
      </c>
      <c r="L44" t="s">
        <v>31</v>
      </c>
      <c r="M44" t="s">
        <v>82</v>
      </c>
      <c r="N44" s="1">
        <v>46042</v>
      </c>
      <c r="O44" s="1">
        <v>46043</v>
      </c>
      <c r="P44" s="5">
        <f>Orders[[#This Row],[Quantity]]*Orders[[#This Row],[Unit Price]]</f>
        <v>499</v>
      </c>
      <c r="Q44" s="5">
        <f>Orders[[#This Row],[Gross Sales]]*Orders[[#This Row],[Discount %]]</f>
        <v>74.849999999999994</v>
      </c>
      <c r="R44" s="5">
        <f>Orders[[#This Row],[Gross Sales]]-Orders[[#This Row],[Discount Amount]]</f>
        <v>424.15</v>
      </c>
      <c r="S44">
        <f>IF(Orders[[#This Row],[Actual Delivery Date]]="","",Orders[[#This Row],[Actual Delivery Date]]-Orders[[#This Row],[Order Date]])</f>
        <v>6</v>
      </c>
      <c r="T44" t="str">
        <f>IF(Orders[[#This Row],[Actual Delivery Date]]="","Pending",IF(Orders[[#This Row],[Actual Delivery Date]]&lt;=Orders[[#This Row],[Expected Delivery Date]],"On Time","Late"))</f>
        <v>Late</v>
      </c>
      <c r="U44" t="str">
        <f>TEXT(Orders[[#This Row],[Order Date]],"mmm")</f>
        <v>Jan</v>
      </c>
      <c r="V44" s="8">
        <f>DATE(YEAR(Orders[[#This Row],[Order Date]]),MONTH(Orders[[#This Row],[Order Date]]),1)</f>
        <v>46023</v>
      </c>
      <c r="W44" s="5">
        <f>IF(Orders[[#This Row],[Order Status]]="Cancelled",Orders[[#This Row],[Net Sales]],0)</f>
        <v>0</v>
      </c>
    </row>
    <row r="45" spans="1:23" x14ac:dyDescent="0.3">
      <c r="A45" t="s">
        <v>195</v>
      </c>
      <c r="B45" s="7">
        <v>46259</v>
      </c>
      <c r="C45" t="s">
        <v>196</v>
      </c>
      <c r="D45" t="s">
        <v>197</v>
      </c>
      <c r="E45" t="s">
        <v>18</v>
      </c>
      <c r="F45" t="s">
        <v>19</v>
      </c>
      <c r="G45" t="s">
        <v>180</v>
      </c>
      <c r="H45" t="s">
        <v>58</v>
      </c>
      <c r="I45">
        <v>1</v>
      </c>
      <c r="J45" s="5">
        <v>599</v>
      </c>
      <c r="K45" s="2">
        <v>0.1</v>
      </c>
      <c r="L45" t="s">
        <v>70</v>
      </c>
      <c r="M45" t="s">
        <v>23</v>
      </c>
      <c r="N45" s="1">
        <v>46262</v>
      </c>
      <c r="O45" s="1">
        <v>46261</v>
      </c>
      <c r="P45" s="5">
        <f>Orders[[#This Row],[Quantity]]*Orders[[#This Row],[Unit Price]]</f>
        <v>599</v>
      </c>
      <c r="Q45" s="5">
        <f>Orders[[#This Row],[Gross Sales]]*Orders[[#This Row],[Discount %]]</f>
        <v>59.900000000000006</v>
      </c>
      <c r="R45" s="5">
        <f>Orders[[#This Row],[Gross Sales]]-Orders[[#This Row],[Discount Amount]]</f>
        <v>539.1</v>
      </c>
      <c r="S45">
        <f>IF(Orders[[#This Row],[Actual Delivery Date]]="","",Orders[[#This Row],[Actual Delivery Date]]-Orders[[#This Row],[Order Date]])</f>
        <v>2</v>
      </c>
      <c r="T45" t="str">
        <f>IF(Orders[[#This Row],[Actual Delivery Date]]="","Pending",IF(Orders[[#This Row],[Actual Delivery Date]]&lt;=Orders[[#This Row],[Expected Delivery Date]],"On Time","Late"))</f>
        <v>On Time</v>
      </c>
      <c r="U45" t="str">
        <f>TEXT(Orders[[#This Row],[Order Date]],"mmm")</f>
        <v>Aug</v>
      </c>
      <c r="V45" s="8">
        <f>DATE(YEAR(Orders[[#This Row],[Order Date]]),MONTH(Orders[[#This Row],[Order Date]]),1)</f>
        <v>46235</v>
      </c>
      <c r="W45" s="5">
        <f>IF(Orders[[#This Row],[Order Status]]="Cancelled",Orders[[#This Row],[Net Sales]],0)</f>
        <v>0</v>
      </c>
    </row>
    <row r="46" spans="1:23" x14ac:dyDescent="0.3">
      <c r="A46" t="s">
        <v>198</v>
      </c>
      <c r="B46" s="7">
        <v>46032</v>
      </c>
      <c r="C46" t="s">
        <v>199</v>
      </c>
      <c r="D46" t="s">
        <v>200</v>
      </c>
      <c r="E46" t="s">
        <v>79</v>
      </c>
      <c r="F46" t="s">
        <v>80</v>
      </c>
      <c r="G46" t="s">
        <v>160</v>
      </c>
      <c r="H46" t="s">
        <v>45</v>
      </c>
      <c r="I46">
        <v>2</v>
      </c>
      <c r="J46" s="5">
        <v>1499</v>
      </c>
      <c r="K46" s="2">
        <v>0</v>
      </c>
      <c r="L46" t="s">
        <v>46</v>
      </c>
      <c r="M46" t="s">
        <v>23</v>
      </c>
      <c r="N46" s="1">
        <v>46039</v>
      </c>
      <c r="O46" s="1">
        <v>46038</v>
      </c>
      <c r="P46" s="5">
        <f>Orders[[#This Row],[Quantity]]*Orders[[#This Row],[Unit Price]]</f>
        <v>2998</v>
      </c>
      <c r="Q46" s="5">
        <f>Orders[[#This Row],[Gross Sales]]*Orders[[#This Row],[Discount %]]</f>
        <v>0</v>
      </c>
      <c r="R46" s="5">
        <f>Orders[[#This Row],[Gross Sales]]-Orders[[#This Row],[Discount Amount]]</f>
        <v>2998</v>
      </c>
      <c r="S46">
        <f>IF(Orders[[#This Row],[Actual Delivery Date]]="","",Orders[[#This Row],[Actual Delivery Date]]-Orders[[#This Row],[Order Date]])</f>
        <v>6</v>
      </c>
      <c r="T46" t="str">
        <f>IF(Orders[[#This Row],[Actual Delivery Date]]="","Pending",IF(Orders[[#This Row],[Actual Delivery Date]]&lt;=Orders[[#This Row],[Expected Delivery Date]],"On Time","Late"))</f>
        <v>On Time</v>
      </c>
      <c r="U46" t="str">
        <f>TEXT(Orders[[#This Row],[Order Date]],"mmm")</f>
        <v>Jan</v>
      </c>
      <c r="V46" s="8">
        <f>DATE(YEAR(Orders[[#This Row],[Order Date]]),MONTH(Orders[[#This Row],[Order Date]]),1)</f>
        <v>46023</v>
      </c>
      <c r="W46" s="5">
        <f>IF(Orders[[#This Row],[Order Status]]="Cancelled",Orders[[#This Row],[Net Sales]],0)</f>
        <v>0</v>
      </c>
    </row>
    <row r="47" spans="1:23" x14ac:dyDescent="0.3">
      <c r="A47" t="s">
        <v>201</v>
      </c>
      <c r="B47" s="7">
        <v>46101</v>
      </c>
      <c r="C47" t="s">
        <v>202</v>
      </c>
      <c r="D47" t="s">
        <v>203</v>
      </c>
      <c r="E47" t="s">
        <v>27</v>
      </c>
      <c r="F47" t="s">
        <v>56</v>
      </c>
      <c r="G47" t="s">
        <v>44</v>
      </c>
      <c r="H47" t="s">
        <v>45</v>
      </c>
      <c r="I47">
        <v>1</v>
      </c>
      <c r="J47" s="5">
        <v>1799</v>
      </c>
      <c r="K47" s="2">
        <v>0.15</v>
      </c>
      <c r="L47" t="s">
        <v>39</v>
      </c>
      <c r="M47" t="s">
        <v>47</v>
      </c>
      <c r="N47" s="1">
        <v>46104</v>
      </c>
      <c r="O47" s="1"/>
      <c r="P47" s="5">
        <f>Orders[[#This Row],[Quantity]]*Orders[[#This Row],[Unit Price]]</f>
        <v>1799</v>
      </c>
      <c r="Q47" s="5">
        <f>Orders[[#This Row],[Gross Sales]]*Orders[[#This Row],[Discount %]]</f>
        <v>269.84999999999997</v>
      </c>
      <c r="R47" s="5">
        <f>Orders[[#This Row],[Gross Sales]]-Orders[[#This Row],[Discount Amount]]</f>
        <v>1529.15</v>
      </c>
      <c r="S47" t="str">
        <f>IF(Orders[[#This Row],[Actual Delivery Date]]="","",Orders[[#This Row],[Actual Delivery Date]]-Orders[[#This Row],[Order Date]])</f>
        <v/>
      </c>
      <c r="T47" t="str">
        <f>IF(Orders[[#This Row],[Actual Delivery Date]]="","Pending",IF(Orders[[#This Row],[Actual Delivery Date]]&lt;=Orders[[#This Row],[Expected Delivery Date]],"On Time","Late"))</f>
        <v>Pending</v>
      </c>
      <c r="U47" t="str">
        <f>TEXT(Orders[[#This Row],[Order Date]],"mmm")</f>
        <v>Mar</v>
      </c>
      <c r="V47" s="8">
        <f>DATE(YEAR(Orders[[#This Row],[Order Date]]),MONTH(Orders[[#This Row],[Order Date]]),1)</f>
        <v>46082</v>
      </c>
      <c r="W47" s="5">
        <f>IF(Orders[[#This Row],[Order Status]]="Cancelled",Orders[[#This Row],[Net Sales]],0)</f>
        <v>0</v>
      </c>
    </row>
    <row r="48" spans="1:23" x14ac:dyDescent="0.3">
      <c r="A48" t="s">
        <v>204</v>
      </c>
      <c r="B48" s="7">
        <v>46081</v>
      </c>
      <c r="C48" t="s">
        <v>188</v>
      </c>
      <c r="D48" t="s">
        <v>205</v>
      </c>
      <c r="E48" t="s">
        <v>35</v>
      </c>
      <c r="F48" t="s">
        <v>68</v>
      </c>
      <c r="G48" t="s">
        <v>206</v>
      </c>
      <c r="H48" t="s">
        <v>30</v>
      </c>
      <c r="I48">
        <v>3</v>
      </c>
      <c r="J48" s="5">
        <v>1199</v>
      </c>
      <c r="K48" s="2">
        <v>0.05</v>
      </c>
      <c r="L48" t="s">
        <v>46</v>
      </c>
      <c r="M48" t="s">
        <v>23</v>
      </c>
      <c r="N48" s="1">
        <v>46087</v>
      </c>
      <c r="O48" s="1">
        <v>46084</v>
      </c>
      <c r="P48" s="5">
        <f>Orders[[#This Row],[Quantity]]*Orders[[#This Row],[Unit Price]]</f>
        <v>3597</v>
      </c>
      <c r="Q48" s="5">
        <f>Orders[[#This Row],[Gross Sales]]*Orders[[#This Row],[Discount %]]</f>
        <v>179.85000000000002</v>
      </c>
      <c r="R48" s="5">
        <f>Orders[[#This Row],[Gross Sales]]-Orders[[#This Row],[Discount Amount]]</f>
        <v>3417.15</v>
      </c>
      <c r="S48">
        <f>IF(Orders[[#This Row],[Actual Delivery Date]]="","",Orders[[#This Row],[Actual Delivery Date]]-Orders[[#This Row],[Order Date]])</f>
        <v>3</v>
      </c>
      <c r="T48" t="str">
        <f>IF(Orders[[#This Row],[Actual Delivery Date]]="","Pending",IF(Orders[[#This Row],[Actual Delivery Date]]&lt;=Orders[[#This Row],[Expected Delivery Date]],"On Time","Late"))</f>
        <v>On Time</v>
      </c>
      <c r="U48" t="str">
        <f>TEXT(Orders[[#This Row],[Order Date]],"mmm")</f>
        <v>Feb</v>
      </c>
      <c r="V48" s="8">
        <f>DATE(YEAR(Orders[[#This Row],[Order Date]]),MONTH(Orders[[#This Row],[Order Date]]),1)</f>
        <v>46054</v>
      </c>
      <c r="W48" s="5">
        <f>IF(Orders[[#This Row],[Order Status]]="Cancelled",Orders[[#This Row],[Net Sales]],0)</f>
        <v>0</v>
      </c>
    </row>
    <row r="49" spans="1:23" x14ac:dyDescent="0.3">
      <c r="A49" t="s">
        <v>207</v>
      </c>
      <c r="B49" s="7">
        <v>46376</v>
      </c>
      <c r="C49" t="s">
        <v>208</v>
      </c>
      <c r="D49" t="s">
        <v>209</v>
      </c>
      <c r="E49" t="s">
        <v>79</v>
      </c>
      <c r="F49" t="s">
        <v>108</v>
      </c>
      <c r="G49" t="s">
        <v>44</v>
      </c>
      <c r="H49" t="s">
        <v>45</v>
      </c>
      <c r="I49">
        <v>3</v>
      </c>
      <c r="J49" s="5">
        <v>1799</v>
      </c>
      <c r="K49" s="2">
        <v>0.05</v>
      </c>
      <c r="L49" t="s">
        <v>39</v>
      </c>
      <c r="M49" t="s">
        <v>59</v>
      </c>
      <c r="N49" s="1">
        <v>46380</v>
      </c>
      <c r="O49" s="1">
        <v>46377</v>
      </c>
      <c r="P49" s="5">
        <f>Orders[[#This Row],[Quantity]]*Orders[[#This Row],[Unit Price]]</f>
        <v>5397</v>
      </c>
      <c r="Q49" s="5">
        <f>Orders[[#This Row],[Gross Sales]]*Orders[[#This Row],[Discount %]]</f>
        <v>269.85000000000002</v>
      </c>
      <c r="R49" s="5">
        <f>Orders[[#This Row],[Gross Sales]]-Orders[[#This Row],[Discount Amount]]</f>
        <v>5127.1499999999996</v>
      </c>
      <c r="S49">
        <f>IF(Orders[[#This Row],[Actual Delivery Date]]="","",Orders[[#This Row],[Actual Delivery Date]]-Orders[[#This Row],[Order Date]])</f>
        <v>1</v>
      </c>
      <c r="T49" t="str">
        <f>IF(Orders[[#This Row],[Actual Delivery Date]]="","Pending",IF(Orders[[#This Row],[Actual Delivery Date]]&lt;=Orders[[#This Row],[Expected Delivery Date]],"On Time","Late"))</f>
        <v>On Time</v>
      </c>
      <c r="U49" t="str">
        <f>TEXT(Orders[[#This Row],[Order Date]],"mmm")</f>
        <v>Dec</v>
      </c>
      <c r="V49" s="8">
        <f>DATE(YEAR(Orders[[#This Row],[Order Date]]),MONTH(Orders[[#This Row],[Order Date]]),1)</f>
        <v>46357</v>
      </c>
      <c r="W49" s="5">
        <f>IF(Orders[[#This Row],[Order Status]]="Cancelled",Orders[[#This Row],[Net Sales]],0)</f>
        <v>5127.1499999999996</v>
      </c>
    </row>
    <row r="50" spans="1:23" x14ac:dyDescent="0.3">
      <c r="A50" t="s">
        <v>210</v>
      </c>
      <c r="B50" s="7">
        <v>46282</v>
      </c>
      <c r="C50" t="s">
        <v>33</v>
      </c>
      <c r="D50" t="s">
        <v>211</v>
      </c>
      <c r="E50" t="s">
        <v>35</v>
      </c>
      <c r="F50" t="s">
        <v>63</v>
      </c>
      <c r="G50" t="s">
        <v>64</v>
      </c>
      <c r="H50" t="s">
        <v>21</v>
      </c>
      <c r="I50">
        <v>2</v>
      </c>
      <c r="J50" s="5">
        <v>699</v>
      </c>
      <c r="K50" s="2">
        <v>0</v>
      </c>
      <c r="L50" t="s">
        <v>70</v>
      </c>
      <c r="M50" t="s">
        <v>82</v>
      </c>
      <c r="N50" s="1">
        <v>46287</v>
      </c>
      <c r="O50" s="1">
        <v>46285</v>
      </c>
      <c r="P50" s="5">
        <f>Orders[[#This Row],[Quantity]]*Orders[[#This Row],[Unit Price]]</f>
        <v>1398</v>
      </c>
      <c r="Q50" s="5">
        <f>Orders[[#This Row],[Gross Sales]]*Orders[[#This Row],[Discount %]]</f>
        <v>0</v>
      </c>
      <c r="R50" s="5">
        <f>Orders[[#This Row],[Gross Sales]]-Orders[[#This Row],[Discount Amount]]</f>
        <v>1398</v>
      </c>
      <c r="S50">
        <f>IF(Orders[[#This Row],[Actual Delivery Date]]="","",Orders[[#This Row],[Actual Delivery Date]]-Orders[[#This Row],[Order Date]])</f>
        <v>3</v>
      </c>
      <c r="T50" t="str">
        <f>IF(Orders[[#This Row],[Actual Delivery Date]]="","Pending",IF(Orders[[#This Row],[Actual Delivery Date]]&lt;=Orders[[#This Row],[Expected Delivery Date]],"On Time","Late"))</f>
        <v>On Time</v>
      </c>
      <c r="U50" t="str">
        <f>TEXT(Orders[[#This Row],[Order Date]],"mmm")</f>
        <v>Sep</v>
      </c>
      <c r="V50" s="8">
        <f>DATE(YEAR(Orders[[#This Row],[Order Date]]),MONTH(Orders[[#This Row],[Order Date]]),1)</f>
        <v>46266</v>
      </c>
      <c r="W50" s="5">
        <f>IF(Orders[[#This Row],[Order Status]]="Cancelled",Orders[[#This Row],[Net Sales]],0)</f>
        <v>0</v>
      </c>
    </row>
    <row r="51" spans="1:23" x14ac:dyDescent="0.3">
      <c r="A51" t="s">
        <v>212</v>
      </c>
      <c r="B51" s="7">
        <v>46338</v>
      </c>
      <c r="C51" t="s">
        <v>213</v>
      </c>
      <c r="D51" t="s">
        <v>214</v>
      </c>
      <c r="E51" t="s">
        <v>79</v>
      </c>
      <c r="F51" t="s">
        <v>108</v>
      </c>
      <c r="G51" t="s">
        <v>91</v>
      </c>
      <c r="H51" t="s">
        <v>30</v>
      </c>
      <c r="I51">
        <v>3</v>
      </c>
      <c r="J51" s="5">
        <v>3299</v>
      </c>
      <c r="K51" s="2">
        <v>0.2</v>
      </c>
      <c r="L51" t="s">
        <v>70</v>
      </c>
      <c r="M51" t="s">
        <v>23</v>
      </c>
      <c r="N51" s="1">
        <v>46343</v>
      </c>
      <c r="O51" s="1">
        <v>46343</v>
      </c>
      <c r="P51" s="5">
        <f>Orders[[#This Row],[Quantity]]*Orders[[#This Row],[Unit Price]]</f>
        <v>9897</v>
      </c>
      <c r="Q51" s="5">
        <f>Orders[[#This Row],[Gross Sales]]*Orders[[#This Row],[Discount %]]</f>
        <v>1979.4</v>
      </c>
      <c r="R51" s="5">
        <f>Orders[[#This Row],[Gross Sales]]-Orders[[#This Row],[Discount Amount]]</f>
        <v>7917.6</v>
      </c>
      <c r="S51">
        <f>IF(Orders[[#This Row],[Actual Delivery Date]]="","",Orders[[#This Row],[Actual Delivery Date]]-Orders[[#This Row],[Order Date]])</f>
        <v>5</v>
      </c>
      <c r="T51" t="str">
        <f>IF(Orders[[#This Row],[Actual Delivery Date]]="","Pending",IF(Orders[[#This Row],[Actual Delivery Date]]&lt;=Orders[[#This Row],[Expected Delivery Date]],"On Time","Late"))</f>
        <v>On Time</v>
      </c>
      <c r="U51" t="str">
        <f>TEXT(Orders[[#This Row],[Order Date]],"mmm")</f>
        <v>Nov</v>
      </c>
      <c r="V51" s="8">
        <f>DATE(YEAR(Orders[[#This Row],[Order Date]]),MONTH(Orders[[#This Row],[Order Date]]),1)</f>
        <v>46327</v>
      </c>
      <c r="W51" s="5">
        <f>IF(Orders[[#This Row],[Order Status]]="Cancelled",Orders[[#This Row],[Net Sales]],0)</f>
        <v>0</v>
      </c>
    </row>
    <row r="52" spans="1:23" x14ac:dyDescent="0.3">
      <c r="A52" t="s">
        <v>215</v>
      </c>
      <c r="B52" s="7">
        <v>46147</v>
      </c>
      <c r="C52" t="s">
        <v>216</v>
      </c>
      <c r="D52" t="s">
        <v>217</v>
      </c>
      <c r="E52" t="s">
        <v>27</v>
      </c>
      <c r="F52" t="s">
        <v>28</v>
      </c>
      <c r="G52" t="s">
        <v>218</v>
      </c>
      <c r="H52" t="s">
        <v>21</v>
      </c>
      <c r="I52">
        <v>3</v>
      </c>
      <c r="J52" s="5">
        <v>2999</v>
      </c>
      <c r="K52" s="2">
        <v>0.2</v>
      </c>
      <c r="L52" t="s">
        <v>22</v>
      </c>
      <c r="M52" t="s">
        <v>59</v>
      </c>
      <c r="N52" s="1">
        <v>46152</v>
      </c>
      <c r="O52" s="1">
        <v>46151</v>
      </c>
      <c r="P52" s="5">
        <f>Orders[[#This Row],[Quantity]]*Orders[[#This Row],[Unit Price]]</f>
        <v>8997</v>
      </c>
      <c r="Q52" s="5">
        <f>Orders[[#This Row],[Gross Sales]]*Orders[[#This Row],[Discount %]]</f>
        <v>1799.4</v>
      </c>
      <c r="R52" s="5">
        <f>Orders[[#This Row],[Gross Sales]]-Orders[[#This Row],[Discount Amount]]</f>
        <v>7197.6</v>
      </c>
      <c r="S52">
        <f>IF(Orders[[#This Row],[Actual Delivery Date]]="","",Orders[[#This Row],[Actual Delivery Date]]-Orders[[#This Row],[Order Date]])</f>
        <v>4</v>
      </c>
      <c r="T52" t="str">
        <f>IF(Orders[[#This Row],[Actual Delivery Date]]="","Pending",IF(Orders[[#This Row],[Actual Delivery Date]]&lt;=Orders[[#This Row],[Expected Delivery Date]],"On Time","Late"))</f>
        <v>On Time</v>
      </c>
      <c r="U52" t="str">
        <f>TEXT(Orders[[#This Row],[Order Date]],"mmm")</f>
        <v>May</v>
      </c>
      <c r="V52" s="8">
        <f>DATE(YEAR(Orders[[#This Row],[Order Date]]),MONTH(Orders[[#This Row],[Order Date]]),1)</f>
        <v>46143</v>
      </c>
      <c r="W52" s="5">
        <f>IF(Orders[[#This Row],[Order Status]]="Cancelled",Orders[[#This Row],[Net Sales]],0)</f>
        <v>7197.6</v>
      </c>
    </row>
    <row r="53" spans="1:23" x14ac:dyDescent="0.3">
      <c r="A53" t="s">
        <v>219</v>
      </c>
      <c r="B53" s="7">
        <v>46197</v>
      </c>
      <c r="C53" t="s">
        <v>220</v>
      </c>
      <c r="D53" t="s">
        <v>221</v>
      </c>
      <c r="E53" t="s">
        <v>79</v>
      </c>
      <c r="F53" t="s">
        <v>108</v>
      </c>
      <c r="G53" t="s">
        <v>186</v>
      </c>
      <c r="H53" t="s">
        <v>21</v>
      </c>
      <c r="I53">
        <v>1</v>
      </c>
      <c r="J53" s="5">
        <v>1999</v>
      </c>
      <c r="K53" s="2">
        <v>0.2</v>
      </c>
      <c r="L53" t="s">
        <v>46</v>
      </c>
      <c r="M53" t="s">
        <v>47</v>
      </c>
      <c r="N53" s="1">
        <v>46199</v>
      </c>
      <c r="O53" s="1"/>
      <c r="P53" s="5">
        <f>Orders[[#This Row],[Quantity]]*Orders[[#This Row],[Unit Price]]</f>
        <v>1999</v>
      </c>
      <c r="Q53" s="5">
        <f>Orders[[#This Row],[Gross Sales]]*Orders[[#This Row],[Discount %]]</f>
        <v>399.8</v>
      </c>
      <c r="R53" s="5">
        <f>Orders[[#This Row],[Gross Sales]]-Orders[[#This Row],[Discount Amount]]</f>
        <v>1599.2</v>
      </c>
      <c r="S53" t="str">
        <f>IF(Orders[[#This Row],[Actual Delivery Date]]="","",Orders[[#This Row],[Actual Delivery Date]]-Orders[[#This Row],[Order Date]])</f>
        <v/>
      </c>
      <c r="T53" t="str">
        <f>IF(Orders[[#This Row],[Actual Delivery Date]]="","Pending",IF(Orders[[#This Row],[Actual Delivery Date]]&lt;=Orders[[#This Row],[Expected Delivery Date]],"On Time","Late"))</f>
        <v>Pending</v>
      </c>
      <c r="U53" t="str">
        <f>TEXT(Orders[[#This Row],[Order Date]],"mmm")</f>
        <v>Jun</v>
      </c>
      <c r="V53" s="8">
        <f>DATE(YEAR(Orders[[#This Row],[Order Date]]),MONTH(Orders[[#This Row],[Order Date]]),1)</f>
        <v>46174</v>
      </c>
      <c r="W53" s="5">
        <f>IF(Orders[[#This Row],[Order Status]]="Cancelled",Orders[[#This Row],[Net Sales]],0)</f>
        <v>0</v>
      </c>
    </row>
    <row r="54" spans="1:23" x14ac:dyDescent="0.3">
      <c r="A54" t="s">
        <v>222</v>
      </c>
      <c r="B54" s="7">
        <v>46307</v>
      </c>
      <c r="C54" t="s">
        <v>223</v>
      </c>
      <c r="D54" t="s">
        <v>224</v>
      </c>
      <c r="E54" t="s">
        <v>18</v>
      </c>
      <c r="F54" t="s">
        <v>95</v>
      </c>
      <c r="G54" t="s">
        <v>57</v>
      </c>
      <c r="H54" t="s">
        <v>58</v>
      </c>
      <c r="I54">
        <v>3</v>
      </c>
      <c r="J54" s="5">
        <v>499</v>
      </c>
      <c r="K54" s="2">
        <v>0.15</v>
      </c>
      <c r="L54" t="s">
        <v>70</v>
      </c>
      <c r="M54" t="s">
        <v>23</v>
      </c>
      <c r="N54" s="1">
        <v>46309</v>
      </c>
      <c r="O54" s="1">
        <v>46308</v>
      </c>
      <c r="P54" s="5">
        <f>Orders[[#This Row],[Quantity]]*Orders[[#This Row],[Unit Price]]</f>
        <v>1497</v>
      </c>
      <c r="Q54" s="5">
        <f>Orders[[#This Row],[Gross Sales]]*Orders[[#This Row],[Discount %]]</f>
        <v>224.54999999999998</v>
      </c>
      <c r="R54" s="5">
        <f>Orders[[#This Row],[Gross Sales]]-Orders[[#This Row],[Discount Amount]]</f>
        <v>1272.45</v>
      </c>
      <c r="S54">
        <f>IF(Orders[[#This Row],[Actual Delivery Date]]="","",Orders[[#This Row],[Actual Delivery Date]]-Orders[[#This Row],[Order Date]])</f>
        <v>1</v>
      </c>
      <c r="T54" t="str">
        <f>IF(Orders[[#This Row],[Actual Delivery Date]]="","Pending",IF(Orders[[#This Row],[Actual Delivery Date]]&lt;=Orders[[#This Row],[Expected Delivery Date]],"On Time","Late"))</f>
        <v>On Time</v>
      </c>
      <c r="U54" t="str">
        <f>TEXT(Orders[[#This Row],[Order Date]],"mmm")</f>
        <v>Oct</v>
      </c>
      <c r="V54" s="8">
        <f>DATE(YEAR(Orders[[#This Row],[Order Date]]),MONTH(Orders[[#This Row],[Order Date]]),1)</f>
        <v>46296</v>
      </c>
      <c r="W54" s="5">
        <f>IF(Orders[[#This Row],[Order Status]]="Cancelled",Orders[[#This Row],[Net Sales]],0)</f>
        <v>0</v>
      </c>
    </row>
    <row r="55" spans="1:23" x14ac:dyDescent="0.3">
      <c r="A55" t="s">
        <v>225</v>
      </c>
      <c r="B55" s="7">
        <v>46294</v>
      </c>
      <c r="C55" t="s">
        <v>226</v>
      </c>
      <c r="D55" t="s">
        <v>227</v>
      </c>
      <c r="E55" t="s">
        <v>35</v>
      </c>
      <c r="F55" t="s">
        <v>36</v>
      </c>
      <c r="G55" t="s">
        <v>228</v>
      </c>
      <c r="H55" t="s">
        <v>58</v>
      </c>
      <c r="I55">
        <v>1</v>
      </c>
      <c r="J55" s="5">
        <v>1499</v>
      </c>
      <c r="K55" s="2">
        <v>0.2</v>
      </c>
      <c r="L55" t="s">
        <v>46</v>
      </c>
      <c r="M55" t="s">
        <v>23</v>
      </c>
      <c r="N55" s="1">
        <v>46301</v>
      </c>
      <c r="O55" s="1">
        <v>46297</v>
      </c>
      <c r="P55" s="5">
        <f>Orders[[#This Row],[Quantity]]*Orders[[#This Row],[Unit Price]]</f>
        <v>1499</v>
      </c>
      <c r="Q55" s="5">
        <f>Orders[[#This Row],[Gross Sales]]*Orders[[#This Row],[Discount %]]</f>
        <v>299.8</v>
      </c>
      <c r="R55" s="5">
        <f>Orders[[#This Row],[Gross Sales]]-Orders[[#This Row],[Discount Amount]]</f>
        <v>1199.2</v>
      </c>
      <c r="S55">
        <f>IF(Orders[[#This Row],[Actual Delivery Date]]="","",Orders[[#This Row],[Actual Delivery Date]]-Orders[[#This Row],[Order Date]])</f>
        <v>3</v>
      </c>
      <c r="T55" t="str">
        <f>IF(Orders[[#This Row],[Actual Delivery Date]]="","Pending",IF(Orders[[#This Row],[Actual Delivery Date]]&lt;=Orders[[#This Row],[Expected Delivery Date]],"On Time","Late"))</f>
        <v>On Time</v>
      </c>
      <c r="U55" t="str">
        <f>TEXT(Orders[[#This Row],[Order Date]],"mmm")</f>
        <v>Sep</v>
      </c>
      <c r="V55" s="8">
        <f>DATE(YEAR(Orders[[#This Row],[Order Date]]),MONTH(Orders[[#This Row],[Order Date]]),1)</f>
        <v>46266</v>
      </c>
      <c r="W55" s="5">
        <f>IF(Orders[[#This Row],[Order Status]]="Cancelled",Orders[[#This Row],[Net Sales]],0)</f>
        <v>0</v>
      </c>
    </row>
    <row r="56" spans="1:23" x14ac:dyDescent="0.3">
      <c r="A56" t="s">
        <v>229</v>
      </c>
      <c r="B56" s="7">
        <v>46297</v>
      </c>
      <c r="C56" t="s">
        <v>230</v>
      </c>
      <c r="D56" t="s">
        <v>231</v>
      </c>
      <c r="E56" t="s">
        <v>18</v>
      </c>
      <c r="F56" t="s">
        <v>95</v>
      </c>
      <c r="G56" t="s">
        <v>64</v>
      </c>
      <c r="H56" t="s">
        <v>21</v>
      </c>
      <c r="I56">
        <v>4</v>
      </c>
      <c r="J56" s="5">
        <v>699</v>
      </c>
      <c r="K56" s="2">
        <v>0.05</v>
      </c>
      <c r="L56" t="s">
        <v>31</v>
      </c>
      <c r="M56" t="s">
        <v>23</v>
      </c>
      <c r="N56" s="1">
        <v>46304</v>
      </c>
      <c r="O56" s="1">
        <v>46303</v>
      </c>
      <c r="P56" s="5">
        <f>Orders[[#This Row],[Quantity]]*Orders[[#This Row],[Unit Price]]</f>
        <v>2796</v>
      </c>
      <c r="Q56" s="5">
        <f>Orders[[#This Row],[Gross Sales]]*Orders[[#This Row],[Discount %]]</f>
        <v>139.80000000000001</v>
      </c>
      <c r="R56" s="5">
        <f>Orders[[#This Row],[Gross Sales]]-Orders[[#This Row],[Discount Amount]]</f>
        <v>2656.2</v>
      </c>
      <c r="S56">
        <f>IF(Orders[[#This Row],[Actual Delivery Date]]="","",Orders[[#This Row],[Actual Delivery Date]]-Orders[[#This Row],[Order Date]])</f>
        <v>6</v>
      </c>
      <c r="T56" t="str">
        <f>IF(Orders[[#This Row],[Actual Delivery Date]]="","Pending",IF(Orders[[#This Row],[Actual Delivery Date]]&lt;=Orders[[#This Row],[Expected Delivery Date]],"On Time","Late"))</f>
        <v>On Time</v>
      </c>
      <c r="U56" t="str">
        <f>TEXT(Orders[[#This Row],[Order Date]],"mmm")</f>
        <v>Oct</v>
      </c>
      <c r="V56" s="8">
        <f>DATE(YEAR(Orders[[#This Row],[Order Date]]),MONTH(Orders[[#This Row],[Order Date]]),1)</f>
        <v>46296</v>
      </c>
      <c r="W56" s="5">
        <f>IF(Orders[[#This Row],[Order Status]]="Cancelled",Orders[[#This Row],[Net Sales]],0)</f>
        <v>0</v>
      </c>
    </row>
    <row r="57" spans="1:23" x14ac:dyDescent="0.3">
      <c r="A57" t="s">
        <v>232</v>
      </c>
      <c r="B57" s="7">
        <v>46207</v>
      </c>
      <c r="C57" t="s">
        <v>233</v>
      </c>
      <c r="D57" t="s">
        <v>234</v>
      </c>
      <c r="E57" t="s">
        <v>18</v>
      </c>
      <c r="F57" t="s">
        <v>95</v>
      </c>
      <c r="G57" t="s">
        <v>20</v>
      </c>
      <c r="H57" t="s">
        <v>21</v>
      </c>
      <c r="I57">
        <v>1</v>
      </c>
      <c r="J57" s="5">
        <v>1799</v>
      </c>
      <c r="K57" s="2">
        <v>0</v>
      </c>
      <c r="L57" t="s">
        <v>22</v>
      </c>
      <c r="M57" t="s">
        <v>23</v>
      </c>
      <c r="N57" s="1">
        <v>46211</v>
      </c>
      <c r="O57" s="1">
        <v>46208</v>
      </c>
      <c r="P57" s="5">
        <f>Orders[[#This Row],[Quantity]]*Orders[[#This Row],[Unit Price]]</f>
        <v>1799</v>
      </c>
      <c r="Q57" s="5">
        <f>Orders[[#This Row],[Gross Sales]]*Orders[[#This Row],[Discount %]]</f>
        <v>0</v>
      </c>
      <c r="R57" s="5">
        <f>Orders[[#This Row],[Gross Sales]]-Orders[[#This Row],[Discount Amount]]</f>
        <v>1799</v>
      </c>
      <c r="S57">
        <f>IF(Orders[[#This Row],[Actual Delivery Date]]="","",Orders[[#This Row],[Actual Delivery Date]]-Orders[[#This Row],[Order Date]])</f>
        <v>1</v>
      </c>
      <c r="T57" t="str">
        <f>IF(Orders[[#This Row],[Actual Delivery Date]]="","Pending",IF(Orders[[#This Row],[Actual Delivery Date]]&lt;=Orders[[#This Row],[Expected Delivery Date]],"On Time","Late"))</f>
        <v>On Time</v>
      </c>
      <c r="U57" t="str">
        <f>TEXT(Orders[[#This Row],[Order Date]],"mmm")</f>
        <v>Jul</v>
      </c>
      <c r="V57" s="8">
        <f>DATE(YEAR(Orders[[#This Row],[Order Date]]),MONTH(Orders[[#This Row],[Order Date]]),1)</f>
        <v>46204</v>
      </c>
      <c r="W57" s="5">
        <f>IF(Orders[[#This Row],[Order Status]]="Cancelled",Orders[[#This Row],[Net Sales]],0)</f>
        <v>0</v>
      </c>
    </row>
    <row r="58" spans="1:23" x14ac:dyDescent="0.3">
      <c r="A58" t="s">
        <v>235</v>
      </c>
      <c r="B58" s="7">
        <v>46316</v>
      </c>
      <c r="C58" t="s">
        <v>236</v>
      </c>
      <c r="D58" t="s">
        <v>237</v>
      </c>
      <c r="E58" t="s">
        <v>27</v>
      </c>
      <c r="F58" t="s">
        <v>74</v>
      </c>
      <c r="G58" t="s">
        <v>75</v>
      </c>
      <c r="H58" t="s">
        <v>45</v>
      </c>
      <c r="I58">
        <v>1</v>
      </c>
      <c r="J58" s="5">
        <v>799</v>
      </c>
      <c r="K58" s="2">
        <v>0.15</v>
      </c>
      <c r="L58" t="s">
        <v>70</v>
      </c>
      <c r="M58" t="s">
        <v>23</v>
      </c>
      <c r="N58" s="1">
        <v>46319</v>
      </c>
      <c r="O58" s="1">
        <v>46322</v>
      </c>
      <c r="P58" s="5">
        <f>Orders[[#This Row],[Quantity]]*Orders[[#This Row],[Unit Price]]</f>
        <v>799</v>
      </c>
      <c r="Q58" s="5">
        <f>Orders[[#This Row],[Gross Sales]]*Orders[[#This Row],[Discount %]]</f>
        <v>119.85</v>
      </c>
      <c r="R58" s="5">
        <f>Orders[[#This Row],[Gross Sales]]-Orders[[#This Row],[Discount Amount]]</f>
        <v>679.15</v>
      </c>
      <c r="S58">
        <f>IF(Orders[[#This Row],[Actual Delivery Date]]="","",Orders[[#This Row],[Actual Delivery Date]]-Orders[[#This Row],[Order Date]])</f>
        <v>6</v>
      </c>
      <c r="T58" t="str">
        <f>IF(Orders[[#This Row],[Actual Delivery Date]]="","Pending",IF(Orders[[#This Row],[Actual Delivery Date]]&lt;=Orders[[#This Row],[Expected Delivery Date]],"On Time","Late"))</f>
        <v>Late</v>
      </c>
      <c r="U58" t="str">
        <f>TEXT(Orders[[#This Row],[Order Date]],"mmm")</f>
        <v>Oct</v>
      </c>
      <c r="V58" s="8">
        <f>DATE(YEAR(Orders[[#This Row],[Order Date]]),MONTH(Orders[[#This Row],[Order Date]]),1)</f>
        <v>46296</v>
      </c>
      <c r="W58" s="5">
        <f>IF(Orders[[#This Row],[Order Status]]="Cancelled",Orders[[#This Row],[Net Sales]],0)</f>
        <v>0</v>
      </c>
    </row>
    <row r="59" spans="1:23" x14ac:dyDescent="0.3">
      <c r="A59" t="s">
        <v>238</v>
      </c>
      <c r="B59" s="7">
        <v>46318</v>
      </c>
      <c r="C59" t="s">
        <v>145</v>
      </c>
      <c r="D59" t="s">
        <v>239</v>
      </c>
      <c r="E59" t="s">
        <v>18</v>
      </c>
      <c r="F59" t="s">
        <v>43</v>
      </c>
      <c r="G59" t="s">
        <v>147</v>
      </c>
      <c r="H59" t="s">
        <v>58</v>
      </c>
      <c r="I59">
        <v>2</v>
      </c>
      <c r="J59" s="5">
        <v>399</v>
      </c>
      <c r="K59" s="2">
        <v>0</v>
      </c>
      <c r="L59" t="s">
        <v>31</v>
      </c>
      <c r="M59" t="s">
        <v>23</v>
      </c>
      <c r="N59" s="1">
        <v>46324</v>
      </c>
      <c r="O59" s="1">
        <v>46325</v>
      </c>
      <c r="P59" s="5">
        <f>Orders[[#This Row],[Quantity]]*Orders[[#This Row],[Unit Price]]</f>
        <v>798</v>
      </c>
      <c r="Q59" s="5">
        <f>Orders[[#This Row],[Gross Sales]]*Orders[[#This Row],[Discount %]]</f>
        <v>0</v>
      </c>
      <c r="R59" s="5">
        <f>Orders[[#This Row],[Gross Sales]]-Orders[[#This Row],[Discount Amount]]</f>
        <v>798</v>
      </c>
      <c r="S59">
        <f>IF(Orders[[#This Row],[Actual Delivery Date]]="","",Orders[[#This Row],[Actual Delivery Date]]-Orders[[#This Row],[Order Date]])</f>
        <v>7</v>
      </c>
      <c r="T59" t="str">
        <f>IF(Orders[[#This Row],[Actual Delivery Date]]="","Pending",IF(Orders[[#This Row],[Actual Delivery Date]]&lt;=Orders[[#This Row],[Expected Delivery Date]],"On Time","Late"))</f>
        <v>Late</v>
      </c>
      <c r="U59" t="str">
        <f>TEXT(Orders[[#This Row],[Order Date]],"mmm")</f>
        <v>Oct</v>
      </c>
      <c r="V59" s="8">
        <f>DATE(YEAR(Orders[[#This Row],[Order Date]]),MONTH(Orders[[#This Row],[Order Date]]),1)</f>
        <v>46296</v>
      </c>
      <c r="W59" s="5">
        <f>IF(Orders[[#This Row],[Order Status]]="Cancelled",Orders[[#This Row],[Net Sales]],0)</f>
        <v>0</v>
      </c>
    </row>
    <row r="60" spans="1:23" x14ac:dyDescent="0.3">
      <c r="A60" t="s">
        <v>240</v>
      </c>
      <c r="B60" s="7">
        <v>46253</v>
      </c>
      <c r="C60" t="s">
        <v>106</v>
      </c>
      <c r="D60" t="s">
        <v>241</v>
      </c>
      <c r="E60" t="s">
        <v>79</v>
      </c>
      <c r="F60" t="s">
        <v>108</v>
      </c>
      <c r="G60" t="s">
        <v>100</v>
      </c>
      <c r="H60" t="s">
        <v>30</v>
      </c>
      <c r="I60">
        <v>4</v>
      </c>
      <c r="J60" s="5">
        <v>2499</v>
      </c>
      <c r="K60" s="2">
        <v>0.1</v>
      </c>
      <c r="L60" t="s">
        <v>22</v>
      </c>
      <c r="M60" t="s">
        <v>23</v>
      </c>
      <c r="N60" s="1">
        <v>46257</v>
      </c>
      <c r="O60" s="1">
        <v>46254</v>
      </c>
      <c r="P60" s="5">
        <f>Orders[[#This Row],[Quantity]]*Orders[[#This Row],[Unit Price]]</f>
        <v>9996</v>
      </c>
      <c r="Q60" s="5">
        <f>Orders[[#This Row],[Gross Sales]]*Orders[[#This Row],[Discount %]]</f>
        <v>999.6</v>
      </c>
      <c r="R60" s="5">
        <f>Orders[[#This Row],[Gross Sales]]-Orders[[#This Row],[Discount Amount]]</f>
        <v>8996.4</v>
      </c>
      <c r="S60">
        <f>IF(Orders[[#This Row],[Actual Delivery Date]]="","",Orders[[#This Row],[Actual Delivery Date]]-Orders[[#This Row],[Order Date]])</f>
        <v>1</v>
      </c>
      <c r="T60" t="str">
        <f>IF(Orders[[#This Row],[Actual Delivery Date]]="","Pending",IF(Orders[[#This Row],[Actual Delivery Date]]&lt;=Orders[[#This Row],[Expected Delivery Date]],"On Time","Late"))</f>
        <v>On Time</v>
      </c>
      <c r="U60" t="str">
        <f>TEXT(Orders[[#This Row],[Order Date]],"mmm")</f>
        <v>Aug</v>
      </c>
      <c r="V60" s="8">
        <f>DATE(YEAR(Orders[[#This Row],[Order Date]]),MONTH(Orders[[#This Row],[Order Date]]),1)</f>
        <v>46235</v>
      </c>
      <c r="W60" s="5">
        <f>IF(Orders[[#This Row],[Order Status]]="Cancelled",Orders[[#This Row],[Net Sales]],0)</f>
        <v>0</v>
      </c>
    </row>
    <row r="61" spans="1:23" x14ac:dyDescent="0.3">
      <c r="A61" t="s">
        <v>242</v>
      </c>
      <c r="B61" s="7">
        <v>46145</v>
      </c>
      <c r="C61" t="s">
        <v>243</v>
      </c>
      <c r="D61" t="s">
        <v>234</v>
      </c>
      <c r="E61" t="s">
        <v>27</v>
      </c>
      <c r="F61" t="s">
        <v>51</v>
      </c>
      <c r="G61" t="s">
        <v>52</v>
      </c>
      <c r="H61" t="s">
        <v>45</v>
      </c>
      <c r="I61">
        <v>1</v>
      </c>
      <c r="J61" s="5">
        <v>1299</v>
      </c>
      <c r="K61" s="2">
        <v>0</v>
      </c>
      <c r="L61" t="s">
        <v>31</v>
      </c>
      <c r="M61" t="s">
        <v>23</v>
      </c>
      <c r="N61" s="1">
        <v>46150</v>
      </c>
      <c r="O61" s="1">
        <v>46150</v>
      </c>
      <c r="P61" s="5">
        <f>Orders[[#This Row],[Quantity]]*Orders[[#This Row],[Unit Price]]</f>
        <v>1299</v>
      </c>
      <c r="Q61" s="5">
        <f>Orders[[#This Row],[Gross Sales]]*Orders[[#This Row],[Discount %]]</f>
        <v>0</v>
      </c>
      <c r="R61" s="5">
        <f>Orders[[#This Row],[Gross Sales]]-Orders[[#This Row],[Discount Amount]]</f>
        <v>1299</v>
      </c>
      <c r="S61">
        <f>IF(Orders[[#This Row],[Actual Delivery Date]]="","",Orders[[#This Row],[Actual Delivery Date]]-Orders[[#This Row],[Order Date]])</f>
        <v>5</v>
      </c>
      <c r="T61" t="str">
        <f>IF(Orders[[#This Row],[Actual Delivery Date]]="","Pending",IF(Orders[[#This Row],[Actual Delivery Date]]&lt;=Orders[[#This Row],[Expected Delivery Date]],"On Time","Late"))</f>
        <v>On Time</v>
      </c>
      <c r="U61" t="str">
        <f>TEXT(Orders[[#This Row],[Order Date]],"mmm")</f>
        <v>May</v>
      </c>
      <c r="V61" s="8">
        <f>DATE(YEAR(Orders[[#This Row],[Order Date]]),MONTH(Orders[[#This Row],[Order Date]]),1)</f>
        <v>46143</v>
      </c>
      <c r="W61" s="5">
        <f>IF(Orders[[#This Row],[Order Status]]="Cancelled",Orders[[#This Row],[Net Sales]],0)</f>
        <v>0</v>
      </c>
    </row>
    <row r="62" spans="1:23" x14ac:dyDescent="0.3">
      <c r="A62" t="s">
        <v>244</v>
      </c>
      <c r="B62" s="7">
        <v>46382</v>
      </c>
      <c r="C62" t="s">
        <v>245</v>
      </c>
      <c r="D62" t="s">
        <v>246</v>
      </c>
      <c r="E62" t="s">
        <v>18</v>
      </c>
      <c r="F62" t="s">
        <v>95</v>
      </c>
      <c r="G62" t="s">
        <v>186</v>
      </c>
      <c r="H62" t="s">
        <v>21</v>
      </c>
      <c r="I62">
        <v>3</v>
      </c>
      <c r="J62" s="5">
        <v>1999</v>
      </c>
      <c r="K62" s="2">
        <v>0</v>
      </c>
      <c r="L62" t="s">
        <v>31</v>
      </c>
      <c r="M62" t="s">
        <v>23</v>
      </c>
      <c r="N62" s="1">
        <v>46389</v>
      </c>
      <c r="O62" s="1">
        <v>46389</v>
      </c>
      <c r="P62" s="5">
        <f>Orders[[#This Row],[Quantity]]*Orders[[#This Row],[Unit Price]]</f>
        <v>5997</v>
      </c>
      <c r="Q62" s="5">
        <f>Orders[[#This Row],[Gross Sales]]*Orders[[#This Row],[Discount %]]</f>
        <v>0</v>
      </c>
      <c r="R62" s="5">
        <f>Orders[[#This Row],[Gross Sales]]-Orders[[#This Row],[Discount Amount]]</f>
        <v>5997</v>
      </c>
      <c r="S62">
        <f>IF(Orders[[#This Row],[Actual Delivery Date]]="","",Orders[[#This Row],[Actual Delivery Date]]-Orders[[#This Row],[Order Date]])</f>
        <v>7</v>
      </c>
      <c r="T62" t="str">
        <f>IF(Orders[[#This Row],[Actual Delivery Date]]="","Pending",IF(Orders[[#This Row],[Actual Delivery Date]]&lt;=Orders[[#This Row],[Expected Delivery Date]],"On Time","Late"))</f>
        <v>On Time</v>
      </c>
      <c r="U62" t="str">
        <f>TEXT(Orders[[#This Row],[Order Date]],"mmm")</f>
        <v>Dec</v>
      </c>
      <c r="V62" s="8">
        <f>DATE(YEAR(Orders[[#This Row],[Order Date]]),MONTH(Orders[[#This Row],[Order Date]]),1)</f>
        <v>46357</v>
      </c>
      <c r="W62" s="5">
        <f>IF(Orders[[#This Row],[Order Status]]="Cancelled",Orders[[#This Row],[Net Sales]],0)</f>
        <v>0</v>
      </c>
    </row>
    <row r="63" spans="1:23" x14ac:dyDescent="0.3">
      <c r="A63" t="s">
        <v>247</v>
      </c>
      <c r="B63" s="7">
        <v>46095</v>
      </c>
      <c r="C63" t="s">
        <v>248</v>
      </c>
      <c r="D63" t="s">
        <v>249</v>
      </c>
      <c r="E63" t="s">
        <v>18</v>
      </c>
      <c r="F63" t="s">
        <v>95</v>
      </c>
      <c r="G63" t="s">
        <v>131</v>
      </c>
      <c r="H63" t="s">
        <v>38</v>
      </c>
      <c r="I63">
        <v>1</v>
      </c>
      <c r="J63" s="5">
        <v>899</v>
      </c>
      <c r="K63" s="2">
        <v>0.05</v>
      </c>
      <c r="L63" t="s">
        <v>46</v>
      </c>
      <c r="M63" t="s">
        <v>47</v>
      </c>
      <c r="N63" s="1">
        <v>46102</v>
      </c>
      <c r="O63" s="1"/>
      <c r="P63" s="5">
        <f>Orders[[#This Row],[Quantity]]*Orders[[#This Row],[Unit Price]]</f>
        <v>899</v>
      </c>
      <c r="Q63" s="5">
        <f>Orders[[#This Row],[Gross Sales]]*Orders[[#This Row],[Discount %]]</f>
        <v>44.95</v>
      </c>
      <c r="R63" s="5">
        <f>Orders[[#This Row],[Gross Sales]]-Orders[[#This Row],[Discount Amount]]</f>
        <v>854.05</v>
      </c>
      <c r="S63" t="str">
        <f>IF(Orders[[#This Row],[Actual Delivery Date]]="","",Orders[[#This Row],[Actual Delivery Date]]-Orders[[#This Row],[Order Date]])</f>
        <v/>
      </c>
      <c r="T63" t="str">
        <f>IF(Orders[[#This Row],[Actual Delivery Date]]="","Pending",IF(Orders[[#This Row],[Actual Delivery Date]]&lt;=Orders[[#This Row],[Expected Delivery Date]],"On Time","Late"))</f>
        <v>Pending</v>
      </c>
      <c r="U63" t="str">
        <f>TEXT(Orders[[#This Row],[Order Date]],"mmm")</f>
        <v>Mar</v>
      </c>
      <c r="V63" s="8">
        <f>DATE(YEAR(Orders[[#This Row],[Order Date]]),MONTH(Orders[[#This Row],[Order Date]]),1)</f>
        <v>46082</v>
      </c>
      <c r="W63" s="5">
        <f>IF(Orders[[#This Row],[Order Status]]="Cancelled",Orders[[#This Row],[Net Sales]],0)</f>
        <v>0</v>
      </c>
    </row>
    <row r="64" spans="1:23" x14ac:dyDescent="0.3">
      <c r="A64" t="s">
        <v>250</v>
      </c>
      <c r="B64" s="7">
        <v>46381</v>
      </c>
      <c r="C64" t="s">
        <v>251</v>
      </c>
      <c r="D64" t="s">
        <v>252</v>
      </c>
      <c r="E64" t="s">
        <v>79</v>
      </c>
      <c r="F64" t="s">
        <v>86</v>
      </c>
      <c r="G64" t="s">
        <v>118</v>
      </c>
      <c r="H64" t="s">
        <v>58</v>
      </c>
      <c r="I64">
        <v>1</v>
      </c>
      <c r="J64" s="5">
        <v>749</v>
      </c>
      <c r="K64" s="2">
        <v>0.1</v>
      </c>
      <c r="L64" t="s">
        <v>22</v>
      </c>
      <c r="M64" t="s">
        <v>47</v>
      </c>
      <c r="N64" s="1">
        <v>46386</v>
      </c>
      <c r="O64" s="1"/>
      <c r="P64" s="5">
        <f>Orders[[#This Row],[Quantity]]*Orders[[#This Row],[Unit Price]]</f>
        <v>749</v>
      </c>
      <c r="Q64" s="5">
        <f>Orders[[#This Row],[Gross Sales]]*Orders[[#This Row],[Discount %]]</f>
        <v>74.900000000000006</v>
      </c>
      <c r="R64" s="5">
        <f>Orders[[#This Row],[Gross Sales]]-Orders[[#This Row],[Discount Amount]]</f>
        <v>674.1</v>
      </c>
      <c r="S64" t="str">
        <f>IF(Orders[[#This Row],[Actual Delivery Date]]="","",Orders[[#This Row],[Actual Delivery Date]]-Orders[[#This Row],[Order Date]])</f>
        <v/>
      </c>
      <c r="T64" t="str">
        <f>IF(Orders[[#This Row],[Actual Delivery Date]]="","Pending",IF(Orders[[#This Row],[Actual Delivery Date]]&lt;=Orders[[#This Row],[Expected Delivery Date]],"On Time","Late"))</f>
        <v>Pending</v>
      </c>
      <c r="U64" t="str">
        <f>TEXT(Orders[[#This Row],[Order Date]],"mmm")</f>
        <v>Dec</v>
      </c>
      <c r="V64" s="8">
        <f>DATE(YEAR(Orders[[#This Row],[Order Date]]),MONTH(Orders[[#This Row],[Order Date]]),1)</f>
        <v>46357</v>
      </c>
      <c r="W64" s="5">
        <f>IF(Orders[[#This Row],[Order Status]]="Cancelled",Orders[[#This Row],[Net Sales]],0)</f>
        <v>0</v>
      </c>
    </row>
    <row r="65" spans="1:23" x14ac:dyDescent="0.3">
      <c r="A65" t="s">
        <v>253</v>
      </c>
      <c r="B65" s="7">
        <v>46151</v>
      </c>
      <c r="C65" t="s">
        <v>213</v>
      </c>
      <c r="D65" t="s">
        <v>254</v>
      </c>
      <c r="E65" t="s">
        <v>18</v>
      </c>
      <c r="F65" t="s">
        <v>43</v>
      </c>
      <c r="G65" t="s">
        <v>87</v>
      </c>
      <c r="H65" t="s">
        <v>21</v>
      </c>
      <c r="I65">
        <v>1</v>
      </c>
      <c r="J65" s="5">
        <v>1899</v>
      </c>
      <c r="K65" s="2">
        <v>0.05</v>
      </c>
      <c r="L65" t="s">
        <v>22</v>
      </c>
      <c r="M65" t="s">
        <v>47</v>
      </c>
      <c r="N65" s="1">
        <v>46153</v>
      </c>
      <c r="O65" s="1"/>
      <c r="P65" s="5">
        <f>Orders[[#This Row],[Quantity]]*Orders[[#This Row],[Unit Price]]</f>
        <v>1899</v>
      </c>
      <c r="Q65" s="5">
        <f>Orders[[#This Row],[Gross Sales]]*Orders[[#This Row],[Discount %]]</f>
        <v>94.95</v>
      </c>
      <c r="R65" s="5">
        <f>Orders[[#This Row],[Gross Sales]]-Orders[[#This Row],[Discount Amount]]</f>
        <v>1804.05</v>
      </c>
      <c r="S65" t="str">
        <f>IF(Orders[[#This Row],[Actual Delivery Date]]="","",Orders[[#This Row],[Actual Delivery Date]]-Orders[[#This Row],[Order Date]])</f>
        <v/>
      </c>
      <c r="T65" t="str">
        <f>IF(Orders[[#This Row],[Actual Delivery Date]]="","Pending",IF(Orders[[#This Row],[Actual Delivery Date]]&lt;=Orders[[#This Row],[Expected Delivery Date]],"On Time","Late"))</f>
        <v>Pending</v>
      </c>
      <c r="U65" t="str">
        <f>TEXT(Orders[[#This Row],[Order Date]],"mmm")</f>
        <v>May</v>
      </c>
      <c r="V65" s="8">
        <f>DATE(YEAR(Orders[[#This Row],[Order Date]]),MONTH(Orders[[#This Row],[Order Date]]),1)</f>
        <v>46143</v>
      </c>
      <c r="W65" s="5">
        <f>IF(Orders[[#This Row],[Order Status]]="Cancelled",Orders[[#This Row],[Net Sales]],0)</f>
        <v>0</v>
      </c>
    </row>
    <row r="66" spans="1:23" x14ac:dyDescent="0.3">
      <c r="A66" t="s">
        <v>255</v>
      </c>
      <c r="B66" s="7">
        <v>46356</v>
      </c>
      <c r="C66" t="s">
        <v>256</v>
      </c>
      <c r="D66" t="s">
        <v>257</v>
      </c>
      <c r="E66" t="s">
        <v>18</v>
      </c>
      <c r="F66" t="s">
        <v>95</v>
      </c>
      <c r="G66" t="s">
        <v>228</v>
      </c>
      <c r="H66" t="s">
        <v>58</v>
      </c>
      <c r="I66">
        <v>1</v>
      </c>
      <c r="J66" s="5">
        <v>1499</v>
      </c>
      <c r="K66" s="2">
        <v>0.1</v>
      </c>
      <c r="L66" t="s">
        <v>31</v>
      </c>
      <c r="M66" t="s">
        <v>47</v>
      </c>
      <c r="N66" s="1">
        <v>46361</v>
      </c>
      <c r="O66" s="1"/>
      <c r="P66" s="5">
        <f>Orders[[#This Row],[Quantity]]*Orders[[#This Row],[Unit Price]]</f>
        <v>1499</v>
      </c>
      <c r="Q66" s="5">
        <f>Orders[[#This Row],[Gross Sales]]*Orders[[#This Row],[Discount %]]</f>
        <v>149.9</v>
      </c>
      <c r="R66" s="5">
        <f>Orders[[#This Row],[Gross Sales]]-Orders[[#This Row],[Discount Amount]]</f>
        <v>1349.1</v>
      </c>
      <c r="S66" t="str">
        <f>IF(Orders[[#This Row],[Actual Delivery Date]]="","",Orders[[#This Row],[Actual Delivery Date]]-Orders[[#This Row],[Order Date]])</f>
        <v/>
      </c>
      <c r="T66" t="str">
        <f>IF(Orders[[#This Row],[Actual Delivery Date]]="","Pending",IF(Orders[[#This Row],[Actual Delivery Date]]&lt;=Orders[[#This Row],[Expected Delivery Date]],"On Time","Late"))</f>
        <v>Pending</v>
      </c>
      <c r="U66" t="str">
        <f>TEXT(Orders[[#This Row],[Order Date]],"mmm")</f>
        <v>Nov</v>
      </c>
      <c r="V66" s="8">
        <f>DATE(YEAR(Orders[[#This Row],[Order Date]]),MONTH(Orders[[#This Row],[Order Date]]),1)</f>
        <v>46327</v>
      </c>
      <c r="W66" s="5">
        <f>IF(Orders[[#This Row],[Order Status]]="Cancelled",Orders[[#This Row],[Net Sales]],0)</f>
        <v>0</v>
      </c>
    </row>
    <row r="67" spans="1:23" x14ac:dyDescent="0.3">
      <c r="A67" t="s">
        <v>258</v>
      </c>
      <c r="B67" s="7">
        <v>46187</v>
      </c>
      <c r="C67" t="s">
        <v>259</v>
      </c>
      <c r="D67" t="s">
        <v>260</v>
      </c>
      <c r="E67" t="s">
        <v>79</v>
      </c>
      <c r="F67" t="s">
        <v>80</v>
      </c>
      <c r="G67" t="s">
        <v>118</v>
      </c>
      <c r="H67" t="s">
        <v>58</v>
      </c>
      <c r="I67">
        <v>2</v>
      </c>
      <c r="J67" s="5">
        <v>749</v>
      </c>
      <c r="K67" s="2">
        <v>0.05</v>
      </c>
      <c r="L67" t="s">
        <v>46</v>
      </c>
      <c r="M67" t="s">
        <v>23</v>
      </c>
      <c r="N67" s="1">
        <v>46194</v>
      </c>
      <c r="O67" s="1">
        <v>46193</v>
      </c>
      <c r="P67" s="5">
        <f>Orders[[#This Row],[Quantity]]*Orders[[#This Row],[Unit Price]]</f>
        <v>1498</v>
      </c>
      <c r="Q67" s="5">
        <f>Orders[[#This Row],[Gross Sales]]*Orders[[#This Row],[Discount %]]</f>
        <v>74.900000000000006</v>
      </c>
      <c r="R67" s="5">
        <f>Orders[[#This Row],[Gross Sales]]-Orders[[#This Row],[Discount Amount]]</f>
        <v>1423.1</v>
      </c>
      <c r="S67">
        <f>IF(Orders[[#This Row],[Actual Delivery Date]]="","",Orders[[#This Row],[Actual Delivery Date]]-Orders[[#This Row],[Order Date]])</f>
        <v>6</v>
      </c>
      <c r="T67" t="str">
        <f>IF(Orders[[#This Row],[Actual Delivery Date]]="","Pending",IF(Orders[[#This Row],[Actual Delivery Date]]&lt;=Orders[[#This Row],[Expected Delivery Date]],"On Time","Late"))</f>
        <v>On Time</v>
      </c>
      <c r="U67" t="str">
        <f>TEXT(Orders[[#This Row],[Order Date]],"mmm")</f>
        <v>Jun</v>
      </c>
      <c r="V67" s="8">
        <f>DATE(YEAR(Orders[[#This Row],[Order Date]]),MONTH(Orders[[#This Row],[Order Date]]),1)</f>
        <v>46174</v>
      </c>
      <c r="W67" s="5">
        <f>IF(Orders[[#This Row],[Order Status]]="Cancelled",Orders[[#This Row],[Net Sales]],0)</f>
        <v>0</v>
      </c>
    </row>
    <row r="68" spans="1:23" x14ac:dyDescent="0.3">
      <c r="A68" t="s">
        <v>261</v>
      </c>
      <c r="B68" s="7">
        <v>46152</v>
      </c>
      <c r="C68" t="s">
        <v>262</v>
      </c>
      <c r="D68" t="s">
        <v>263</v>
      </c>
      <c r="E68" t="s">
        <v>18</v>
      </c>
      <c r="F68" t="s">
        <v>43</v>
      </c>
      <c r="G68" t="s">
        <v>153</v>
      </c>
      <c r="H68" t="s">
        <v>45</v>
      </c>
      <c r="I68">
        <v>1</v>
      </c>
      <c r="J68" s="5">
        <v>1999</v>
      </c>
      <c r="K68" s="2">
        <v>0.15</v>
      </c>
      <c r="L68" t="s">
        <v>22</v>
      </c>
      <c r="M68" t="s">
        <v>82</v>
      </c>
      <c r="N68" s="1">
        <v>46154</v>
      </c>
      <c r="O68" s="1">
        <v>46154</v>
      </c>
      <c r="P68" s="5">
        <f>Orders[[#This Row],[Quantity]]*Orders[[#This Row],[Unit Price]]</f>
        <v>1999</v>
      </c>
      <c r="Q68" s="5">
        <f>Orders[[#This Row],[Gross Sales]]*Orders[[#This Row],[Discount %]]</f>
        <v>299.84999999999997</v>
      </c>
      <c r="R68" s="5">
        <f>Orders[[#This Row],[Gross Sales]]-Orders[[#This Row],[Discount Amount]]</f>
        <v>1699.15</v>
      </c>
      <c r="S68">
        <f>IF(Orders[[#This Row],[Actual Delivery Date]]="","",Orders[[#This Row],[Actual Delivery Date]]-Orders[[#This Row],[Order Date]])</f>
        <v>2</v>
      </c>
      <c r="T68" t="str">
        <f>IF(Orders[[#This Row],[Actual Delivery Date]]="","Pending",IF(Orders[[#This Row],[Actual Delivery Date]]&lt;=Orders[[#This Row],[Expected Delivery Date]],"On Time","Late"))</f>
        <v>On Time</v>
      </c>
      <c r="U68" t="str">
        <f>TEXT(Orders[[#This Row],[Order Date]],"mmm")</f>
        <v>May</v>
      </c>
      <c r="V68" s="8">
        <f>DATE(YEAR(Orders[[#This Row],[Order Date]]),MONTH(Orders[[#This Row],[Order Date]]),1)</f>
        <v>46143</v>
      </c>
      <c r="W68" s="5">
        <f>IF(Orders[[#This Row],[Order Status]]="Cancelled",Orders[[#This Row],[Net Sales]],0)</f>
        <v>0</v>
      </c>
    </row>
    <row r="69" spans="1:23" x14ac:dyDescent="0.3">
      <c r="A69" t="s">
        <v>264</v>
      </c>
      <c r="B69" s="7">
        <v>46343</v>
      </c>
      <c r="C69" t="s">
        <v>251</v>
      </c>
      <c r="D69" t="s">
        <v>90</v>
      </c>
      <c r="E69" t="s">
        <v>27</v>
      </c>
      <c r="F69" t="s">
        <v>51</v>
      </c>
      <c r="G69" t="s">
        <v>100</v>
      </c>
      <c r="H69" t="s">
        <v>30</v>
      </c>
      <c r="I69">
        <v>1</v>
      </c>
      <c r="J69" s="5">
        <v>2499</v>
      </c>
      <c r="K69" s="2">
        <v>0</v>
      </c>
      <c r="L69" t="s">
        <v>31</v>
      </c>
      <c r="M69" t="s">
        <v>23</v>
      </c>
      <c r="N69" s="1">
        <v>46349</v>
      </c>
      <c r="O69" s="1">
        <v>46346</v>
      </c>
      <c r="P69" s="5">
        <f>Orders[[#This Row],[Quantity]]*Orders[[#This Row],[Unit Price]]</f>
        <v>2499</v>
      </c>
      <c r="Q69" s="5">
        <f>Orders[[#This Row],[Gross Sales]]*Orders[[#This Row],[Discount %]]</f>
        <v>0</v>
      </c>
      <c r="R69" s="5">
        <f>Orders[[#This Row],[Gross Sales]]-Orders[[#This Row],[Discount Amount]]</f>
        <v>2499</v>
      </c>
      <c r="S69">
        <f>IF(Orders[[#This Row],[Actual Delivery Date]]="","",Orders[[#This Row],[Actual Delivery Date]]-Orders[[#This Row],[Order Date]])</f>
        <v>3</v>
      </c>
      <c r="T69" t="str">
        <f>IF(Orders[[#This Row],[Actual Delivery Date]]="","Pending",IF(Orders[[#This Row],[Actual Delivery Date]]&lt;=Orders[[#This Row],[Expected Delivery Date]],"On Time","Late"))</f>
        <v>On Time</v>
      </c>
      <c r="U69" t="str">
        <f>TEXT(Orders[[#This Row],[Order Date]],"mmm")</f>
        <v>Nov</v>
      </c>
      <c r="V69" s="8">
        <f>DATE(YEAR(Orders[[#This Row],[Order Date]]),MONTH(Orders[[#This Row],[Order Date]]),1)</f>
        <v>46327</v>
      </c>
      <c r="W69" s="5">
        <f>IF(Orders[[#This Row],[Order Status]]="Cancelled",Orders[[#This Row],[Net Sales]],0)</f>
        <v>0</v>
      </c>
    </row>
    <row r="70" spans="1:23" x14ac:dyDescent="0.3">
      <c r="A70" t="s">
        <v>265</v>
      </c>
      <c r="B70" s="7">
        <v>46386</v>
      </c>
      <c r="C70" t="s">
        <v>16</v>
      </c>
      <c r="D70" t="s">
        <v>266</v>
      </c>
      <c r="E70" t="s">
        <v>18</v>
      </c>
      <c r="F70" t="s">
        <v>19</v>
      </c>
      <c r="G70" t="s">
        <v>29</v>
      </c>
      <c r="H70" t="s">
        <v>30</v>
      </c>
      <c r="I70">
        <v>1</v>
      </c>
      <c r="J70" s="5">
        <v>599</v>
      </c>
      <c r="K70" s="2">
        <v>0.2</v>
      </c>
      <c r="L70" t="s">
        <v>39</v>
      </c>
      <c r="M70" t="s">
        <v>47</v>
      </c>
      <c r="N70" s="1">
        <v>46391</v>
      </c>
      <c r="O70" s="1"/>
      <c r="P70" s="5">
        <f>Orders[[#This Row],[Quantity]]*Orders[[#This Row],[Unit Price]]</f>
        <v>599</v>
      </c>
      <c r="Q70" s="5">
        <f>Orders[[#This Row],[Gross Sales]]*Orders[[#This Row],[Discount %]]</f>
        <v>119.80000000000001</v>
      </c>
      <c r="R70" s="5">
        <f>Orders[[#This Row],[Gross Sales]]-Orders[[#This Row],[Discount Amount]]</f>
        <v>479.2</v>
      </c>
      <c r="S70" t="str">
        <f>IF(Orders[[#This Row],[Actual Delivery Date]]="","",Orders[[#This Row],[Actual Delivery Date]]-Orders[[#This Row],[Order Date]])</f>
        <v/>
      </c>
      <c r="T70" t="str">
        <f>IF(Orders[[#This Row],[Actual Delivery Date]]="","Pending",IF(Orders[[#This Row],[Actual Delivery Date]]&lt;=Orders[[#This Row],[Expected Delivery Date]],"On Time","Late"))</f>
        <v>Pending</v>
      </c>
      <c r="U70" t="str">
        <f>TEXT(Orders[[#This Row],[Order Date]],"mmm")</f>
        <v>Dec</v>
      </c>
      <c r="V70" s="8">
        <f>DATE(YEAR(Orders[[#This Row],[Order Date]]),MONTH(Orders[[#This Row],[Order Date]]),1)</f>
        <v>46357</v>
      </c>
      <c r="W70" s="5">
        <f>IF(Orders[[#This Row],[Order Status]]="Cancelled",Orders[[#This Row],[Net Sales]],0)</f>
        <v>0</v>
      </c>
    </row>
    <row r="71" spans="1:23" x14ac:dyDescent="0.3">
      <c r="A71" t="s">
        <v>267</v>
      </c>
      <c r="B71" s="7">
        <v>46278</v>
      </c>
      <c r="C71" t="s">
        <v>268</v>
      </c>
      <c r="D71" t="s">
        <v>224</v>
      </c>
      <c r="E71" t="s">
        <v>18</v>
      </c>
      <c r="F71" t="s">
        <v>43</v>
      </c>
      <c r="G71" t="s">
        <v>52</v>
      </c>
      <c r="H71" t="s">
        <v>45</v>
      </c>
      <c r="I71">
        <v>4</v>
      </c>
      <c r="J71" s="5">
        <v>1299</v>
      </c>
      <c r="K71" s="2">
        <v>0.1</v>
      </c>
      <c r="L71" t="s">
        <v>22</v>
      </c>
      <c r="M71" t="s">
        <v>59</v>
      </c>
      <c r="N71" s="1">
        <v>46282</v>
      </c>
      <c r="O71" s="1">
        <v>46282</v>
      </c>
      <c r="P71" s="5">
        <f>Orders[[#This Row],[Quantity]]*Orders[[#This Row],[Unit Price]]</f>
        <v>5196</v>
      </c>
      <c r="Q71" s="5">
        <f>Orders[[#This Row],[Gross Sales]]*Orders[[#This Row],[Discount %]]</f>
        <v>519.6</v>
      </c>
      <c r="R71" s="5">
        <f>Orders[[#This Row],[Gross Sales]]-Orders[[#This Row],[Discount Amount]]</f>
        <v>4676.3999999999996</v>
      </c>
      <c r="S71">
        <f>IF(Orders[[#This Row],[Actual Delivery Date]]="","",Orders[[#This Row],[Actual Delivery Date]]-Orders[[#This Row],[Order Date]])</f>
        <v>4</v>
      </c>
      <c r="T71" t="str">
        <f>IF(Orders[[#This Row],[Actual Delivery Date]]="","Pending",IF(Orders[[#This Row],[Actual Delivery Date]]&lt;=Orders[[#This Row],[Expected Delivery Date]],"On Time","Late"))</f>
        <v>On Time</v>
      </c>
      <c r="U71" t="str">
        <f>TEXT(Orders[[#This Row],[Order Date]],"mmm")</f>
        <v>Sep</v>
      </c>
      <c r="V71" s="8">
        <f>DATE(YEAR(Orders[[#This Row],[Order Date]]),MONTH(Orders[[#This Row],[Order Date]]),1)</f>
        <v>46266</v>
      </c>
      <c r="W71" s="5">
        <f>IF(Orders[[#This Row],[Order Status]]="Cancelled",Orders[[#This Row],[Net Sales]],0)</f>
        <v>4676.3999999999996</v>
      </c>
    </row>
    <row r="72" spans="1:23" x14ac:dyDescent="0.3">
      <c r="A72" t="s">
        <v>269</v>
      </c>
      <c r="B72" s="7">
        <v>46329</v>
      </c>
      <c r="C72" t="s">
        <v>270</v>
      </c>
      <c r="D72" t="s">
        <v>271</v>
      </c>
      <c r="E72" t="s">
        <v>79</v>
      </c>
      <c r="F72" t="s">
        <v>108</v>
      </c>
      <c r="G72" t="s">
        <v>180</v>
      </c>
      <c r="H72" t="s">
        <v>58</v>
      </c>
      <c r="I72">
        <v>2</v>
      </c>
      <c r="J72" s="5">
        <v>599</v>
      </c>
      <c r="K72" s="2">
        <v>0.05</v>
      </c>
      <c r="L72" t="s">
        <v>39</v>
      </c>
      <c r="M72" t="s">
        <v>23</v>
      </c>
      <c r="N72" s="1">
        <v>46334</v>
      </c>
      <c r="O72" s="1">
        <v>46334</v>
      </c>
      <c r="P72" s="5">
        <f>Orders[[#This Row],[Quantity]]*Orders[[#This Row],[Unit Price]]</f>
        <v>1198</v>
      </c>
      <c r="Q72" s="5">
        <f>Orders[[#This Row],[Gross Sales]]*Orders[[#This Row],[Discount %]]</f>
        <v>59.900000000000006</v>
      </c>
      <c r="R72" s="5">
        <f>Orders[[#This Row],[Gross Sales]]-Orders[[#This Row],[Discount Amount]]</f>
        <v>1138.0999999999999</v>
      </c>
      <c r="S72">
        <f>IF(Orders[[#This Row],[Actual Delivery Date]]="","",Orders[[#This Row],[Actual Delivery Date]]-Orders[[#This Row],[Order Date]])</f>
        <v>5</v>
      </c>
      <c r="T72" t="str">
        <f>IF(Orders[[#This Row],[Actual Delivery Date]]="","Pending",IF(Orders[[#This Row],[Actual Delivery Date]]&lt;=Orders[[#This Row],[Expected Delivery Date]],"On Time","Late"))</f>
        <v>On Time</v>
      </c>
      <c r="U72" t="str">
        <f>TEXT(Orders[[#This Row],[Order Date]],"mmm")</f>
        <v>Nov</v>
      </c>
      <c r="V72" s="8">
        <f>DATE(YEAR(Orders[[#This Row],[Order Date]]),MONTH(Orders[[#This Row],[Order Date]]),1)</f>
        <v>46327</v>
      </c>
      <c r="W72" s="5">
        <f>IF(Orders[[#This Row],[Order Status]]="Cancelled",Orders[[#This Row],[Net Sales]],0)</f>
        <v>0</v>
      </c>
    </row>
    <row r="73" spans="1:23" x14ac:dyDescent="0.3">
      <c r="A73" t="s">
        <v>272</v>
      </c>
      <c r="B73" s="7">
        <v>46360</v>
      </c>
      <c r="C73" t="s">
        <v>273</v>
      </c>
      <c r="D73" t="s">
        <v>274</v>
      </c>
      <c r="E73" t="s">
        <v>35</v>
      </c>
      <c r="F73" t="s">
        <v>36</v>
      </c>
      <c r="G73" t="s">
        <v>206</v>
      </c>
      <c r="H73" t="s">
        <v>30</v>
      </c>
      <c r="I73">
        <v>2</v>
      </c>
      <c r="J73" s="5">
        <v>1199</v>
      </c>
      <c r="K73" s="2">
        <v>0.05</v>
      </c>
      <c r="L73" t="s">
        <v>70</v>
      </c>
      <c r="M73" t="s">
        <v>47</v>
      </c>
      <c r="N73" s="1">
        <v>46365</v>
      </c>
      <c r="O73" s="1"/>
      <c r="P73" s="5">
        <f>Orders[[#This Row],[Quantity]]*Orders[[#This Row],[Unit Price]]</f>
        <v>2398</v>
      </c>
      <c r="Q73" s="5">
        <f>Orders[[#This Row],[Gross Sales]]*Orders[[#This Row],[Discount %]]</f>
        <v>119.9</v>
      </c>
      <c r="R73" s="5">
        <f>Orders[[#This Row],[Gross Sales]]-Orders[[#This Row],[Discount Amount]]</f>
        <v>2278.1</v>
      </c>
      <c r="S73" t="str">
        <f>IF(Orders[[#This Row],[Actual Delivery Date]]="","",Orders[[#This Row],[Actual Delivery Date]]-Orders[[#This Row],[Order Date]])</f>
        <v/>
      </c>
      <c r="T73" t="str">
        <f>IF(Orders[[#This Row],[Actual Delivery Date]]="","Pending",IF(Orders[[#This Row],[Actual Delivery Date]]&lt;=Orders[[#This Row],[Expected Delivery Date]],"On Time","Late"))</f>
        <v>Pending</v>
      </c>
      <c r="U73" t="str">
        <f>TEXT(Orders[[#This Row],[Order Date]],"mmm")</f>
        <v>Dec</v>
      </c>
      <c r="V73" s="8">
        <f>DATE(YEAR(Orders[[#This Row],[Order Date]]),MONTH(Orders[[#This Row],[Order Date]]),1)</f>
        <v>46357</v>
      </c>
      <c r="W73" s="5">
        <f>IF(Orders[[#This Row],[Order Status]]="Cancelled",Orders[[#This Row],[Net Sales]],0)</f>
        <v>0</v>
      </c>
    </row>
    <row r="74" spans="1:23" x14ac:dyDescent="0.3">
      <c r="A74" t="s">
        <v>275</v>
      </c>
      <c r="B74" s="7">
        <v>46380</v>
      </c>
      <c r="C74" t="s">
        <v>276</v>
      </c>
      <c r="D74" t="s">
        <v>156</v>
      </c>
      <c r="E74" t="s">
        <v>79</v>
      </c>
      <c r="F74" t="s">
        <v>170</v>
      </c>
      <c r="G74" t="s">
        <v>20</v>
      </c>
      <c r="H74" t="s">
        <v>21</v>
      </c>
      <c r="I74">
        <v>1</v>
      </c>
      <c r="J74" s="5">
        <v>1799</v>
      </c>
      <c r="K74" s="2">
        <v>0.15</v>
      </c>
      <c r="L74" t="s">
        <v>31</v>
      </c>
      <c r="M74" t="s">
        <v>82</v>
      </c>
      <c r="N74" s="1">
        <v>46385</v>
      </c>
      <c r="O74" s="1">
        <v>46384</v>
      </c>
      <c r="P74" s="5">
        <f>Orders[[#This Row],[Quantity]]*Orders[[#This Row],[Unit Price]]</f>
        <v>1799</v>
      </c>
      <c r="Q74" s="5">
        <f>Orders[[#This Row],[Gross Sales]]*Orders[[#This Row],[Discount %]]</f>
        <v>269.84999999999997</v>
      </c>
      <c r="R74" s="5">
        <f>Orders[[#This Row],[Gross Sales]]-Orders[[#This Row],[Discount Amount]]</f>
        <v>1529.15</v>
      </c>
      <c r="S74">
        <f>IF(Orders[[#This Row],[Actual Delivery Date]]="","",Orders[[#This Row],[Actual Delivery Date]]-Orders[[#This Row],[Order Date]])</f>
        <v>4</v>
      </c>
      <c r="T74" t="str">
        <f>IF(Orders[[#This Row],[Actual Delivery Date]]="","Pending",IF(Orders[[#This Row],[Actual Delivery Date]]&lt;=Orders[[#This Row],[Expected Delivery Date]],"On Time","Late"))</f>
        <v>On Time</v>
      </c>
      <c r="U74" t="str">
        <f>TEXT(Orders[[#This Row],[Order Date]],"mmm")</f>
        <v>Dec</v>
      </c>
      <c r="V74" s="8">
        <f>DATE(YEAR(Orders[[#This Row],[Order Date]]),MONTH(Orders[[#This Row],[Order Date]]),1)</f>
        <v>46357</v>
      </c>
      <c r="W74" s="5">
        <f>IF(Orders[[#This Row],[Order Status]]="Cancelled",Orders[[#This Row],[Net Sales]],0)</f>
        <v>0</v>
      </c>
    </row>
    <row r="75" spans="1:23" x14ac:dyDescent="0.3">
      <c r="A75" t="s">
        <v>277</v>
      </c>
      <c r="B75" s="7">
        <v>46280</v>
      </c>
      <c r="C75" t="s">
        <v>278</v>
      </c>
      <c r="D75" t="s">
        <v>62</v>
      </c>
      <c r="E75" t="s">
        <v>27</v>
      </c>
      <c r="F75" t="s">
        <v>74</v>
      </c>
      <c r="G75" t="s">
        <v>52</v>
      </c>
      <c r="H75" t="s">
        <v>45</v>
      </c>
      <c r="I75">
        <v>4</v>
      </c>
      <c r="J75" s="5">
        <v>1299</v>
      </c>
      <c r="K75" s="2">
        <v>0.1</v>
      </c>
      <c r="L75" t="s">
        <v>39</v>
      </c>
      <c r="M75" t="s">
        <v>82</v>
      </c>
      <c r="N75" s="1">
        <v>46285</v>
      </c>
      <c r="O75" s="1">
        <v>46284</v>
      </c>
      <c r="P75" s="5">
        <f>Orders[[#This Row],[Quantity]]*Orders[[#This Row],[Unit Price]]</f>
        <v>5196</v>
      </c>
      <c r="Q75" s="5">
        <f>Orders[[#This Row],[Gross Sales]]*Orders[[#This Row],[Discount %]]</f>
        <v>519.6</v>
      </c>
      <c r="R75" s="5">
        <f>Orders[[#This Row],[Gross Sales]]-Orders[[#This Row],[Discount Amount]]</f>
        <v>4676.3999999999996</v>
      </c>
      <c r="S75">
        <f>IF(Orders[[#This Row],[Actual Delivery Date]]="","",Orders[[#This Row],[Actual Delivery Date]]-Orders[[#This Row],[Order Date]])</f>
        <v>4</v>
      </c>
      <c r="T75" t="str">
        <f>IF(Orders[[#This Row],[Actual Delivery Date]]="","Pending",IF(Orders[[#This Row],[Actual Delivery Date]]&lt;=Orders[[#This Row],[Expected Delivery Date]],"On Time","Late"))</f>
        <v>On Time</v>
      </c>
      <c r="U75" t="str">
        <f>TEXT(Orders[[#This Row],[Order Date]],"mmm")</f>
        <v>Sep</v>
      </c>
      <c r="V75" s="8">
        <f>DATE(YEAR(Orders[[#This Row],[Order Date]]),MONTH(Orders[[#This Row],[Order Date]]),1)</f>
        <v>46266</v>
      </c>
      <c r="W75" s="5">
        <f>IF(Orders[[#This Row],[Order Status]]="Cancelled",Orders[[#This Row],[Net Sales]],0)</f>
        <v>0</v>
      </c>
    </row>
    <row r="76" spans="1:23" x14ac:dyDescent="0.3">
      <c r="A76" t="s">
        <v>279</v>
      </c>
      <c r="B76" s="7">
        <v>46158</v>
      </c>
      <c r="C76" t="s">
        <v>280</v>
      </c>
      <c r="D76" t="s">
        <v>191</v>
      </c>
      <c r="E76" t="s">
        <v>79</v>
      </c>
      <c r="F76" t="s">
        <v>108</v>
      </c>
      <c r="G76" t="s">
        <v>160</v>
      </c>
      <c r="H76" t="s">
        <v>45</v>
      </c>
      <c r="I76">
        <v>1</v>
      </c>
      <c r="J76" s="5">
        <v>1499</v>
      </c>
      <c r="K76" s="2">
        <v>0.15</v>
      </c>
      <c r="L76" t="s">
        <v>39</v>
      </c>
      <c r="M76" t="s">
        <v>82</v>
      </c>
      <c r="N76" s="1">
        <v>46162</v>
      </c>
      <c r="O76" s="1">
        <v>46162</v>
      </c>
      <c r="P76" s="5">
        <f>Orders[[#This Row],[Quantity]]*Orders[[#This Row],[Unit Price]]</f>
        <v>1499</v>
      </c>
      <c r="Q76" s="5">
        <f>Orders[[#This Row],[Gross Sales]]*Orders[[#This Row],[Discount %]]</f>
        <v>224.85</v>
      </c>
      <c r="R76" s="5">
        <f>Orders[[#This Row],[Gross Sales]]-Orders[[#This Row],[Discount Amount]]</f>
        <v>1274.1500000000001</v>
      </c>
      <c r="S76">
        <f>IF(Orders[[#This Row],[Actual Delivery Date]]="","",Orders[[#This Row],[Actual Delivery Date]]-Orders[[#This Row],[Order Date]])</f>
        <v>4</v>
      </c>
      <c r="T76" t="str">
        <f>IF(Orders[[#This Row],[Actual Delivery Date]]="","Pending",IF(Orders[[#This Row],[Actual Delivery Date]]&lt;=Orders[[#This Row],[Expected Delivery Date]],"On Time","Late"))</f>
        <v>On Time</v>
      </c>
      <c r="U76" t="str">
        <f>TEXT(Orders[[#This Row],[Order Date]],"mmm")</f>
        <v>May</v>
      </c>
      <c r="V76" s="8">
        <f>DATE(YEAR(Orders[[#This Row],[Order Date]]),MONTH(Orders[[#This Row],[Order Date]]),1)</f>
        <v>46143</v>
      </c>
      <c r="W76" s="5">
        <f>IF(Orders[[#This Row],[Order Status]]="Cancelled",Orders[[#This Row],[Net Sales]],0)</f>
        <v>0</v>
      </c>
    </row>
    <row r="77" spans="1:23" x14ac:dyDescent="0.3">
      <c r="A77" t="s">
        <v>281</v>
      </c>
      <c r="B77" s="7">
        <v>46139</v>
      </c>
      <c r="C77" t="s">
        <v>282</v>
      </c>
      <c r="D77" t="s">
        <v>283</v>
      </c>
      <c r="E77" t="s">
        <v>18</v>
      </c>
      <c r="F77" t="s">
        <v>19</v>
      </c>
      <c r="G77" t="s">
        <v>131</v>
      </c>
      <c r="H77" t="s">
        <v>38</v>
      </c>
      <c r="I77">
        <v>2</v>
      </c>
      <c r="J77" s="5">
        <v>899</v>
      </c>
      <c r="K77" s="2">
        <v>0.15</v>
      </c>
      <c r="L77" t="s">
        <v>39</v>
      </c>
      <c r="M77" t="s">
        <v>82</v>
      </c>
      <c r="N77" s="1">
        <v>46146</v>
      </c>
      <c r="O77" s="1">
        <v>46140</v>
      </c>
      <c r="P77" s="5">
        <f>Orders[[#This Row],[Quantity]]*Orders[[#This Row],[Unit Price]]</f>
        <v>1798</v>
      </c>
      <c r="Q77" s="5">
        <f>Orders[[#This Row],[Gross Sales]]*Orders[[#This Row],[Discount %]]</f>
        <v>269.7</v>
      </c>
      <c r="R77" s="5">
        <f>Orders[[#This Row],[Gross Sales]]-Orders[[#This Row],[Discount Amount]]</f>
        <v>1528.3</v>
      </c>
      <c r="S77">
        <f>IF(Orders[[#This Row],[Actual Delivery Date]]="","",Orders[[#This Row],[Actual Delivery Date]]-Orders[[#This Row],[Order Date]])</f>
        <v>1</v>
      </c>
      <c r="T77" t="str">
        <f>IF(Orders[[#This Row],[Actual Delivery Date]]="","Pending",IF(Orders[[#This Row],[Actual Delivery Date]]&lt;=Orders[[#This Row],[Expected Delivery Date]],"On Time","Late"))</f>
        <v>On Time</v>
      </c>
      <c r="U77" t="str">
        <f>TEXT(Orders[[#This Row],[Order Date]],"mmm")</f>
        <v>Apr</v>
      </c>
      <c r="V77" s="8">
        <f>DATE(YEAR(Orders[[#This Row],[Order Date]]),MONTH(Orders[[#This Row],[Order Date]]),1)</f>
        <v>46113</v>
      </c>
      <c r="W77" s="5">
        <f>IF(Orders[[#This Row],[Order Status]]="Cancelled",Orders[[#This Row],[Net Sales]],0)</f>
        <v>0</v>
      </c>
    </row>
    <row r="78" spans="1:23" x14ac:dyDescent="0.3">
      <c r="A78" t="s">
        <v>284</v>
      </c>
      <c r="B78" s="7">
        <v>46051</v>
      </c>
      <c r="C78" t="s">
        <v>285</v>
      </c>
      <c r="D78" t="s">
        <v>50</v>
      </c>
      <c r="E78" t="s">
        <v>35</v>
      </c>
      <c r="F78" t="s">
        <v>135</v>
      </c>
      <c r="G78" t="s">
        <v>153</v>
      </c>
      <c r="H78" t="s">
        <v>45</v>
      </c>
      <c r="I78">
        <v>1</v>
      </c>
      <c r="J78" s="5">
        <v>1999</v>
      </c>
      <c r="K78" s="2">
        <v>0.1</v>
      </c>
      <c r="L78" t="s">
        <v>70</v>
      </c>
      <c r="M78" t="s">
        <v>23</v>
      </c>
      <c r="N78" s="1">
        <v>46054</v>
      </c>
      <c r="O78" s="1">
        <v>46054</v>
      </c>
      <c r="P78" s="5">
        <f>Orders[[#This Row],[Quantity]]*Orders[[#This Row],[Unit Price]]</f>
        <v>1999</v>
      </c>
      <c r="Q78" s="5">
        <f>Orders[[#This Row],[Gross Sales]]*Orders[[#This Row],[Discount %]]</f>
        <v>199.9</v>
      </c>
      <c r="R78" s="5">
        <f>Orders[[#This Row],[Gross Sales]]-Orders[[#This Row],[Discount Amount]]</f>
        <v>1799.1</v>
      </c>
      <c r="S78">
        <f>IF(Orders[[#This Row],[Actual Delivery Date]]="","",Orders[[#This Row],[Actual Delivery Date]]-Orders[[#This Row],[Order Date]])</f>
        <v>3</v>
      </c>
      <c r="T78" t="str">
        <f>IF(Orders[[#This Row],[Actual Delivery Date]]="","Pending",IF(Orders[[#This Row],[Actual Delivery Date]]&lt;=Orders[[#This Row],[Expected Delivery Date]],"On Time","Late"))</f>
        <v>On Time</v>
      </c>
      <c r="U78" t="str">
        <f>TEXT(Orders[[#This Row],[Order Date]],"mmm")</f>
        <v>Jan</v>
      </c>
      <c r="V78" s="8">
        <f>DATE(YEAR(Orders[[#This Row],[Order Date]]),MONTH(Orders[[#This Row],[Order Date]]),1)</f>
        <v>46023</v>
      </c>
      <c r="W78" s="5">
        <f>IF(Orders[[#This Row],[Order Status]]="Cancelled",Orders[[#This Row],[Net Sales]],0)</f>
        <v>0</v>
      </c>
    </row>
    <row r="79" spans="1:23" x14ac:dyDescent="0.3">
      <c r="A79" t="s">
        <v>286</v>
      </c>
      <c r="B79" s="7">
        <v>46340</v>
      </c>
      <c r="C79" t="s">
        <v>33</v>
      </c>
      <c r="D79" t="s">
        <v>287</v>
      </c>
      <c r="E79" t="s">
        <v>27</v>
      </c>
      <c r="F79" t="s">
        <v>28</v>
      </c>
      <c r="G79" t="s">
        <v>100</v>
      </c>
      <c r="H79" t="s">
        <v>30</v>
      </c>
      <c r="I79">
        <v>2</v>
      </c>
      <c r="J79" s="5">
        <v>2499</v>
      </c>
      <c r="K79" s="2">
        <v>0.15</v>
      </c>
      <c r="L79" t="s">
        <v>22</v>
      </c>
      <c r="M79" t="s">
        <v>23</v>
      </c>
      <c r="N79" s="1">
        <v>46343</v>
      </c>
      <c r="O79" s="1">
        <v>46342</v>
      </c>
      <c r="P79" s="5">
        <f>Orders[[#This Row],[Quantity]]*Orders[[#This Row],[Unit Price]]</f>
        <v>4998</v>
      </c>
      <c r="Q79" s="5">
        <f>Orders[[#This Row],[Gross Sales]]*Orders[[#This Row],[Discount %]]</f>
        <v>749.69999999999993</v>
      </c>
      <c r="R79" s="5">
        <f>Orders[[#This Row],[Gross Sales]]-Orders[[#This Row],[Discount Amount]]</f>
        <v>4248.3</v>
      </c>
      <c r="S79">
        <f>IF(Orders[[#This Row],[Actual Delivery Date]]="","",Orders[[#This Row],[Actual Delivery Date]]-Orders[[#This Row],[Order Date]])</f>
        <v>2</v>
      </c>
      <c r="T79" t="str">
        <f>IF(Orders[[#This Row],[Actual Delivery Date]]="","Pending",IF(Orders[[#This Row],[Actual Delivery Date]]&lt;=Orders[[#This Row],[Expected Delivery Date]],"On Time","Late"))</f>
        <v>On Time</v>
      </c>
      <c r="U79" t="str">
        <f>TEXT(Orders[[#This Row],[Order Date]],"mmm")</f>
        <v>Nov</v>
      </c>
      <c r="V79" s="8">
        <f>DATE(YEAR(Orders[[#This Row],[Order Date]]),MONTH(Orders[[#This Row],[Order Date]]),1)</f>
        <v>46327</v>
      </c>
      <c r="W79" s="5">
        <f>IF(Orders[[#This Row],[Order Status]]="Cancelled",Orders[[#This Row],[Net Sales]],0)</f>
        <v>0</v>
      </c>
    </row>
    <row r="80" spans="1:23" x14ac:dyDescent="0.3">
      <c r="A80" t="s">
        <v>288</v>
      </c>
      <c r="B80" s="7">
        <v>46103</v>
      </c>
      <c r="C80" t="s">
        <v>172</v>
      </c>
      <c r="D80" t="s">
        <v>289</v>
      </c>
      <c r="E80" t="s">
        <v>18</v>
      </c>
      <c r="F80" t="s">
        <v>43</v>
      </c>
      <c r="G80" t="s">
        <v>87</v>
      </c>
      <c r="H80" t="s">
        <v>21</v>
      </c>
      <c r="I80">
        <v>1</v>
      </c>
      <c r="J80" s="5">
        <v>1899</v>
      </c>
      <c r="K80" s="2">
        <v>0.1</v>
      </c>
      <c r="L80" t="s">
        <v>22</v>
      </c>
      <c r="M80" t="s">
        <v>23</v>
      </c>
      <c r="N80" s="1">
        <v>46110</v>
      </c>
      <c r="O80" s="1">
        <v>46113</v>
      </c>
      <c r="P80" s="5">
        <f>Orders[[#This Row],[Quantity]]*Orders[[#This Row],[Unit Price]]</f>
        <v>1899</v>
      </c>
      <c r="Q80" s="5">
        <f>Orders[[#This Row],[Gross Sales]]*Orders[[#This Row],[Discount %]]</f>
        <v>189.9</v>
      </c>
      <c r="R80" s="5">
        <f>Orders[[#This Row],[Gross Sales]]-Orders[[#This Row],[Discount Amount]]</f>
        <v>1709.1</v>
      </c>
      <c r="S80">
        <f>IF(Orders[[#This Row],[Actual Delivery Date]]="","",Orders[[#This Row],[Actual Delivery Date]]-Orders[[#This Row],[Order Date]])</f>
        <v>10</v>
      </c>
      <c r="T80" t="str">
        <f>IF(Orders[[#This Row],[Actual Delivery Date]]="","Pending",IF(Orders[[#This Row],[Actual Delivery Date]]&lt;=Orders[[#This Row],[Expected Delivery Date]],"On Time","Late"))</f>
        <v>Late</v>
      </c>
      <c r="U80" t="str">
        <f>TEXT(Orders[[#This Row],[Order Date]],"mmm")</f>
        <v>Mar</v>
      </c>
      <c r="V80" s="8">
        <f>DATE(YEAR(Orders[[#This Row],[Order Date]]),MONTH(Orders[[#This Row],[Order Date]]),1)</f>
        <v>46082</v>
      </c>
      <c r="W80" s="5">
        <f>IF(Orders[[#This Row],[Order Status]]="Cancelled",Orders[[#This Row],[Net Sales]],0)</f>
        <v>0</v>
      </c>
    </row>
    <row r="81" spans="1:23" x14ac:dyDescent="0.3">
      <c r="A81" t="s">
        <v>290</v>
      </c>
      <c r="B81" s="7">
        <v>46144</v>
      </c>
      <c r="C81" t="s">
        <v>291</v>
      </c>
      <c r="D81" t="s">
        <v>292</v>
      </c>
      <c r="E81" t="s">
        <v>27</v>
      </c>
      <c r="F81" t="s">
        <v>74</v>
      </c>
      <c r="G81" t="s">
        <v>147</v>
      </c>
      <c r="H81" t="s">
        <v>58</v>
      </c>
      <c r="I81">
        <v>1</v>
      </c>
      <c r="J81" s="5">
        <v>399</v>
      </c>
      <c r="K81" s="2">
        <v>0.1</v>
      </c>
      <c r="L81" t="s">
        <v>22</v>
      </c>
      <c r="M81" t="s">
        <v>23</v>
      </c>
      <c r="N81" s="1">
        <v>46151</v>
      </c>
      <c r="O81" s="1">
        <v>46151</v>
      </c>
      <c r="P81" s="5">
        <f>Orders[[#This Row],[Quantity]]*Orders[[#This Row],[Unit Price]]</f>
        <v>399</v>
      </c>
      <c r="Q81" s="5">
        <f>Orders[[#This Row],[Gross Sales]]*Orders[[#This Row],[Discount %]]</f>
        <v>39.900000000000006</v>
      </c>
      <c r="R81" s="5">
        <f>Orders[[#This Row],[Gross Sales]]-Orders[[#This Row],[Discount Amount]]</f>
        <v>359.1</v>
      </c>
      <c r="S81">
        <f>IF(Orders[[#This Row],[Actual Delivery Date]]="","",Orders[[#This Row],[Actual Delivery Date]]-Orders[[#This Row],[Order Date]])</f>
        <v>7</v>
      </c>
      <c r="T81" t="str">
        <f>IF(Orders[[#This Row],[Actual Delivery Date]]="","Pending",IF(Orders[[#This Row],[Actual Delivery Date]]&lt;=Orders[[#This Row],[Expected Delivery Date]],"On Time","Late"))</f>
        <v>On Time</v>
      </c>
      <c r="U81" t="str">
        <f>TEXT(Orders[[#This Row],[Order Date]],"mmm")</f>
        <v>May</v>
      </c>
      <c r="V81" s="8">
        <f>DATE(YEAR(Orders[[#This Row],[Order Date]]),MONTH(Orders[[#This Row],[Order Date]]),1)</f>
        <v>46143</v>
      </c>
      <c r="W81" s="5">
        <f>IF(Orders[[#This Row],[Order Status]]="Cancelled",Orders[[#This Row],[Net Sales]],0)</f>
        <v>0</v>
      </c>
    </row>
    <row r="82" spans="1:23" x14ac:dyDescent="0.3">
      <c r="A82" t="s">
        <v>293</v>
      </c>
      <c r="B82" s="7">
        <v>46169</v>
      </c>
      <c r="C82" t="s">
        <v>226</v>
      </c>
      <c r="D82" t="s">
        <v>294</v>
      </c>
      <c r="E82" t="s">
        <v>18</v>
      </c>
      <c r="F82" t="s">
        <v>19</v>
      </c>
      <c r="G82" t="s">
        <v>100</v>
      </c>
      <c r="H82" t="s">
        <v>30</v>
      </c>
      <c r="I82">
        <v>3</v>
      </c>
      <c r="J82" s="5">
        <v>2499</v>
      </c>
      <c r="K82" s="2">
        <v>0.05</v>
      </c>
      <c r="L82" t="s">
        <v>22</v>
      </c>
      <c r="M82" t="s">
        <v>82</v>
      </c>
      <c r="N82" s="1">
        <v>46173</v>
      </c>
      <c r="O82" s="1">
        <v>46171</v>
      </c>
      <c r="P82" s="5">
        <f>Orders[[#This Row],[Quantity]]*Orders[[#This Row],[Unit Price]]</f>
        <v>7497</v>
      </c>
      <c r="Q82" s="5">
        <f>Orders[[#This Row],[Gross Sales]]*Orders[[#This Row],[Discount %]]</f>
        <v>374.85</v>
      </c>
      <c r="R82" s="5">
        <f>Orders[[#This Row],[Gross Sales]]-Orders[[#This Row],[Discount Amount]]</f>
        <v>7122.15</v>
      </c>
      <c r="S82">
        <f>IF(Orders[[#This Row],[Actual Delivery Date]]="","",Orders[[#This Row],[Actual Delivery Date]]-Orders[[#This Row],[Order Date]])</f>
        <v>2</v>
      </c>
      <c r="T82" t="str">
        <f>IF(Orders[[#This Row],[Actual Delivery Date]]="","Pending",IF(Orders[[#This Row],[Actual Delivery Date]]&lt;=Orders[[#This Row],[Expected Delivery Date]],"On Time","Late"))</f>
        <v>On Time</v>
      </c>
      <c r="U82" t="str">
        <f>TEXT(Orders[[#This Row],[Order Date]],"mmm")</f>
        <v>May</v>
      </c>
      <c r="V82" s="8">
        <f>DATE(YEAR(Orders[[#This Row],[Order Date]]),MONTH(Orders[[#This Row],[Order Date]]),1)</f>
        <v>46143</v>
      </c>
      <c r="W82" s="5">
        <f>IF(Orders[[#This Row],[Order Status]]="Cancelled",Orders[[#This Row],[Net Sales]],0)</f>
        <v>0</v>
      </c>
    </row>
    <row r="83" spans="1:23" x14ac:dyDescent="0.3">
      <c r="A83" t="s">
        <v>295</v>
      </c>
      <c r="B83" s="7">
        <v>46040</v>
      </c>
      <c r="C83" t="s">
        <v>296</v>
      </c>
      <c r="D83" t="s">
        <v>103</v>
      </c>
      <c r="E83" t="s">
        <v>18</v>
      </c>
      <c r="F83" t="s">
        <v>19</v>
      </c>
      <c r="G83" t="s">
        <v>218</v>
      </c>
      <c r="H83" t="s">
        <v>21</v>
      </c>
      <c r="I83">
        <v>2</v>
      </c>
      <c r="J83" s="5">
        <v>2999</v>
      </c>
      <c r="K83" s="2">
        <v>0.05</v>
      </c>
      <c r="L83" t="s">
        <v>39</v>
      </c>
      <c r="M83" t="s">
        <v>23</v>
      </c>
      <c r="N83" s="1">
        <v>46044</v>
      </c>
      <c r="O83" s="1">
        <v>46042</v>
      </c>
      <c r="P83" s="5">
        <f>Orders[[#This Row],[Quantity]]*Orders[[#This Row],[Unit Price]]</f>
        <v>5998</v>
      </c>
      <c r="Q83" s="5">
        <f>Orders[[#This Row],[Gross Sales]]*Orders[[#This Row],[Discount %]]</f>
        <v>299.90000000000003</v>
      </c>
      <c r="R83" s="5">
        <f>Orders[[#This Row],[Gross Sales]]-Orders[[#This Row],[Discount Amount]]</f>
        <v>5698.1</v>
      </c>
      <c r="S83">
        <f>IF(Orders[[#This Row],[Actual Delivery Date]]="","",Orders[[#This Row],[Actual Delivery Date]]-Orders[[#This Row],[Order Date]])</f>
        <v>2</v>
      </c>
      <c r="T83" t="str">
        <f>IF(Orders[[#This Row],[Actual Delivery Date]]="","Pending",IF(Orders[[#This Row],[Actual Delivery Date]]&lt;=Orders[[#This Row],[Expected Delivery Date]],"On Time","Late"))</f>
        <v>On Time</v>
      </c>
      <c r="U83" t="str">
        <f>TEXT(Orders[[#This Row],[Order Date]],"mmm")</f>
        <v>Jan</v>
      </c>
      <c r="V83" s="8">
        <f>DATE(YEAR(Orders[[#This Row],[Order Date]]),MONTH(Orders[[#This Row],[Order Date]]),1)</f>
        <v>46023</v>
      </c>
      <c r="W83" s="5">
        <f>IF(Orders[[#This Row],[Order Status]]="Cancelled",Orders[[#This Row],[Net Sales]],0)</f>
        <v>0</v>
      </c>
    </row>
    <row r="84" spans="1:23" x14ac:dyDescent="0.3">
      <c r="A84" t="s">
        <v>297</v>
      </c>
      <c r="B84" s="7">
        <v>46269</v>
      </c>
      <c r="C84" t="s">
        <v>298</v>
      </c>
      <c r="D84" t="s">
        <v>266</v>
      </c>
      <c r="E84" t="s">
        <v>35</v>
      </c>
      <c r="F84" t="s">
        <v>36</v>
      </c>
      <c r="G84" t="s">
        <v>131</v>
      </c>
      <c r="H84" t="s">
        <v>38</v>
      </c>
      <c r="I84">
        <v>4</v>
      </c>
      <c r="J84" s="5">
        <v>899</v>
      </c>
      <c r="K84" s="2">
        <v>0.1</v>
      </c>
      <c r="L84" t="s">
        <v>46</v>
      </c>
      <c r="M84" t="s">
        <v>82</v>
      </c>
      <c r="N84" s="1">
        <v>46271</v>
      </c>
      <c r="O84" s="1">
        <v>46270</v>
      </c>
      <c r="P84" s="5">
        <f>Orders[[#This Row],[Quantity]]*Orders[[#This Row],[Unit Price]]</f>
        <v>3596</v>
      </c>
      <c r="Q84" s="5">
        <f>Orders[[#This Row],[Gross Sales]]*Orders[[#This Row],[Discount %]]</f>
        <v>359.6</v>
      </c>
      <c r="R84" s="5">
        <f>Orders[[#This Row],[Gross Sales]]-Orders[[#This Row],[Discount Amount]]</f>
        <v>3236.4</v>
      </c>
      <c r="S84">
        <f>IF(Orders[[#This Row],[Actual Delivery Date]]="","",Orders[[#This Row],[Actual Delivery Date]]-Orders[[#This Row],[Order Date]])</f>
        <v>1</v>
      </c>
      <c r="T84" t="str">
        <f>IF(Orders[[#This Row],[Actual Delivery Date]]="","Pending",IF(Orders[[#This Row],[Actual Delivery Date]]&lt;=Orders[[#This Row],[Expected Delivery Date]],"On Time","Late"))</f>
        <v>On Time</v>
      </c>
      <c r="U84" t="str">
        <f>TEXT(Orders[[#This Row],[Order Date]],"mmm")</f>
        <v>Sep</v>
      </c>
      <c r="V84" s="8">
        <f>DATE(YEAR(Orders[[#This Row],[Order Date]]),MONTH(Orders[[#This Row],[Order Date]]),1)</f>
        <v>46266</v>
      </c>
      <c r="W84" s="5">
        <f>IF(Orders[[#This Row],[Order Status]]="Cancelled",Orders[[#This Row],[Net Sales]],0)</f>
        <v>0</v>
      </c>
    </row>
    <row r="85" spans="1:23" x14ac:dyDescent="0.3">
      <c r="A85" t="s">
        <v>299</v>
      </c>
      <c r="B85" s="7">
        <v>46030</v>
      </c>
      <c r="C85" t="s">
        <v>300</v>
      </c>
      <c r="D85" t="s">
        <v>73</v>
      </c>
      <c r="E85" t="s">
        <v>79</v>
      </c>
      <c r="F85" t="s">
        <v>80</v>
      </c>
      <c r="G85" t="s">
        <v>160</v>
      </c>
      <c r="H85" t="s">
        <v>45</v>
      </c>
      <c r="I85">
        <v>1</v>
      </c>
      <c r="J85" s="5">
        <v>1499</v>
      </c>
      <c r="K85" s="2">
        <v>0</v>
      </c>
      <c r="L85" t="s">
        <v>70</v>
      </c>
      <c r="M85" t="s">
        <v>23</v>
      </c>
      <c r="N85" s="1">
        <v>46037</v>
      </c>
      <c r="O85" s="1">
        <v>46033</v>
      </c>
      <c r="P85" s="5">
        <f>Orders[[#This Row],[Quantity]]*Orders[[#This Row],[Unit Price]]</f>
        <v>1499</v>
      </c>
      <c r="Q85" s="5">
        <f>Orders[[#This Row],[Gross Sales]]*Orders[[#This Row],[Discount %]]</f>
        <v>0</v>
      </c>
      <c r="R85" s="5">
        <f>Orders[[#This Row],[Gross Sales]]-Orders[[#This Row],[Discount Amount]]</f>
        <v>1499</v>
      </c>
      <c r="S85">
        <f>IF(Orders[[#This Row],[Actual Delivery Date]]="","",Orders[[#This Row],[Actual Delivery Date]]-Orders[[#This Row],[Order Date]])</f>
        <v>3</v>
      </c>
      <c r="T85" t="str">
        <f>IF(Orders[[#This Row],[Actual Delivery Date]]="","Pending",IF(Orders[[#This Row],[Actual Delivery Date]]&lt;=Orders[[#This Row],[Expected Delivery Date]],"On Time","Late"))</f>
        <v>On Time</v>
      </c>
      <c r="U85" t="str">
        <f>TEXT(Orders[[#This Row],[Order Date]],"mmm")</f>
        <v>Jan</v>
      </c>
      <c r="V85" s="8">
        <f>DATE(YEAR(Orders[[#This Row],[Order Date]]),MONTH(Orders[[#This Row],[Order Date]]),1)</f>
        <v>46023</v>
      </c>
      <c r="W85" s="5">
        <f>IF(Orders[[#This Row],[Order Status]]="Cancelled",Orders[[#This Row],[Net Sales]],0)</f>
        <v>0</v>
      </c>
    </row>
    <row r="86" spans="1:23" x14ac:dyDescent="0.3">
      <c r="A86" t="s">
        <v>301</v>
      </c>
      <c r="B86" s="7">
        <v>46035</v>
      </c>
      <c r="C86" t="s">
        <v>185</v>
      </c>
      <c r="D86" t="s">
        <v>302</v>
      </c>
      <c r="E86" t="s">
        <v>35</v>
      </c>
      <c r="F86" t="s">
        <v>135</v>
      </c>
      <c r="G86" t="s">
        <v>96</v>
      </c>
      <c r="H86" t="s">
        <v>38</v>
      </c>
      <c r="I86">
        <v>2</v>
      </c>
      <c r="J86" s="5">
        <v>1599</v>
      </c>
      <c r="K86" s="2">
        <v>0.2</v>
      </c>
      <c r="L86" t="s">
        <v>46</v>
      </c>
      <c r="M86" t="s">
        <v>47</v>
      </c>
      <c r="N86" s="1">
        <v>46038</v>
      </c>
      <c r="O86" s="1"/>
      <c r="P86" s="5">
        <f>Orders[[#This Row],[Quantity]]*Orders[[#This Row],[Unit Price]]</f>
        <v>3198</v>
      </c>
      <c r="Q86" s="5">
        <f>Orders[[#This Row],[Gross Sales]]*Orders[[#This Row],[Discount %]]</f>
        <v>639.6</v>
      </c>
      <c r="R86" s="5">
        <f>Orders[[#This Row],[Gross Sales]]-Orders[[#This Row],[Discount Amount]]</f>
        <v>2558.4</v>
      </c>
      <c r="S86" t="str">
        <f>IF(Orders[[#This Row],[Actual Delivery Date]]="","",Orders[[#This Row],[Actual Delivery Date]]-Orders[[#This Row],[Order Date]])</f>
        <v/>
      </c>
      <c r="T86" t="str">
        <f>IF(Orders[[#This Row],[Actual Delivery Date]]="","Pending",IF(Orders[[#This Row],[Actual Delivery Date]]&lt;=Orders[[#This Row],[Expected Delivery Date]],"On Time","Late"))</f>
        <v>Pending</v>
      </c>
      <c r="U86" t="str">
        <f>TEXT(Orders[[#This Row],[Order Date]],"mmm")</f>
        <v>Jan</v>
      </c>
      <c r="V86" s="8">
        <f>DATE(YEAR(Orders[[#This Row],[Order Date]]),MONTH(Orders[[#This Row],[Order Date]]),1)</f>
        <v>46023</v>
      </c>
      <c r="W86" s="5">
        <f>IF(Orders[[#This Row],[Order Status]]="Cancelled",Orders[[#This Row],[Net Sales]],0)</f>
        <v>0</v>
      </c>
    </row>
    <row r="87" spans="1:23" x14ac:dyDescent="0.3">
      <c r="A87" t="s">
        <v>303</v>
      </c>
      <c r="B87" s="7">
        <v>46046</v>
      </c>
      <c r="C87" t="s">
        <v>304</v>
      </c>
      <c r="D87" t="s">
        <v>305</v>
      </c>
      <c r="E87" t="s">
        <v>35</v>
      </c>
      <c r="F87" t="s">
        <v>63</v>
      </c>
      <c r="G87" t="s">
        <v>52</v>
      </c>
      <c r="H87" t="s">
        <v>45</v>
      </c>
      <c r="I87">
        <v>4</v>
      </c>
      <c r="J87" s="5">
        <v>1299</v>
      </c>
      <c r="K87" s="2">
        <v>0.1</v>
      </c>
      <c r="L87" t="s">
        <v>70</v>
      </c>
      <c r="M87" t="s">
        <v>23</v>
      </c>
      <c r="N87" s="1">
        <v>46048</v>
      </c>
      <c r="O87" s="1">
        <v>46047</v>
      </c>
      <c r="P87" s="5">
        <f>Orders[[#This Row],[Quantity]]*Orders[[#This Row],[Unit Price]]</f>
        <v>5196</v>
      </c>
      <c r="Q87" s="5">
        <f>Orders[[#This Row],[Gross Sales]]*Orders[[#This Row],[Discount %]]</f>
        <v>519.6</v>
      </c>
      <c r="R87" s="5">
        <f>Orders[[#This Row],[Gross Sales]]-Orders[[#This Row],[Discount Amount]]</f>
        <v>4676.3999999999996</v>
      </c>
      <c r="S87">
        <f>IF(Orders[[#This Row],[Actual Delivery Date]]="","",Orders[[#This Row],[Actual Delivery Date]]-Orders[[#This Row],[Order Date]])</f>
        <v>1</v>
      </c>
      <c r="T87" t="str">
        <f>IF(Orders[[#This Row],[Actual Delivery Date]]="","Pending",IF(Orders[[#This Row],[Actual Delivery Date]]&lt;=Orders[[#This Row],[Expected Delivery Date]],"On Time","Late"))</f>
        <v>On Time</v>
      </c>
      <c r="U87" t="str">
        <f>TEXT(Orders[[#This Row],[Order Date]],"mmm")</f>
        <v>Jan</v>
      </c>
      <c r="V87" s="8">
        <f>DATE(YEAR(Orders[[#This Row],[Order Date]]),MONTH(Orders[[#This Row],[Order Date]]),1)</f>
        <v>46023</v>
      </c>
      <c r="W87" s="5">
        <f>IF(Orders[[#This Row],[Order Status]]="Cancelled",Orders[[#This Row],[Net Sales]],0)</f>
        <v>0</v>
      </c>
    </row>
    <row r="88" spans="1:23" x14ac:dyDescent="0.3">
      <c r="A88" t="s">
        <v>306</v>
      </c>
      <c r="B88" s="7">
        <v>46235</v>
      </c>
      <c r="C88" t="s">
        <v>307</v>
      </c>
      <c r="D88" t="s">
        <v>308</v>
      </c>
      <c r="E88" t="s">
        <v>35</v>
      </c>
      <c r="F88" t="s">
        <v>63</v>
      </c>
      <c r="G88" t="s">
        <v>29</v>
      </c>
      <c r="H88" t="s">
        <v>30</v>
      </c>
      <c r="I88">
        <v>2</v>
      </c>
      <c r="J88" s="5">
        <v>599</v>
      </c>
      <c r="K88" s="2">
        <v>0.15</v>
      </c>
      <c r="L88" t="s">
        <v>22</v>
      </c>
      <c r="M88" t="s">
        <v>23</v>
      </c>
      <c r="N88" s="1">
        <v>46239</v>
      </c>
      <c r="O88" s="1">
        <v>46238</v>
      </c>
      <c r="P88" s="5">
        <f>Orders[[#This Row],[Quantity]]*Orders[[#This Row],[Unit Price]]</f>
        <v>1198</v>
      </c>
      <c r="Q88" s="5">
        <f>Orders[[#This Row],[Gross Sales]]*Orders[[#This Row],[Discount %]]</f>
        <v>179.7</v>
      </c>
      <c r="R88" s="5">
        <f>Orders[[#This Row],[Gross Sales]]-Orders[[#This Row],[Discount Amount]]</f>
        <v>1018.3</v>
      </c>
      <c r="S88">
        <f>IF(Orders[[#This Row],[Actual Delivery Date]]="","",Orders[[#This Row],[Actual Delivery Date]]-Orders[[#This Row],[Order Date]])</f>
        <v>3</v>
      </c>
      <c r="T88" t="str">
        <f>IF(Orders[[#This Row],[Actual Delivery Date]]="","Pending",IF(Orders[[#This Row],[Actual Delivery Date]]&lt;=Orders[[#This Row],[Expected Delivery Date]],"On Time","Late"))</f>
        <v>On Time</v>
      </c>
      <c r="U88" t="str">
        <f>TEXT(Orders[[#This Row],[Order Date]],"mmm")</f>
        <v>Aug</v>
      </c>
      <c r="V88" s="8">
        <f>DATE(YEAR(Orders[[#This Row],[Order Date]]),MONTH(Orders[[#This Row],[Order Date]]),1)</f>
        <v>46235</v>
      </c>
      <c r="W88" s="5">
        <f>IF(Orders[[#This Row],[Order Status]]="Cancelled",Orders[[#This Row],[Net Sales]],0)</f>
        <v>0</v>
      </c>
    </row>
    <row r="89" spans="1:23" x14ac:dyDescent="0.3">
      <c r="A89" t="s">
        <v>309</v>
      </c>
      <c r="B89" s="7">
        <v>46374</v>
      </c>
      <c r="C89" t="s">
        <v>310</v>
      </c>
      <c r="D89" t="s">
        <v>257</v>
      </c>
      <c r="E89" t="s">
        <v>79</v>
      </c>
      <c r="F89" t="s">
        <v>108</v>
      </c>
      <c r="G89" t="s">
        <v>64</v>
      </c>
      <c r="H89" t="s">
        <v>21</v>
      </c>
      <c r="I89">
        <v>1</v>
      </c>
      <c r="J89" s="5">
        <v>699</v>
      </c>
      <c r="K89" s="2">
        <v>0.1</v>
      </c>
      <c r="L89" t="s">
        <v>39</v>
      </c>
      <c r="M89" t="s">
        <v>23</v>
      </c>
      <c r="N89" s="1">
        <v>46378</v>
      </c>
      <c r="O89" s="1">
        <v>46375</v>
      </c>
      <c r="P89" s="5">
        <f>Orders[[#This Row],[Quantity]]*Orders[[#This Row],[Unit Price]]</f>
        <v>699</v>
      </c>
      <c r="Q89" s="5">
        <f>Orders[[#This Row],[Gross Sales]]*Orders[[#This Row],[Discount %]]</f>
        <v>69.900000000000006</v>
      </c>
      <c r="R89" s="5">
        <f>Orders[[#This Row],[Gross Sales]]-Orders[[#This Row],[Discount Amount]]</f>
        <v>629.1</v>
      </c>
      <c r="S89">
        <f>IF(Orders[[#This Row],[Actual Delivery Date]]="","",Orders[[#This Row],[Actual Delivery Date]]-Orders[[#This Row],[Order Date]])</f>
        <v>1</v>
      </c>
      <c r="T89" t="str">
        <f>IF(Orders[[#This Row],[Actual Delivery Date]]="","Pending",IF(Orders[[#This Row],[Actual Delivery Date]]&lt;=Orders[[#This Row],[Expected Delivery Date]],"On Time","Late"))</f>
        <v>On Time</v>
      </c>
      <c r="U89" t="str">
        <f>TEXT(Orders[[#This Row],[Order Date]],"mmm")</f>
        <v>Dec</v>
      </c>
      <c r="V89" s="8">
        <f>DATE(YEAR(Orders[[#This Row],[Order Date]]),MONTH(Orders[[#This Row],[Order Date]]),1)</f>
        <v>46357</v>
      </c>
      <c r="W89" s="5">
        <f>IF(Orders[[#This Row],[Order Status]]="Cancelled",Orders[[#This Row],[Net Sales]],0)</f>
        <v>0</v>
      </c>
    </row>
    <row r="90" spans="1:23" x14ac:dyDescent="0.3">
      <c r="A90" t="s">
        <v>311</v>
      </c>
      <c r="B90" s="7">
        <v>46147</v>
      </c>
      <c r="C90" t="s">
        <v>312</v>
      </c>
      <c r="D90" t="s">
        <v>313</v>
      </c>
      <c r="E90" t="s">
        <v>27</v>
      </c>
      <c r="F90" t="s">
        <v>28</v>
      </c>
      <c r="G90" t="s">
        <v>153</v>
      </c>
      <c r="H90" t="s">
        <v>45</v>
      </c>
      <c r="I90">
        <v>5</v>
      </c>
      <c r="J90" s="5">
        <v>1999</v>
      </c>
      <c r="K90" s="2">
        <v>0.2</v>
      </c>
      <c r="L90" t="s">
        <v>31</v>
      </c>
      <c r="M90" t="s">
        <v>23</v>
      </c>
      <c r="N90" s="1">
        <v>46153</v>
      </c>
      <c r="O90" s="1">
        <v>46149</v>
      </c>
      <c r="P90" s="5">
        <f>Orders[[#This Row],[Quantity]]*Orders[[#This Row],[Unit Price]]</f>
        <v>9995</v>
      </c>
      <c r="Q90" s="5">
        <f>Orders[[#This Row],[Gross Sales]]*Orders[[#This Row],[Discount %]]</f>
        <v>1999</v>
      </c>
      <c r="R90" s="5">
        <f>Orders[[#This Row],[Gross Sales]]-Orders[[#This Row],[Discount Amount]]</f>
        <v>7996</v>
      </c>
      <c r="S90">
        <f>IF(Orders[[#This Row],[Actual Delivery Date]]="","",Orders[[#This Row],[Actual Delivery Date]]-Orders[[#This Row],[Order Date]])</f>
        <v>2</v>
      </c>
      <c r="T90" t="str">
        <f>IF(Orders[[#This Row],[Actual Delivery Date]]="","Pending",IF(Orders[[#This Row],[Actual Delivery Date]]&lt;=Orders[[#This Row],[Expected Delivery Date]],"On Time","Late"))</f>
        <v>On Time</v>
      </c>
      <c r="U90" t="str">
        <f>TEXT(Orders[[#This Row],[Order Date]],"mmm")</f>
        <v>May</v>
      </c>
      <c r="V90" s="8">
        <f>DATE(YEAR(Orders[[#This Row],[Order Date]]),MONTH(Orders[[#This Row],[Order Date]]),1)</f>
        <v>46143</v>
      </c>
      <c r="W90" s="5">
        <f>IF(Orders[[#This Row],[Order Status]]="Cancelled",Orders[[#This Row],[Net Sales]],0)</f>
        <v>0</v>
      </c>
    </row>
    <row r="91" spans="1:23" x14ac:dyDescent="0.3">
      <c r="A91" t="s">
        <v>314</v>
      </c>
      <c r="B91" s="7">
        <v>46089</v>
      </c>
      <c r="C91" t="s">
        <v>315</v>
      </c>
      <c r="D91" t="s">
        <v>214</v>
      </c>
      <c r="E91" t="s">
        <v>27</v>
      </c>
      <c r="F91" t="s">
        <v>28</v>
      </c>
      <c r="G91" t="s">
        <v>20</v>
      </c>
      <c r="H91" t="s">
        <v>21</v>
      </c>
      <c r="I91">
        <v>2</v>
      </c>
      <c r="J91" s="5">
        <v>1799</v>
      </c>
      <c r="K91" s="2">
        <v>0.05</v>
      </c>
      <c r="L91" t="s">
        <v>39</v>
      </c>
      <c r="M91" t="s">
        <v>59</v>
      </c>
      <c r="N91" s="1">
        <v>46091</v>
      </c>
      <c r="O91" s="1">
        <v>46091</v>
      </c>
      <c r="P91" s="5">
        <f>Orders[[#This Row],[Quantity]]*Orders[[#This Row],[Unit Price]]</f>
        <v>3598</v>
      </c>
      <c r="Q91" s="5">
        <f>Orders[[#This Row],[Gross Sales]]*Orders[[#This Row],[Discount %]]</f>
        <v>179.9</v>
      </c>
      <c r="R91" s="5">
        <f>Orders[[#This Row],[Gross Sales]]-Orders[[#This Row],[Discount Amount]]</f>
        <v>3418.1</v>
      </c>
      <c r="S91">
        <f>IF(Orders[[#This Row],[Actual Delivery Date]]="","",Orders[[#This Row],[Actual Delivery Date]]-Orders[[#This Row],[Order Date]])</f>
        <v>2</v>
      </c>
      <c r="T91" t="str">
        <f>IF(Orders[[#This Row],[Actual Delivery Date]]="","Pending",IF(Orders[[#This Row],[Actual Delivery Date]]&lt;=Orders[[#This Row],[Expected Delivery Date]],"On Time","Late"))</f>
        <v>On Time</v>
      </c>
      <c r="U91" t="str">
        <f>TEXT(Orders[[#This Row],[Order Date]],"mmm")</f>
        <v>Mar</v>
      </c>
      <c r="V91" s="8">
        <f>DATE(YEAR(Orders[[#This Row],[Order Date]]),MONTH(Orders[[#This Row],[Order Date]]),1)</f>
        <v>46082</v>
      </c>
      <c r="W91" s="5">
        <f>IF(Orders[[#This Row],[Order Status]]="Cancelled",Orders[[#This Row],[Net Sales]],0)</f>
        <v>3418.1</v>
      </c>
    </row>
    <row r="92" spans="1:23" x14ac:dyDescent="0.3">
      <c r="A92" t="s">
        <v>316</v>
      </c>
      <c r="B92" s="7">
        <v>46087</v>
      </c>
      <c r="C92" t="s">
        <v>317</v>
      </c>
      <c r="D92" t="s">
        <v>318</v>
      </c>
      <c r="E92" t="s">
        <v>18</v>
      </c>
      <c r="F92" t="s">
        <v>95</v>
      </c>
      <c r="G92" t="s">
        <v>64</v>
      </c>
      <c r="H92" t="s">
        <v>21</v>
      </c>
      <c r="I92">
        <v>2</v>
      </c>
      <c r="J92" s="5">
        <v>699</v>
      </c>
      <c r="K92" s="2">
        <v>0.2</v>
      </c>
      <c r="L92" t="s">
        <v>39</v>
      </c>
      <c r="M92" t="s">
        <v>59</v>
      </c>
      <c r="N92" s="1">
        <v>46089</v>
      </c>
      <c r="O92" s="1">
        <v>46089</v>
      </c>
      <c r="P92" s="5">
        <f>Orders[[#This Row],[Quantity]]*Orders[[#This Row],[Unit Price]]</f>
        <v>1398</v>
      </c>
      <c r="Q92" s="5">
        <f>Orders[[#This Row],[Gross Sales]]*Orders[[#This Row],[Discount %]]</f>
        <v>279.60000000000002</v>
      </c>
      <c r="R92" s="5">
        <f>Orders[[#This Row],[Gross Sales]]-Orders[[#This Row],[Discount Amount]]</f>
        <v>1118.4000000000001</v>
      </c>
      <c r="S92">
        <f>IF(Orders[[#This Row],[Actual Delivery Date]]="","",Orders[[#This Row],[Actual Delivery Date]]-Orders[[#This Row],[Order Date]])</f>
        <v>2</v>
      </c>
      <c r="T92" t="str">
        <f>IF(Orders[[#This Row],[Actual Delivery Date]]="","Pending",IF(Orders[[#This Row],[Actual Delivery Date]]&lt;=Orders[[#This Row],[Expected Delivery Date]],"On Time","Late"))</f>
        <v>On Time</v>
      </c>
      <c r="U92" t="str">
        <f>TEXT(Orders[[#This Row],[Order Date]],"mmm")</f>
        <v>Mar</v>
      </c>
      <c r="V92" s="8">
        <f>DATE(YEAR(Orders[[#This Row],[Order Date]]),MONTH(Orders[[#This Row],[Order Date]]),1)</f>
        <v>46082</v>
      </c>
      <c r="W92" s="5">
        <f>IF(Orders[[#This Row],[Order Status]]="Cancelled",Orders[[#This Row],[Net Sales]],0)</f>
        <v>1118.4000000000001</v>
      </c>
    </row>
    <row r="93" spans="1:23" x14ac:dyDescent="0.3">
      <c r="A93" t="s">
        <v>319</v>
      </c>
      <c r="B93" s="7">
        <v>46360</v>
      </c>
      <c r="C93" t="s">
        <v>320</v>
      </c>
      <c r="D93" t="s">
        <v>321</v>
      </c>
      <c r="E93" t="s">
        <v>79</v>
      </c>
      <c r="F93" t="s">
        <v>108</v>
      </c>
      <c r="G93" t="s">
        <v>81</v>
      </c>
      <c r="H93" t="s">
        <v>30</v>
      </c>
      <c r="I93">
        <v>2</v>
      </c>
      <c r="J93" s="5">
        <v>899</v>
      </c>
      <c r="K93" s="2">
        <v>0.15</v>
      </c>
      <c r="L93" t="s">
        <v>39</v>
      </c>
      <c r="M93" t="s">
        <v>23</v>
      </c>
      <c r="N93" s="1">
        <v>46365</v>
      </c>
      <c r="O93" s="1">
        <v>46364</v>
      </c>
      <c r="P93" s="5">
        <f>Orders[[#This Row],[Quantity]]*Orders[[#This Row],[Unit Price]]</f>
        <v>1798</v>
      </c>
      <c r="Q93" s="5">
        <f>Orders[[#This Row],[Gross Sales]]*Orders[[#This Row],[Discount %]]</f>
        <v>269.7</v>
      </c>
      <c r="R93" s="5">
        <f>Orders[[#This Row],[Gross Sales]]-Orders[[#This Row],[Discount Amount]]</f>
        <v>1528.3</v>
      </c>
      <c r="S93">
        <f>IF(Orders[[#This Row],[Actual Delivery Date]]="","",Orders[[#This Row],[Actual Delivery Date]]-Orders[[#This Row],[Order Date]])</f>
        <v>4</v>
      </c>
      <c r="T93" t="str">
        <f>IF(Orders[[#This Row],[Actual Delivery Date]]="","Pending",IF(Orders[[#This Row],[Actual Delivery Date]]&lt;=Orders[[#This Row],[Expected Delivery Date]],"On Time","Late"))</f>
        <v>On Time</v>
      </c>
      <c r="U93" t="str">
        <f>TEXT(Orders[[#This Row],[Order Date]],"mmm")</f>
        <v>Dec</v>
      </c>
      <c r="V93" s="8">
        <f>DATE(YEAR(Orders[[#This Row],[Order Date]]),MONTH(Orders[[#This Row],[Order Date]]),1)</f>
        <v>46357</v>
      </c>
      <c r="W93" s="5">
        <f>IF(Orders[[#This Row],[Order Status]]="Cancelled",Orders[[#This Row],[Net Sales]],0)</f>
        <v>0</v>
      </c>
    </row>
    <row r="94" spans="1:23" x14ac:dyDescent="0.3">
      <c r="A94" t="s">
        <v>322</v>
      </c>
      <c r="B94" s="7">
        <v>46334</v>
      </c>
      <c r="C94" t="s">
        <v>300</v>
      </c>
      <c r="D94" t="s">
        <v>179</v>
      </c>
      <c r="E94" t="s">
        <v>79</v>
      </c>
      <c r="F94" t="s">
        <v>86</v>
      </c>
      <c r="G94" t="s">
        <v>153</v>
      </c>
      <c r="H94" t="s">
        <v>45</v>
      </c>
      <c r="I94">
        <v>1</v>
      </c>
      <c r="J94" s="5">
        <v>1999</v>
      </c>
      <c r="K94" s="2">
        <v>0.05</v>
      </c>
      <c r="L94" t="s">
        <v>46</v>
      </c>
      <c r="M94" t="s">
        <v>47</v>
      </c>
      <c r="N94" s="1">
        <v>46341</v>
      </c>
      <c r="O94" s="1"/>
      <c r="P94" s="5">
        <f>Orders[[#This Row],[Quantity]]*Orders[[#This Row],[Unit Price]]</f>
        <v>1999</v>
      </c>
      <c r="Q94" s="5">
        <f>Orders[[#This Row],[Gross Sales]]*Orders[[#This Row],[Discount %]]</f>
        <v>99.95</v>
      </c>
      <c r="R94" s="5">
        <f>Orders[[#This Row],[Gross Sales]]-Orders[[#This Row],[Discount Amount]]</f>
        <v>1899.05</v>
      </c>
      <c r="S94" t="str">
        <f>IF(Orders[[#This Row],[Actual Delivery Date]]="","",Orders[[#This Row],[Actual Delivery Date]]-Orders[[#This Row],[Order Date]])</f>
        <v/>
      </c>
      <c r="T94" t="str">
        <f>IF(Orders[[#This Row],[Actual Delivery Date]]="","Pending",IF(Orders[[#This Row],[Actual Delivery Date]]&lt;=Orders[[#This Row],[Expected Delivery Date]],"On Time","Late"))</f>
        <v>Pending</v>
      </c>
      <c r="U94" t="str">
        <f>TEXT(Orders[[#This Row],[Order Date]],"mmm")</f>
        <v>Nov</v>
      </c>
      <c r="V94" s="8">
        <f>DATE(YEAR(Orders[[#This Row],[Order Date]]),MONTH(Orders[[#This Row],[Order Date]]),1)</f>
        <v>46327</v>
      </c>
      <c r="W94" s="5">
        <f>IF(Orders[[#This Row],[Order Status]]="Cancelled",Orders[[#This Row],[Net Sales]],0)</f>
        <v>0</v>
      </c>
    </row>
    <row r="95" spans="1:23" x14ac:dyDescent="0.3">
      <c r="A95" t="s">
        <v>323</v>
      </c>
      <c r="B95" s="7">
        <v>46173</v>
      </c>
      <c r="C95" t="s">
        <v>324</v>
      </c>
      <c r="D95" t="s">
        <v>325</v>
      </c>
      <c r="E95" t="s">
        <v>35</v>
      </c>
      <c r="F95" t="s">
        <v>63</v>
      </c>
      <c r="G95" t="s">
        <v>206</v>
      </c>
      <c r="H95" t="s">
        <v>30</v>
      </c>
      <c r="I95">
        <v>2</v>
      </c>
      <c r="J95" s="5">
        <v>1199</v>
      </c>
      <c r="K95" s="2">
        <v>0.2</v>
      </c>
      <c r="L95" t="s">
        <v>70</v>
      </c>
      <c r="M95" t="s">
        <v>23</v>
      </c>
      <c r="N95" s="1">
        <v>46180</v>
      </c>
      <c r="O95" s="1">
        <v>46179</v>
      </c>
      <c r="P95" s="5">
        <f>Orders[[#This Row],[Quantity]]*Orders[[#This Row],[Unit Price]]</f>
        <v>2398</v>
      </c>
      <c r="Q95" s="5">
        <f>Orders[[#This Row],[Gross Sales]]*Orders[[#This Row],[Discount %]]</f>
        <v>479.6</v>
      </c>
      <c r="R95" s="5">
        <f>Orders[[#This Row],[Gross Sales]]-Orders[[#This Row],[Discount Amount]]</f>
        <v>1918.4</v>
      </c>
      <c r="S95">
        <f>IF(Orders[[#This Row],[Actual Delivery Date]]="","",Orders[[#This Row],[Actual Delivery Date]]-Orders[[#This Row],[Order Date]])</f>
        <v>6</v>
      </c>
      <c r="T95" t="str">
        <f>IF(Orders[[#This Row],[Actual Delivery Date]]="","Pending",IF(Orders[[#This Row],[Actual Delivery Date]]&lt;=Orders[[#This Row],[Expected Delivery Date]],"On Time","Late"))</f>
        <v>On Time</v>
      </c>
      <c r="U95" t="str">
        <f>TEXT(Orders[[#This Row],[Order Date]],"mmm")</f>
        <v>May</v>
      </c>
      <c r="V95" s="8">
        <f>DATE(YEAR(Orders[[#This Row],[Order Date]]),MONTH(Orders[[#This Row],[Order Date]]),1)</f>
        <v>46143</v>
      </c>
      <c r="W95" s="5">
        <f>IF(Orders[[#This Row],[Order Status]]="Cancelled",Orders[[#This Row],[Net Sales]],0)</f>
        <v>0</v>
      </c>
    </row>
    <row r="96" spans="1:23" x14ac:dyDescent="0.3">
      <c r="A96" t="s">
        <v>326</v>
      </c>
      <c r="B96" s="7">
        <v>46196</v>
      </c>
      <c r="C96" t="s">
        <v>327</v>
      </c>
      <c r="D96" t="s">
        <v>85</v>
      </c>
      <c r="E96" t="s">
        <v>79</v>
      </c>
      <c r="F96" t="s">
        <v>170</v>
      </c>
      <c r="G96" t="s">
        <v>96</v>
      </c>
      <c r="H96" t="s">
        <v>38</v>
      </c>
      <c r="I96">
        <v>3</v>
      </c>
      <c r="J96" s="5">
        <v>1599</v>
      </c>
      <c r="K96" s="2">
        <v>0.15</v>
      </c>
      <c r="L96" t="s">
        <v>70</v>
      </c>
      <c r="M96" t="s">
        <v>59</v>
      </c>
      <c r="N96" s="1">
        <v>46198</v>
      </c>
      <c r="O96" s="1">
        <v>46198</v>
      </c>
      <c r="P96" s="5">
        <f>Orders[[#This Row],[Quantity]]*Orders[[#This Row],[Unit Price]]</f>
        <v>4797</v>
      </c>
      <c r="Q96" s="5">
        <f>Orders[[#This Row],[Gross Sales]]*Orders[[#This Row],[Discount %]]</f>
        <v>719.55</v>
      </c>
      <c r="R96" s="5">
        <f>Orders[[#This Row],[Gross Sales]]-Orders[[#This Row],[Discount Amount]]</f>
        <v>4077.45</v>
      </c>
      <c r="S96">
        <f>IF(Orders[[#This Row],[Actual Delivery Date]]="","",Orders[[#This Row],[Actual Delivery Date]]-Orders[[#This Row],[Order Date]])</f>
        <v>2</v>
      </c>
      <c r="T96" t="str">
        <f>IF(Orders[[#This Row],[Actual Delivery Date]]="","Pending",IF(Orders[[#This Row],[Actual Delivery Date]]&lt;=Orders[[#This Row],[Expected Delivery Date]],"On Time","Late"))</f>
        <v>On Time</v>
      </c>
      <c r="U96" t="str">
        <f>TEXT(Orders[[#This Row],[Order Date]],"mmm")</f>
        <v>Jun</v>
      </c>
      <c r="V96" s="8">
        <f>DATE(YEAR(Orders[[#This Row],[Order Date]]),MONTH(Orders[[#This Row],[Order Date]]),1)</f>
        <v>46174</v>
      </c>
      <c r="W96" s="5">
        <f>IF(Orders[[#This Row],[Order Status]]="Cancelled",Orders[[#This Row],[Net Sales]],0)</f>
        <v>4077.45</v>
      </c>
    </row>
    <row r="97" spans="1:23" x14ac:dyDescent="0.3">
      <c r="A97" t="s">
        <v>328</v>
      </c>
      <c r="B97" s="7">
        <v>46066</v>
      </c>
      <c r="C97" t="s">
        <v>329</v>
      </c>
      <c r="D97" t="s">
        <v>330</v>
      </c>
      <c r="E97" t="s">
        <v>27</v>
      </c>
      <c r="F97" t="s">
        <v>74</v>
      </c>
      <c r="G97" t="s">
        <v>75</v>
      </c>
      <c r="H97" t="s">
        <v>45</v>
      </c>
      <c r="I97">
        <v>1</v>
      </c>
      <c r="J97" s="5">
        <v>799</v>
      </c>
      <c r="K97" s="2">
        <v>0</v>
      </c>
      <c r="L97" t="s">
        <v>46</v>
      </c>
      <c r="M97" t="s">
        <v>82</v>
      </c>
      <c r="N97" s="1">
        <v>46069</v>
      </c>
      <c r="O97" s="1">
        <v>46069</v>
      </c>
      <c r="P97" s="5">
        <f>Orders[[#This Row],[Quantity]]*Orders[[#This Row],[Unit Price]]</f>
        <v>799</v>
      </c>
      <c r="Q97" s="5">
        <f>Orders[[#This Row],[Gross Sales]]*Orders[[#This Row],[Discount %]]</f>
        <v>0</v>
      </c>
      <c r="R97" s="5">
        <f>Orders[[#This Row],[Gross Sales]]-Orders[[#This Row],[Discount Amount]]</f>
        <v>799</v>
      </c>
      <c r="S97">
        <f>IF(Orders[[#This Row],[Actual Delivery Date]]="","",Orders[[#This Row],[Actual Delivery Date]]-Orders[[#This Row],[Order Date]])</f>
        <v>3</v>
      </c>
      <c r="T97" t="str">
        <f>IF(Orders[[#This Row],[Actual Delivery Date]]="","Pending",IF(Orders[[#This Row],[Actual Delivery Date]]&lt;=Orders[[#This Row],[Expected Delivery Date]],"On Time","Late"))</f>
        <v>On Time</v>
      </c>
      <c r="U97" t="str">
        <f>TEXT(Orders[[#This Row],[Order Date]],"mmm")</f>
        <v>Feb</v>
      </c>
      <c r="V97" s="8">
        <f>DATE(YEAR(Orders[[#This Row],[Order Date]]),MONTH(Orders[[#This Row],[Order Date]]),1)</f>
        <v>46054</v>
      </c>
      <c r="W97" s="5">
        <f>IF(Orders[[#This Row],[Order Status]]="Cancelled",Orders[[#This Row],[Net Sales]],0)</f>
        <v>0</v>
      </c>
    </row>
    <row r="98" spans="1:23" x14ac:dyDescent="0.3">
      <c r="A98" t="s">
        <v>331</v>
      </c>
      <c r="B98" s="7">
        <v>46363</v>
      </c>
      <c r="C98" t="s">
        <v>332</v>
      </c>
      <c r="D98" t="s">
        <v>333</v>
      </c>
      <c r="E98" t="s">
        <v>35</v>
      </c>
      <c r="F98" t="s">
        <v>135</v>
      </c>
      <c r="G98" t="s">
        <v>118</v>
      </c>
      <c r="H98" t="s">
        <v>58</v>
      </c>
      <c r="I98">
        <v>4</v>
      </c>
      <c r="J98" s="5">
        <v>749</v>
      </c>
      <c r="K98" s="2">
        <v>0.15</v>
      </c>
      <c r="L98" t="s">
        <v>39</v>
      </c>
      <c r="M98" t="s">
        <v>23</v>
      </c>
      <c r="N98" s="1">
        <v>46369</v>
      </c>
      <c r="O98" s="1">
        <v>46364</v>
      </c>
      <c r="P98" s="5">
        <f>Orders[[#This Row],[Quantity]]*Orders[[#This Row],[Unit Price]]</f>
        <v>2996</v>
      </c>
      <c r="Q98" s="5">
        <f>Orders[[#This Row],[Gross Sales]]*Orders[[#This Row],[Discount %]]</f>
        <v>449.4</v>
      </c>
      <c r="R98" s="5">
        <f>Orders[[#This Row],[Gross Sales]]-Orders[[#This Row],[Discount Amount]]</f>
        <v>2546.6</v>
      </c>
      <c r="S98">
        <f>IF(Orders[[#This Row],[Actual Delivery Date]]="","",Orders[[#This Row],[Actual Delivery Date]]-Orders[[#This Row],[Order Date]])</f>
        <v>1</v>
      </c>
      <c r="T98" t="str">
        <f>IF(Orders[[#This Row],[Actual Delivery Date]]="","Pending",IF(Orders[[#This Row],[Actual Delivery Date]]&lt;=Orders[[#This Row],[Expected Delivery Date]],"On Time","Late"))</f>
        <v>On Time</v>
      </c>
      <c r="U98" t="str">
        <f>TEXT(Orders[[#This Row],[Order Date]],"mmm")</f>
        <v>Dec</v>
      </c>
      <c r="V98" s="8">
        <f>DATE(YEAR(Orders[[#This Row],[Order Date]]),MONTH(Orders[[#This Row],[Order Date]]),1)</f>
        <v>46357</v>
      </c>
      <c r="W98" s="5">
        <f>IF(Orders[[#This Row],[Order Status]]="Cancelled",Orders[[#This Row],[Net Sales]],0)</f>
        <v>0</v>
      </c>
    </row>
    <row r="99" spans="1:23" x14ac:dyDescent="0.3">
      <c r="A99" t="s">
        <v>334</v>
      </c>
      <c r="B99" s="7">
        <v>46078</v>
      </c>
      <c r="C99" t="s">
        <v>329</v>
      </c>
      <c r="D99" t="s">
        <v>335</v>
      </c>
      <c r="E99" t="s">
        <v>27</v>
      </c>
      <c r="F99" t="s">
        <v>56</v>
      </c>
      <c r="G99" t="s">
        <v>180</v>
      </c>
      <c r="H99" t="s">
        <v>58</v>
      </c>
      <c r="I99">
        <v>1</v>
      </c>
      <c r="J99" s="5">
        <v>599</v>
      </c>
      <c r="K99" s="2">
        <v>0.2</v>
      </c>
      <c r="L99" t="s">
        <v>46</v>
      </c>
      <c r="M99" t="s">
        <v>23</v>
      </c>
      <c r="N99" s="1">
        <v>46082</v>
      </c>
      <c r="O99" s="1">
        <v>46082</v>
      </c>
      <c r="P99" s="5">
        <f>Orders[[#This Row],[Quantity]]*Orders[[#This Row],[Unit Price]]</f>
        <v>599</v>
      </c>
      <c r="Q99" s="5">
        <f>Orders[[#This Row],[Gross Sales]]*Orders[[#This Row],[Discount %]]</f>
        <v>119.80000000000001</v>
      </c>
      <c r="R99" s="5">
        <f>Orders[[#This Row],[Gross Sales]]-Orders[[#This Row],[Discount Amount]]</f>
        <v>479.2</v>
      </c>
      <c r="S99">
        <f>IF(Orders[[#This Row],[Actual Delivery Date]]="","",Orders[[#This Row],[Actual Delivery Date]]-Orders[[#This Row],[Order Date]])</f>
        <v>4</v>
      </c>
      <c r="T99" t="str">
        <f>IF(Orders[[#This Row],[Actual Delivery Date]]="","Pending",IF(Orders[[#This Row],[Actual Delivery Date]]&lt;=Orders[[#This Row],[Expected Delivery Date]],"On Time","Late"))</f>
        <v>On Time</v>
      </c>
      <c r="U99" t="str">
        <f>TEXT(Orders[[#This Row],[Order Date]],"mmm")</f>
        <v>Feb</v>
      </c>
      <c r="V99" s="8">
        <f>DATE(YEAR(Orders[[#This Row],[Order Date]]),MONTH(Orders[[#This Row],[Order Date]]),1)</f>
        <v>46054</v>
      </c>
      <c r="W99" s="5">
        <f>IF(Orders[[#This Row],[Order Status]]="Cancelled",Orders[[#This Row],[Net Sales]],0)</f>
        <v>0</v>
      </c>
    </row>
    <row r="100" spans="1:23" x14ac:dyDescent="0.3">
      <c r="A100" t="s">
        <v>336</v>
      </c>
      <c r="B100" s="7">
        <v>46162</v>
      </c>
      <c r="C100" t="s">
        <v>208</v>
      </c>
      <c r="D100" t="s">
        <v>337</v>
      </c>
      <c r="E100" t="s">
        <v>18</v>
      </c>
      <c r="F100" t="s">
        <v>121</v>
      </c>
      <c r="G100" t="s">
        <v>52</v>
      </c>
      <c r="H100" t="s">
        <v>45</v>
      </c>
      <c r="I100">
        <v>2</v>
      </c>
      <c r="J100" s="5">
        <v>1299</v>
      </c>
      <c r="K100" s="2">
        <v>0.1</v>
      </c>
      <c r="L100" t="s">
        <v>46</v>
      </c>
      <c r="M100" t="s">
        <v>23</v>
      </c>
      <c r="N100" s="1">
        <v>46164</v>
      </c>
      <c r="O100" s="1">
        <v>46163</v>
      </c>
      <c r="P100" s="5">
        <f>Orders[[#This Row],[Quantity]]*Orders[[#This Row],[Unit Price]]</f>
        <v>2598</v>
      </c>
      <c r="Q100" s="5">
        <f>Orders[[#This Row],[Gross Sales]]*Orders[[#This Row],[Discount %]]</f>
        <v>259.8</v>
      </c>
      <c r="R100" s="5">
        <f>Orders[[#This Row],[Gross Sales]]-Orders[[#This Row],[Discount Amount]]</f>
        <v>2338.1999999999998</v>
      </c>
      <c r="S100">
        <f>IF(Orders[[#This Row],[Actual Delivery Date]]="","",Orders[[#This Row],[Actual Delivery Date]]-Orders[[#This Row],[Order Date]])</f>
        <v>1</v>
      </c>
      <c r="T100" t="str">
        <f>IF(Orders[[#This Row],[Actual Delivery Date]]="","Pending",IF(Orders[[#This Row],[Actual Delivery Date]]&lt;=Orders[[#This Row],[Expected Delivery Date]],"On Time","Late"))</f>
        <v>On Time</v>
      </c>
      <c r="U100" t="str">
        <f>TEXT(Orders[[#This Row],[Order Date]],"mmm")</f>
        <v>May</v>
      </c>
      <c r="V100" s="8">
        <f>DATE(YEAR(Orders[[#This Row],[Order Date]]),MONTH(Orders[[#This Row],[Order Date]]),1)</f>
        <v>46143</v>
      </c>
      <c r="W100" s="5">
        <f>IF(Orders[[#This Row],[Order Status]]="Cancelled",Orders[[#This Row],[Net Sales]],0)</f>
        <v>0</v>
      </c>
    </row>
    <row r="101" spans="1:23" x14ac:dyDescent="0.3">
      <c r="A101" t="s">
        <v>338</v>
      </c>
      <c r="B101" s="7">
        <v>46294</v>
      </c>
      <c r="C101" t="s">
        <v>216</v>
      </c>
      <c r="D101" t="s">
        <v>339</v>
      </c>
      <c r="E101" t="s">
        <v>18</v>
      </c>
      <c r="F101" t="s">
        <v>95</v>
      </c>
      <c r="G101" t="s">
        <v>75</v>
      </c>
      <c r="H101" t="s">
        <v>45</v>
      </c>
      <c r="I101">
        <v>1</v>
      </c>
      <c r="J101" s="5">
        <v>799</v>
      </c>
      <c r="K101" s="2">
        <v>0.15</v>
      </c>
      <c r="L101" t="s">
        <v>70</v>
      </c>
      <c r="M101" t="s">
        <v>23</v>
      </c>
      <c r="N101" s="1">
        <v>46297</v>
      </c>
      <c r="O101" s="1">
        <v>46297</v>
      </c>
      <c r="P101" s="5">
        <f>Orders[[#This Row],[Quantity]]*Orders[[#This Row],[Unit Price]]</f>
        <v>799</v>
      </c>
      <c r="Q101" s="5">
        <f>Orders[[#This Row],[Gross Sales]]*Orders[[#This Row],[Discount %]]</f>
        <v>119.85</v>
      </c>
      <c r="R101" s="5">
        <f>Orders[[#This Row],[Gross Sales]]-Orders[[#This Row],[Discount Amount]]</f>
        <v>679.15</v>
      </c>
      <c r="S101">
        <f>IF(Orders[[#This Row],[Actual Delivery Date]]="","",Orders[[#This Row],[Actual Delivery Date]]-Orders[[#This Row],[Order Date]])</f>
        <v>3</v>
      </c>
      <c r="T101" t="str">
        <f>IF(Orders[[#This Row],[Actual Delivery Date]]="","Pending",IF(Orders[[#This Row],[Actual Delivery Date]]&lt;=Orders[[#This Row],[Expected Delivery Date]],"On Time","Late"))</f>
        <v>On Time</v>
      </c>
      <c r="U101" t="str">
        <f>TEXT(Orders[[#This Row],[Order Date]],"mmm")</f>
        <v>Sep</v>
      </c>
      <c r="V101" s="8">
        <f>DATE(YEAR(Orders[[#This Row],[Order Date]]),MONTH(Orders[[#This Row],[Order Date]]),1)</f>
        <v>46266</v>
      </c>
      <c r="W101" s="5">
        <f>IF(Orders[[#This Row],[Order Status]]="Cancelled",Orders[[#This Row],[Net Sales]],0)</f>
        <v>0</v>
      </c>
    </row>
    <row r="102" spans="1:23" x14ac:dyDescent="0.3">
      <c r="A102" t="s">
        <v>340</v>
      </c>
      <c r="B102" s="7">
        <v>46339</v>
      </c>
      <c r="C102" t="s">
        <v>341</v>
      </c>
      <c r="D102" t="s">
        <v>173</v>
      </c>
      <c r="E102" t="s">
        <v>18</v>
      </c>
      <c r="F102" t="s">
        <v>19</v>
      </c>
      <c r="G102" t="s">
        <v>37</v>
      </c>
      <c r="H102" t="s">
        <v>38</v>
      </c>
      <c r="I102">
        <v>1</v>
      </c>
      <c r="J102" s="5">
        <v>699</v>
      </c>
      <c r="K102" s="2">
        <v>0</v>
      </c>
      <c r="L102" t="s">
        <v>46</v>
      </c>
      <c r="M102" t="s">
        <v>23</v>
      </c>
      <c r="N102" s="1">
        <v>46346</v>
      </c>
      <c r="O102" s="1">
        <v>46344</v>
      </c>
      <c r="P102" s="5">
        <f>Orders[[#This Row],[Quantity]]*Orders[[#This Row],[Unit Price]]</f>
        <v>699</v>
      </c>
      <c r="Q102" s="5">
        <f>Orders[[#This Row],[Gross Sales]]*Orders[[#This Row],[Discount %]]</f>
        <v>0</v>
      </c>
      <c r="R102" s="5">
        <f>Orders[[#This Row],[Gross Sales]]-Orders[[#This Row],[Discount Amount]]</f>
        <v>699</v>
      </c>
      <c r="S102">
        <f>IF(Orders[[#This Row],[Actual Delivery Date]]="","",Orders[[#This Row],[Actual Delivery Date]]-Orders[[#This Row],[Order Date]])</f>
        <v>5</v>
      </c>
      <c r="T102" t="str">
        <f>IF(Orders[[#This Row],[Actual Delivery Date]]="","Pending",IF(Orders[[#This Row],[Actual Delivery Date]]&lt;=Orders[[#This Row],[Expected Delivery Date]],"On Time","Late"))</f>
        <v>On Time</v>
      </c>
      <c r="U102" t="str">
        <f>TEXT(Orders[[#This Row],[Order Date]],"mmm")</f>
        <v>Nov</v>
      </c>
      <c r="V102" s="8">
        <f>DATE(YEAR(Orders[[#This Row],[Order Date]]),MONTH(Orders[[#This Row],[Order Date]]),1)</f>
        <v>46327</v>
      </c>
      <c r="W102" s="5">
        <f>IF(Orders[[#This Row],[Order Status]]="Cancelled",Orders[[#This Row],[Net Sales]],0)</f>
        <v>0</v>
      </c>
    </row>
    <row r="103" spans="1:23" x14ac:dyDescent="0.3">
      <c r="A103" t="s">
        <v>342</v>
      </c>
      <c r="B103" s="7">
        <v>46199</v>
      </c>
      <c r="C103" t="s">
        <v>98</v>
      </c>
      <c r="D103" t="s">
        <v>343</v>
      </c>
      <c r="E103" t="s">
        <v>35</v>
      </c>
      <c r="F103" t="s">
        <v>68</v>
      </c>
      <c r="G103" t="s">
        <v>81</v>
      </c>
      <c r="H103" t="s">
        <v>30</v>
      </c>
      <c r="I103">
        <v>1</v>
      </c>
      <c r="J103" s="5">
        <v>899</v>
      </c>
      <c r="K103" s="2">
        <v>0.1</v>
      </c>
      <c r="L103" t="s">
        <v>22</v>
      </c>
      <c r="M103" t="s">
        <v>23</v>
      </c>
      <c r="N103" s="1">
        <v>46205</v>
      </c>
      <c r="O103" s="1">
        <v>46200</v>
      </c>
      <c r="P103" s="5">
        <f>Orders[[#This Row],[Quantity]]*Orders[[#This Row],[Unit Price]]</f>
        <v>899</v>
      </c>
      <c r="Q103" s="5">
        <f>Orders[[#This Row],[Gross Sales]]*Orders[[#This Row],[Discount %]]</f>
        <v>89.9</v>
      </c>
      <c r="R103" s="5">
        <f>Orders[[#This Row],[Gross Sales]]-Orders[[#This Row],[Discount Amount]]</f>
        <v>809.1</v>
      </c>
      <c r="S103">
        <f>IF(Orders[[#This Row],[Actual Delivery Date]]="","",Orders[[#This Row],[Actual Delivery Date]]-Orders[[#This Row],[Order Date]])</f>
        <v>1</v>
      </c>
      <c r="T103" t="str">
        <f>IF(Orders[[#This Row],[Actual Delivery Date]]="","Pending",IF(Orders[[#This Row],[Actual Delivery Date]]&lt;=Orders[[#This Row],[Expected Delivery Date]],"On Time","Late"))</f>
        <v>On Time</v>
      </c>
      <c r="U103" t="str">
        <f>TEXT(Orders[[#This Row],[Order Date]],"mmm")</f>
        <v>Jun</v>
      </c>
      <c r="V103" s="8">
        <f>DATE(YEAR(Orders[[#This Row],[Order Date]]),MONTH(Orders[[#This Row],[Order Date]]),1)</f>
        <v>46174</v>
      </c>
      <c r="W103" s="5">
        <f>IF(Orders[[#This Row],[Order Status]]="Cancelled",Orders[[#This Row],[Net Sales]],0)</f>
        <v>0</v>
      </c>
    </row>
    <row r="104" spans="1:23" x14ac:dyDescent="0.3">
      <c r="A104" t="s">
        <v>344</v>
      </c>
      <c r="B104" s="7">
        <v>46131</v>
      </c>
      <c r="C104" t="s">
        <v>162</v>
      </c>
      <c r="D104" t="s">
        <v>345</v>
      </c>
      <c r="E104" t="s">
        <v>18</v>
      </c>
      <c r="F104" t="s">
        <v>19</v>
      </c>
      <c r="G104" t="s">
        <v>131</v>
      </c>
      <c r="H104" t="s">
        <v>38</v>
      </c>
      <c r="I104">
        <v>3</v>
      </c>
      <c r="J104" s="5">
        <v>899</v>
      </c>
      <c r="K104" s="2">
        <v>0.1</v>
      </c>
      <c r="L104" t="s">
        <v>46</v>
      </c>
      <c r="M104" t="s">
        <v>23</v>
      </c>
      <c r="N104" s="1">
        <v>46133</v>
      </c>
      <c r="O104" s="1">
        <v>46133</v>
      </c>
      <c r="P104" s="5">
        <f>Orders[[#This Row],[Quantity]]*Orders[[#This Row],[Unit Price]]</f>
        <v>2697</v>
      </c>
      <c r="Q104" s="5">
        <f>Orders[[#This Row],[Gross Sales]]*Orders[[#This Row],[Discount %]]</f>
        <v>269.7</v>
      </c>
      <c r="R104" s="5">
        <f>Orders[[#This Row],[Gross Sales]]-Orders[[#This Row],[Discount Amount]]</f>
        <v>2427.3000000000002</v>
      </c>
      <c r="S104">
        <f>IF(Orders[[#This Row],[Actual Delivery Date]]="","",Orders[[#This Row],[Actual Delivery Date]]-Orders[[#This Row],[Order Date]])</f>
        <v>2</v>
      </c>
      <c r="T104" t="str">
        <f>IF(Orders[[#This Row],[Actual Delivery Date]]="","Pending",IF(Orders[[#This Row],[Actual Delivery Date]]&lt;=Orders[[#This Row],[Expected Delivery Date]],"On Time","Late"))</f>
        <v>On Time</v>
      </c>
      <c r="U104" t="str">
        <f>TEXT(Orders[[#This Row],[Order Date]],"mmm")</f>
        <v>Apr</v>
      </c>
      <c r="V104" s="8">
        <f>DATE(YEAR(Orders[[#This Row],[Order Date]]),MONTH(Orders[[#This Row],[Order Date]]),1)</f>
        <v>46113</v>
      </c>
      <c r="W104" s="5">
        <f>IF(Orders[[#This Row],[Order Status]]="Cancelled",Orders[[#This Row],[Net Sales]],0)</f>
        <v>0</v>
      </c>
    </row>
    <row r="105" spans="1:23" x14ac:dyDescent="0.3">
      <c r="A105" t="s">
        <v>346</v>
      </c>
      <c r="B105" s="7">
        <v>46365</v>
      </c>
      <c r="C105" t="s">
        <v>33</v>
      </c>
      <c r="D105" t="s">
        <v>347</v>
      </c>
      <c r="E105" t="s">
        <v>79</v>
      </c>
      <c r="F105" t="s">
        <v>108</v>
      </c>
      <c r="G105" t="s">
        <v>206</v>
      </c>
      <c r="H105" t="s">
        <v>30</v>
      </c>
      <c r="I105">
        <v>3</v>
      </c>
      <c r="J105" s="5">
        <v>1199</v>
      </c>
      <c r="K105" s="2">
        <v>0</v>
      </c>
      <c r="L105" t="s">
        <v>70</v>
      </c>
      <c r="M105" t="s">
        <v>82</v>
      </c>
      <c r="N105" s="1">
        <v>46372</v>
      </c>
      <c r="O105" s="1">
        <v>46366</v>
      </c>
      <c r="P105" s="5">
        <f>Orders[[#This Row],[Quantity]]*Orders[[#This Row],[Unit Price]]</f>
        <v>3597</v>
      </c>
      <c r="Q105" s="5">
        <f>Orders[[#This Row],[Gross Sales]]*Orders[[#This Row],[Discount %]]</f>
        <v>0</v>
      </c>
      <c r="R105" s="5">
        <f>Orders[[#This Row],[Gross Sales]]-Orders[[#This Row],[Discount Amount]]</f>
        <v>3597</v>
      </c>
      <c r="S105">
        <f>IF(Orders[[#This Row],[Actual Delivery Date]]="","",Orders[[#This Row],[Actual Delivery Date]]-Orders[[#This Row],[Order Date]])</f>
        <v>1</v>
      </c>
      <c r="T105" t="str">
        <f>IF(Orders[[#This Row],[Actual Delivery Date]]="","Pending",IF(Orders[[#This Row],[Actual Delivery Date]]&lt;=Orders[[#This Row],[Expected Delivery Date]],"On Time","Late"))</f>
        <v>On Time</v>
      </c>
      <c r="U105" t="str">
        <f>TEXT(Orders[[#This Row],[Order Date]],"mmm")</f>
        <v>Dec</v>
      </c>
      <c r="V105" s="8">
        <f>DATE(YEAR(Orders[[#This Row],[Order Date]]),MONTH(Orders[[#This Row],[Order Date]]),1)</f>
        <v>46357</v>
      </c>
      <c r="W105" s="5">
        <f>IF(Orders[[#This Row],[Order Status]]="Cancelled",Orders[[#This Row],[Net Sales]],0)</f>
        <v>0</v>
      </c>
    </row>
    <row r="106" spans="1:23" x14ac:dyDescent="0.3">
      <c r="A106" t="s">
        <v>348</v>
      </c>
      <c r="B106" s="7">
        <v>46386</v>
      </c>
      <c r="C106" t="s">
        <v>33</v>
      </c>
      <c r="D106" t="s">
        <v>349</v>
      </c>
      <c r="E106" t="s">
        <v>35</v>
      </c>
      <c r="F106" t="s">
        <v>63</v>
      </c>
      <c r="G106" t="s">
        <v>100</v>
      </c>
      <c r="H106" t="s">
        <v>30</v>
      </c>
      <c r="I106">
        <v>2</v>
      </c>
      <c r="J106" s="5">
        <v>2499</v>
      </c>
      <c r="K106" s="2">
        <v>0.1</v>
      </c>
      <c r="L106" t="s">
        <v>39</v>
      </c>
      <c r="M106" t="s">
        <v>23</v>
      </c>
      <c r="N106" s="1">
        <v>46388</v>
      </c>
      <c r="O106" s="1">
        <v>46390</v>
      </c>
      <c r="P106" s="5">
        <f>Orders[[#This Row],[Quantity]]*Orders[[#This Row],[Unit Price]]</f>
        <v>4998</v>
      </c>
      <c r="Q106" s="5">
        <f>Orders[[#This Row],[Gross Sales]]*Orders[[#This Row],[Discount %]]</f>
        <v>499.8</v>
      </c>
      <c r="R106" s="5">
        <f>Orders[[#This Row],[Gross Sales]]-Orders[[#This Row],[Discount Amount]]</f>
        <v>4498.2</v>
      </c>
      <c r="S106">
        <f>IF(Orders[[#This Row],[Actual Delivery Date]]="","",Orders[[#This Row],[Actual Delivery Date]]-Orders[[#This Row],[Order Date]])</f>
        <v>4</v>
      </c>
      <c r="T106" t="str">
        <f>IF(Orders[[#This Row],[Actual Delivery Date]]="","Pending",IF(Orders[[#This Row],[Actual Delivery Date]]&lt;=Orders[[#This Row],[Expected Delivery Date]],"On Time","Late"))</f>
        <v>Late</v>
      </c>
      <c r="U106" t="str">
        <f>TEXT(Orders[[#This Row],[Order Date]],"mmm")</f>
        <v>Dec</v>
      </c>
      <c r="V106" s="8">
        <f>DATE(YEAR(Orders[[#This Row],[Order Date]]),MONTH(Orders[[#This Row],[Order Date]]),1)</f>
        <v>46357</v>
      </c>
      <c r="W106" s="5">
        <f>IF(Orders[[#This Row],[Order Status]]="Cancelled",Orders[[#This Row],[Net Sales]],0)</f>
        <v>0</v>
      </c>
    </row>
    <row r="107" spans="1:23" x14ac:dyDescent="0.3">
      <c r="A107" t="s">
        <v>350</v>
      </c>
      <c r="B107" s="7">
        <v>46246</v>
      </c>
      <c r="C107" t="s">
        <v>351</v>
      </c>
      <c r="D107" t="s">
        <v>352</v>
      </c>
      <c r="E107" t="s">
        <v>18</v>
      </c>
      <c r="F107" t="s">
        <v>43</v>
      </c>
      <c r="G107" t="s">
        <v>52</v>
      </c>
      <c r="H107" t="s">
        <v>45</v>
      </c>
      <c r="I107">
        <v>2</v>
      </c>
      <c r="J107" s="5">
        <v>1299</v>
      </c>
      <c r="K107" s="2">
        <v>0.2</v>
      </c>
      <c r="L107" t="s">
        <v>39</v>
      </c>
      <c r="M107" t="s">
        <v>23</v>
      </c>
      <c r="N107" s="1">
        <v>46250</v>
      </c>
      <c r="O107" s="1">
        <v>46248</v>
      </c>
      <c r="P107" s="5">
        <f>Orders[[#This Row],[Quantity]]*Orders[[#This Row],[Unit Price]]</f>
        <v>2598</v>
      </c>
      <c r="Q107" s="5">
        <f>Orders[[#This Row],[Gross Sales]]*Orders[[#This Row],[Discount %]]</f>
        <v>519.6</v>
      </c>
      <c r="R107" s="5">
        <f>Orders[[#This Row],[Gross Sales]]-Orders[[#This Row],[Discount Amount]]</f>
        <v>2078.4</v>
      </c>
      <c r="S107">
        <f>IF(Orders[[#This Row],[Actual Delivery Date]]="","",Orders[[#This Row],[Actual Delivery Date]]-Orders[[#This Row],[Order Date]])</f>
        <v>2</v>
      </c>
      <c r="T107" t="str">
        <f>IF(Orders[[#This Row],[Actual Delivery Date]]="","Pending",IF(Orders[[#This Row],[Actual Delivery Date]]&lt;=Orders[[#This Row],[Expected Delivery Date]],"On Time","Late"))</f>
        <v>On Time</v>
      </c>
      <c r="U107" t="str">
        <f>TEXT(Orders[[#This Row],[Order Date]],"mmm")</f>
        <v>Aug</v>
      </c>
      <c r="V107" s="8">
        <f>DATE(YEAR(Orders[[#This Row],[Order Date]]),MONTH(Orders[[#This Row],[Order Date]]),1)</f>
        <v>46235</v>
      </c>
      <c r="W107" s="5">
        <f>IF(Orders[[#This Row],[Order Status]]="Cancelled",Orders[[#This Row],[Net Sales]],0)</f>
        <v>0</v>
      </c>
    </row>
    <row r="108" spans="1:23" x14ac:dyDescent="0.3">
      <c r="A108" t="s">
        <v>353</v>
      </c>
      <c r="B108" s="7">
        <v>46122</v>
      </c>
      <c r="C108" t="s">
        <v>354</v>
      </c>
      <c r="D108" t="s">
        <v>355</v>
      </c>
      <c r="E108" t="s">
        <v>18</v>
      </c>
      <c r="F108" t="s">
        <v>19</v>
      </c>
      <c r="G108" t="s">
        <v>206</v>
      </c>
      <c r="H108" t="s">
        <v>30</v>
      </c>
      <c r="I108">
        <v>4</v>
      </c>
      <c r="J108" s="5">
        <v>1199</v>
      </c>
      <c r="K108" s="2">
        <v>0.1</v>
      </c>
      <c r="L108" t="s">
        <v>46</v>
      </c>
      <c r="M108" t="s">
        <v>59</v>
      </c>
      <c r="N108" s="1">
        <v>46129</v>
      </c>
      <c r="O108" s="1">
        <v>46124</v>
      </c>
      <c r="P108" s="5">
        <f>Orders[[#This Row],[Quantity]]*Orders[[#This Row],[Unit Price]]</f>
        <v>4796</v>
      </c>
      <c r="Q108" s="5">
        <f>Orders[[#This Row],[Gross Sales]]*Orders[[#This Row],[Discount %]]</f>
        <v>479.6</v>
      </c>
      <c r="R108" s="5">
        <f>Orders[[#This Row],[Gross Sales]]-Orders[[#This Row],[Discount Amount]]</f>
        <v>4316.3999999999996</v>
      </c>
      <c r="S108">
        <f>IF(Orders[[#This Row],[Actual Delivery Date]]="","",Orders[[#This Row],[Actual Delivery Date]]-Orders[[#This Row],[Order Date]])</f>
        <v>2</v>
      </c>
      <c r="T108" t="str">
        <f>IF(Orders[[#This Row],[Actual Delivery Date]]="","Pending",IF(Orders[[#This Row],[Actual Delivery Date]]&lt;=Orders[[#This Row],[Expected Delivery Date]],"On Time","Late"))</f>
        <v>On Time</v>
      </c>
      <c r="U108" t="str">
        <f>TEXT(Orders[[#This Row],[Order Date]],"mmm")</f>
        <v>Apr</v>
      </c>
      <c r="V108" s="8">
        <f>DATE(YEAR(Orders[[#This Row],[Order Date]]),MONTH(Orders[[#This Row],[Order Date]]),1)</f>
        <v>46113</v>
      </c>
      <c r="W108" s="5">
        <f>IF(Orders[[#This Row],[Order Status]]="Cancelled",Orders[[#This Row],[Net Sales]],0)</f>
        <v>4316.3999999999996</v>
      </c>
    </row>
    <row r="109" spans="1:23" x14ac:dyDescent="0.3">
      <c r="A109" t="s">
        <v>356</v>
      </c>
      <c r="B109" s="7">
        <v>46101</v>
      </c>
      <c r="C109" t="s">
        <v>357</v>
      </c>
      <c r="D109" t="s">
        <v>358</v>
      </c>
      <c r="E109" t="s">
        <v>35</v>
      </c>
      <c r="F109" t="s">
        <v>68</v>
      </c>
      <c r="G109" t="s">
        <v>69</v>
      </c>
      <c r="H109" t="s">
        <v>38</v>
      </c>
      <c r="I109">
        <v>3</v>
      </c>
      <c r="J109" s="5">
        <v>3499</v>
      </c>
      <c r="K109" s="2">
        <v>0</v>
      </c>
      <c r="L109" t="s">
        <v>31</v>
      </c>
      <c r="M109" t="s">
        <v>82</v>
      </c>
      <c r="N109" s="1">
        <v>46108</v>
      </c>
      <c r="O109" s="1">
        <v>46108</v>
      </c>
      <c r="P109" s="5">
        <f>Orders[[#This Row],[Quantity]]*Orders[[#This Row],[Unit Price]]</f>
        <v>10497</v>
      </c>
      <c r="Q109" s="5">
        <f>Orders[[#This Row],[Gross Sales]]*Orders[[#This Row],[Discount %]]</f>
        <v>0</v>
      </c>
      <c r="R109" s="5">
        <f>Orders[[#This Row],[Gross Sales]]-Orders[[#This Row],[Discount Amount]]</f>
        <v>10497</v>
      </c>
      <c r="S109">
        <f>IF(Orders[[#This Row],[Actual Delivery Date]]="","",Orders[[#This Row],[Actual Delivery Date]]-Orders[[#This Row],[Order Date]])</f>
        <v>7</v>
      </c>
      <c r="T109" t="str">
        <f>IF(Orders[[#This Row],[Actual Delivery Date]]="","Pending",IF(Orders[[#This Row],[Actual Delivery Date]]&lt;=Orders[[#This Row],[Expected Delivery Date]],"On Time","Late"))</f>
        <v>On Time</v>
      </c>
      <c r="U109" t="str">
        <f>TEXT(Orders[[#This Row],[Order Date]],"mmm")</f>
        <v>Mar</v>
      </c>
      <c r="V109" s="8">
        <f>DATE(YEAR(Orders[[#This Row],[Order Date]]),MONTH(Orders[[#This Row],[Order Date]]),1)</f>
        <v>46082</v>
      </c>
      <c r="W109" s="5">
        <f>IF(Orders[[#This Row],[Order Status]]="Cancelled",Orders[[#This Row],[Net Sales]],0)</f>
        <v>0</v>
      </c>
    </row>
    <row r="110" spans="1:23" x14ac:dyDescent="0.3">
      <c r="A110" t="s">
        <v>359</v>
      </c>
      <c r="B110" s="7">
        <v>46248</v>
      </c>
      <c r="C110" t="s">
        <v>360</v>
      </c>
      <c r="D110" t="s">
        <v>361</v>
      </c>
      <c r="E110" t="s">
        <v>79</v>
      </c>
      <c r="F110" t="s">
        <v>80</v>
      </c>
      <c r="G110" t="s">
        <v>20</v>
      </c>
      <c r="H110" t="s">
        <v>21</v>
      </c>
      <c r="I110">
        <v>1</v>
      </c>
      <c r="J110" s="5">
        <v>1799</v>
      </c>
      <c r="K110" s="2">
        <v>0.15</v>
      </c>
      <c r="L110" t="s">
        <v>46</v>
      </c>
      <c r="M110" t="s">
        <v>82</v>
      </c>
      <c r="N110" s="1">
        <v>46252</v>
      </c>
      <c r="O110" s="1">
        <v>46251</v>
      </c>
      <c r="P110" s="5">
        <f>Orders[[#This Row],[Quantity]]*Orders[[#This Row],[Unit Price]]</f>
        <v>1799</v>
      </c>
      <c r="Q110" s="5">
        <f>Orders[[#This Row],[Gross Sales]]*Orders[[#This Row],[Discount %]]</f>
        <v>269.84999999999997</v>
      </c>
      <c r="R110" s="5">
        <f>Orders[[#This Row],[Gross Sales]]-Orders[[#This Row],[Discount Amount]]</f>
        <v>1529.15</v>
      </c>
      <c r="S110">
        <f>IF(Orders[[#This Row],[Actual Delivery Date]]="","",Orders[[#This Row],[Actual Delivery Date]]-Orders[[#This Row],[Order Date]])</f>
        <v>3</v>
      </c>
      <c r="T110" t="str">
        <f>IF(Orders[[#This Row],[Actual Delivery Date]]="","Pending",IF(Orders[[#This Row],[Actual Delivery Date]]&lt;=Orders[[#This Row],[Expected Delivery Date]],"On Time","Late"))</f>
        <v>On Time</v>
      </c>
      <c r="U110" t="str">
        <f>TEXT(Orders[[#This Row],[Order Date]],"mmm")</f>
        <v>Aug</v>
      </c>
      <c r="V110" s="8">
        <f>DATE(YEAR(Orders[[#This Row],[Order Date]]),MONTH(Orders[[#This Row],[Order Date]]),1)</f>
        <v>46235</v>
      </c>
      <c r="W110" s="5">
        <f>IF(Orders[[#This Row],[Order Status]]="Cancelled",Orders[[#This Row],[Net Sales]],0)</f>
        <v>0</v>
      </c>
    </row>
    <row r="111" spans="1:23" x14ac:dyDescent="0.3">
      <c r="A111" t="s">
        <v>362</v>
      </c>
      <c r="B111" s="7">
        <v>46052</v>
      </c>
      <c r="C111" t="s">
        <v>363</v>
      </c>
      <c r="D111" t="s">
        <v>152</v>
      </c>
      <c r="E111" t="s">
        <v>35</v>
      </c>
      <c r="F111" t="s">
        <v>63</v>
      </c>
      <c r="G111" t="s">
        <v>147</v>
      </c>
      <c r="H111" t="s">
        <v>58</v>
      </c>
      <c r="I111">
        <v>1</v>
      </c>
      <c r="J111" s="5">
        <v>399</v>
      </c>
      <c r="K111" s="2">
        <v>0.1</v>
      </c>
      <c r="L111" t="s">
        <v>39</v>
      </c>
      <c r="M111" t="s">
        <v>59</v>
      </c>
      <c r="N111" s="1">
        <v>46054</v>
      </c>
      <c r="O111" s="1">
        <v>46054</v>
      </c>
      <c r="P111" s="5">
        <f>Orders[[#This Row],[Quantity]]*Orders[[#This Row],[Unit Price]]</f>
        <v>399</v>
      </c>
      <c r="Q111" s="5">
        <f>Orders[[#This Row],[Gross Sales]]*Orders[[#This Row],[Discount %]]</f>
        <v>39.900000000000006</v>
      </c>
      <c r="R111" s="5">
        <f>Orders[[#This Row],[Gross Sales]]-Orders[[#This Row],[Discount Amount]]</f>
        <v>359.1</v>
      </c>
      <c r="S111">
        <f>IF(Orders[[#This Row],[Actual Delivery Date]]="","",Orders[[#This Row],[Actual Delivery Date]]-Orders[[#This Row],[Order Date]])</f>
        <v>2</v>
      </c>
      <c r="T111" t="str">
        <f>IF(Orders[[#This Row],[Actual Delivery Date]]="","Pending",IF(Orders[[#This Row],[Actual Delivery Date]]&lt;=Orders[[#This Row],[Expected Delivery Date]],"On Time","Late"))</f>
        <v>On Time</v>
      </c>
      <c r="U111" t="str">
        <f>TEXT(Orders[[#This Row],[Order Date]],"mmm")</f>
        <v>Jan</v>
      </c>
      <c r="V111" s="8">
        <f>DATE(YEAR(Orders[[#This Row],[Order Date]]),MONTH(Orders[[#This Row],[Order Date]]),1)</f>
        <v>46023</v>
      </c>
      <c r="W111" s="5">
        <f>IF(Orders[[#This Row],[Order Status]]="Cancelled",Orders[[#This Row],[Net Sales]],0)</f>
        <v>359.1</v>
      </c>
    </row>
    <row r="112" spans="1:23" x14ac:dyDescent="0.3">
      <c r="A112" t="s">
        <v>364</v>
      </c>
      <c r="B112" s="7">
        <v>46187</v>
      </c>
      <c r="C112" t="s">
        <v>89</v>
      </c>
      <c r="D112" t="s">
        <v>365</v>
      </c>
      <c r="E112" t="s">
        <v>18</v>
      </c>
      <c r="F112" t="s">
        <v>43</v>
      </c>
      <c r="G112" t="s">
        <v>29</v>
      </c>
      <c r="H112" t="s">
        <v>30</v>
      </c>
      <c r="I112">
        <v>2</v>
      </c>
      <c r="J112" s="5">
        <v>599</v>
      </c>
      <c r="K112" s="2">
        <v>0.2</v>
      </c>
      <c r="L112" t="s">
        <v>31</v>
      </c>
      <c r="M112" t="s">
        <v>23</v>
      </c>
      <c r="N112" s="1">
        <v>46192</v>
      </c>
      <c r="O112" s="1">
        <v>46190</v>
      </c>
      <c r="P112" s="5">
        <f>Orders[[#This Row],[Quantity]]*Orders[[#This Row],[Unit Price]]</f>
        <v>1198</v>
      </c>
      <c r="Q112" s="5">
        <f>Orders[[#This Row],[Gross Sales]]*Orders[[#This Row],[Discount %]]</f>
        <v>239.60000000000002</v>
      </c>
      <c r="R112" s="5">
        <f>Orders[[#This Row],[Gross Sales]]-Orders[[#This Row],[Discount Amount]]</f>
        <v>958.4</v>
      </c>
      <c r="S112">
        <f>IF(Orders[[#This Row],[Actual Delivery Date]]="","",Orders[[#This Row],[Actual Delivery Date]]-Orders[[#This Row],[Order Date]])</f>
        <v>3</v>
      </c>
      <c r="T112" t="str">
        <f>IF(Orders[[#This Row],[Actual Delivery Date]]="","Pending",IF(Orders[[#This Row],[Actual Delivery Date]]&lt;=Orders[[#This Row],[Expected Delivery Date]],"On Time","Late"))</f>
        <v>On Time</v>
      </c>
      <c r="U112" t="str">
        <f>TEXT(Orders[[#This Row],[Order Date]],"mmm")</f>
        <v>Jun</v>
      </c>
      <c r="V112" s="8">
        <f>DATE(YEAR(Orders[[#This Row],[Order Date]]),MONTH(Orders[[#This Row],[Order Date]]),1)</f>
        <v>46174</v>
      </c>
      <c r="W112" s="5">
        <f>IF(Orders[[#This Row],[Order Status]]="Cancelled",Orders[[#This Row],[Net Sales]],0)</f>
        <v>0</v>
      </c>
    </row>
    <row r="113" spans="1:23" x14ac:dyDescent="0.3">
      <c r="A113" t="s">
        <v>366</v>
      </c>
      <c r="B113" s="7">
        <v>46247</v>
      </c>
      <c r="C113" t="s">
        <v>367</v>
      </c>
      <c r="D113" t="s">
        <v>368</v>
      </c>
      <c r="E113" t="s">
        <v>27</v>
      </c>
      <c r="F113" t="s">
        <v>28</v>
      </c>
      <c r="G113" t="s">
        <v>96</v>
      </c>
      <c r="H113" t="s">
        <v>38</v>
      </c>
      <c r="I113">
        <v>2</v>
      </c>
      <c r="J113" s="5">
        <v>1599</v>
      </c>
      <c r="K113" s="2">
        <v>0.2</v>
      </c>
      <c r="L113" t="s">
        <v>31</v>
      </c>
      <c r="M113" t="s">
        <v>23</v>
      </c>
      <c r="N113" s="1">
        <v>46251</v>
      </c>
      <c r="O113" s="1">
        <v>46255</v>
      </c>
      <c r="P113" s="5">
        <f>Orders[[#This Row],[Quantity]]*Orders[[#This Row],[Unit Price]]</f>
        <v>3198</v>
      </c>
      <c r="Q113" s="5">
        <f>Orders[[#This Row],[Gross Sales]]*Orders[[#This Row],[Discount %]]</f>
        <v>639.6</v>
      </c>
      <c r="R113" s="5">
        <f>Orders[[#This Row],[Gross Sales]]-Orders[[#This Row],[Discount Amount]]</f>
        <v>2558.4</v>
      </c>
      <c r="S113">
        <f>IF(Orders[[#This Row],[Actual Delivery Date]]="","",Orders[[#This Row],[Actual Delivery Date]]-Orders[[#This Row],[Order Date]])</f>
        <v>8</v>
      </c>
      <c r="T113" t="str">
        <f>IF(Orders[[#This Row],[Actual Delivery Date]]="","Pending",IF(Orders[[#This Row],[Actual Delivery Date]]&lt;=Orders[[#This Row],[Expected Delivery Date]],"On Time","Late"))</f>
        <v>Late</v>
      </c>
      <c r="U113" t="str">
        <f>TEXT(Orders[[#This Row],[Order Date]],"mmm")</f>
        <v>Aug</v>
      </c>
      <c r="V113" s="8">
        <f>DATE(YEAR(Orders[[#This Row],[Order Date]]),MONTH(Orders[[#This Row],[Order Date]]),1)</f>
        <v>46235</v>
      </c>
      <c r="W113" s="5">
        <f>IF(Orders[[#This Row],[Order Status]]="Cancelled",Orders[[#This Row],[Net Sales]],0)</f>
        <v>0</v>
      </c>
    </row>
    <row r="114" spans="1:23" x14ac:dyDescent="0.3">
      <c r="A114" t="s">
        <v>369</v>
      </c>
      <c r="B114" s="7">
        <v>46071</v>
      </c>
      <c r="C114" t="s">
        <v>370</v>
      </c>
      <c r="D114" t="s">
        <v>274</v>
      </c>
      <c r="E114" t="s">
        <v>18</v>
      </c>
      <c r="F114" t="s">
        <v>121</v>
      </c>
      <c r="G114" t="s">
        <v>153</v>
      </c>
      <c r="H114" t="s">
        <v>45</v>
      </c>
      <c r="I114">
        <v>2</v>
      </c>
      <c r="J114" s="5">
        <v>1999</v>
      </c>
      <c r="K114" s="2">
        <v>0.15</v>
      </c>
      <c r="L114" t="s">
        <v>46</v>
      </c>
      <c r="M114" t="s">
        <v>23</v>
      </c>
      <c r="N114" s="1">
        <v>46078</v>
      </c>
      <c r="O114" s="1">
        <v>46076</v>
      </c>
      <c r="P114" s="5">
        <f>Orders[[#This Row],[Quantity]]*Orders[[#This Row],[Unit Price]]</f>
        <v>3998</v>
      </c>
      <c r="Q114" s="5">
        <f>Orders[[#This Row],[Gross Sales]]*Orders[[#This Row],[Discount %]]</f>
        <v>599.69999999999993</v>
      </c>
      <c r="R114" s="5">
        <f>Orders[[#This Row],[Gross Sales]]-Orders[[#This Row],[Discount Amount]]</f>
        <v>3398.3</v>
      </c>
      <c r="S114">
        <f>IF(Orders[[#This Row],[Actual Delivery Date]]="","",Orders[[#This Row],[Actual Delivery Date]]-Orders[[#This Row],[Order Date]])</f>
        <v>5</v>
      </c>
      <c r="T114" t="str">
        <f>IF(Orders[[#This Row],[Actual Delivery Date]]="","Pending",IF(Orders[[#This Row],[Actual Delivery Date]]&lt;=Orders[[#This Row],[Expected Delivery Date]],"On Time","Late"))</f>
        <v>On Time</v>
      </c>
      <c r="U114" t="str">
        <f>TEXT(Orders[[#This Row],[Order Date]],"mmm")</f>
        <v>Feb</v>
      </c>
      <c r="V114" s="8">
        <f>DATE(YEAR(Orders[[#This Row],[Order Date]]),MONTH(Orders[[#This Row],[Order Date]]),1)</f>
        <v>46054</v>
      </c>
      <c r="W114" s="5">
        <f>IF(Orders[[#This Row],[Order Status]]="Cancelled",Orders[[#This Row],[Net Sales]],0)</f>
        <v>0</v>
      </c>
    </row>
    <row r="115" spans="1:23" x14ac:dyDescent="0.3">
      <c r="A115" t="s">
        <v>371</v>
      </c>
      <c r="B115" s="7">
        <v>46358</v>
      </c>
      <c r="C115" t="s">
        <v>89</v>
      </c>
      <c r="D115" t="s">
        <v>372</v>
      </c>
      <c r="E115" t="s">
        <v>18</v>
      </c>
      <c r="F115" t="s">
        <v>95</v>
      </c>
      <c r="G115" t="s">
        <v>186</v>
      </c>
      <c r="H115" t="s">
        <v>21</v>
      </c>
      <c r="I115">
        <v>2</v>
      </c>
      <c r="J115" s="5">
        <v>1999</v>
      </c>
      <c r="K115" s="2">
        <v>0.15</v>
      </c>
      <c r="L115" t="s">
        <v>31</v>
      </c>
      <c r="M115" t="s">
        <v>47</v>
      </c>
      <c r="N115" s="1">
        <v>46365</v>
      </c>
      <c r="O115" s="1"/>
      <c r="P115" s="5">
        <f>Orders[[#This Row],[Quantity]]*Orders[[#This Row],[Unit Price]]</f>
        <v>3998</v>
      </c>
      <c r="Q115" s="5">
        <f>Orders[[#This Row],[Gross Sales]]*Orders[[#This Row],[Discount %]]</f>
        <v>599.69999999999993</v>
      </c>
      <c r="R115" s="5">
        <f>Orders[[#This Row],[Gross Sales]]-Orders[[#This Row],[Discount Amount]]</f>
        <v>3398.3</v>
      </c>
      <c r="S115" t="str">
        <f>IF(Orders[[#This Row],[Actual Delivery Date]]="","",Orders[[#This Row],[Actual Delivery Date]]-Orders[[#This Row],[Order Date]])</f>
        <v/>
      </c>
      <c r="T115" t="str">
        <f>IF(Orders[[#This Row],[Actual Delivery Date]]="","Pending",IF(Orders[[#This Row],[Actual Delivery Date]]&lt;=Orders[[#This Row],[Expected Delivery Date]],"On Time","Late"))</f>
        <v>Pending</v>
      </c>
      <c r="U115" t="str">
        <f>TEXT(Orders[[#This Row],[Order Date]],"mmm")</f>
        <v>Dec</v>
      </c>
      <c r="V115" s="8">
        <f>DATE(YEAR(Orders[[#This Row],[Order Date]]),MONTH(Orders[[#This Row],[Order Date]]),1)</f>
        <v>46357</v>
      </c>
      <c r="W115" s="5">
        <f>IF(Orders[[#This Row],[Order Status]]="Cancelled",Orders[[#This Row],[Net Sales]],0)</f>
        <v>0</v>
      </c>
    </row>
    <row r="116" spans="1:23" x14ac:dyDescent="0.3">
      <c r="A116" t="s">
        <v>373</v>
      </c>
      <c r="B116" s="7">
        <v>46070</v>
      </c>
      <c r="C116" t="s">
        <v>374</v>
      </c>
      <c r="D116" t="s">
        <v>375</v>
      </c>
      <c r="E116" t="s">
        <v>79</v>
      </c>
      <c r="F116" t="s">
        <v>80</v>
      </c>
      <c r="G116" t="s">
        <v>69</v>
      </c>
      <c r="H116" t="s">
        <v>38</v>
      </c>
      <c r="I116">
        <v>2</v>
      </c>
      <c r="J116" s="5">
        <v>3499</v>
      </c>
      <c r="K116" s="2">
        <v>0.15</v>
      </c>
      <c r="L116" t="s">
        <v>22</v>
      </c>
      <c r="M116" t="s">
        <v>23</v>
      </c>
      <c r="N116" s="1">
        <v>46072</v>
      </c>
      <c r="O116" s="1">
        <v>46071</v>
      </c>
      <c r="P116" s="5">
        <f>Orders[[#This Row],[Quantity]]*Orders[[#This Row],[Unit Price]]</f>
        <v>6998</v>
      </c>
      <c r="Q116" s="5">
        <f>Orders[[#This Row],[Gross Sales]]*Orders[[#This Row],[Discount %]]</f>
        <v>1049.7</v>
      </c>
      <c r="R116" s="5">
        <f>Orders[[#This Row],[Gross Sales]]-Orders[[#This Row],[Discount Amount]]</f>
        <v>5948.3</v>
      </c>
      <c r="S116">
        <f>IF(Orders[[#This Row],[Actual Delivery Date]]="","",Orders[[#This Row],[Actual Delivery Date]]-Orders[[#This Row],[Order Date]])</f>
        <v>1</v>
      </c>
      <c r="T116" t="str">
        <f>IF(Orders[[#This Row],[Actual Delivery Date]]="","Pending",IF(Orders[[#This Row],[Actual Delivery Date]]&lt;=Orders[[#This Row],[Expected Delivery Date]],"On Time","Late"))</f>
        <v>On Time</v>
      </c>
      <c r="U116" t="str">
        <f>TEXT(Orders[[#This Row],[Order Date]],"mmm")</f>
        <v>Feb</v>
      </c>
      <c r="V116" s="8">
        <f>DATE(YEAR(Orders[[#This Row],[Order Date]]),MONTH(Orders[[#This Row],[Order Date]]),1)</f>
        <v>46054</v>
      </c>
      <c r="W116" s="5">
        <f>IF(Orders[[#This Row],[Order Status]]="Cancelled",Orders[[#This Row],[Net Sales]],0)</f>
        <v>0</v>
      </c>
    </row>
    <row r="117" spans="1:23" x14ac:dyDescent="0.3">
      <c r="A117" t="s">
        <v>376</v>
      </c>
      <c r="B117" s="7">
        <v>46102</v>
      </c>
      <c r="C117" t="s">
        <v>377</v>
      </c>
      <c r="D117" t="s">
        <v>378</v>
      </c>
      <c r="E117" t="s">
        <v>79</v>
      </c>
      <c r="F117" t="s">
        <v>108</v>
      </c>
      <c r="G117" t="s">
        <v>37</v>
      </c>
      <c r="H117" t="s">
        <v>38</v>
      </c>
      <c r="I117">
        <v>1</v>
      </c>
      <c r="J117" s="5">
        <v>699</v>
      </c>
      <c r="K117" s="2">
        <v>0</v>
      </c>
      <c r="L117" t="s">
        <v>22</v>
      </c>
      <c r="M117" t="s">
        <v>82</v>
      </c>
      <c r="N117" s="1">
        <v>46108</v>
      </c>
      <c r="O117" s="1">
        <v>46107</v>
      </c>
      <c r="P117" s="5">
        <f>Orders[[#This Row],[Quantity]]*Orders[[#This Row],[Unit Price]]</f>
        <v>699</v>
      </c>
      <c r="Q117" s="5">
        <f>Orders[[#This Row],[Gross Sales]]*Orders[[#This Row],[Discount %]]</f>
        <v>0</v>
      </c>
      <c r="R117" s="5">
        <f>Orders[[#This Row],[Gross Sales]]-Orders[[#This Row],[Discount Amount]]</f>
        <v>699</v>
      </c>
      <c r="S117">
        <f>IF(Orders[[#This Row],[Actual Delivery Date]]="","",Orders[[#This Row],[Actual Delivery Date]]-Orders[[#This Row],[Order Date]])</f>
        <v>5</v>
      </c>
      <c r="T117" t="str">
        <f>IF(Orders[[#This Row],[Actual Delivery Date]]="","Pending",IF(Orders[[#This Row],[Actual Delivery Date]]&lt;=Orders[[#This Row],[Expected Delivery Date]],"On Time","Late"))</f>
        <v>On Time</v>
      </c>
      <c r="U117" t="str">
        <f>TEXT(Orders[[#This Row],[Order Date]],"mmm")</f>
        <v>Mar</v>
      </c>
      <c r="V117" s="8">
        <f>DATE(YEAR(Orders[[#This Row],[Order Date]]),MONTH(Orders[[#This Row],[Order Date]]),1)</f>
        <v>46082</v>
      </c>
      <c r="W117" s="5">
        <f>IF(Orders[[#This Row],[Order Status]]="Cancelled",Orders[[#This Row],[Net Sales]],0)</f>
        <v>0</v>
      </c>
    </row>
    <row r="118" spans="1:23" x14ac:dyDescent="0.3">
      <c r="A118" t="s">
        <v>379</v>
      </c>
      <c r="B118" s="7">
        <v>46115</v>
      </c>
      <c r="C118" t="s">
        <v>315</v>
      </c>
      <c r="D118" t="s">
        <v>308</v>
      </c>
      <c r="E118" t="s">
        <v>27</v>
      </c>
      <c r="F118" t="s">
        <v>74</v>
      </c>
      <c r="G118" t="s">
        <v>37</v>
      </c>
      <c r="H118" t="s">
        <v>38</v>
      </c>
      <c r="I118">
        <v>3</v>
      </c>
      <c r="J118" s="5">
        <v>699</v>
      </c>
      <c r="K118" s="2">
        <v>0.2</v>
      </c>
      <c r="L118" t="s">
        <v>31</v>
      </c>
      <c r="M118" t="s">
        <v>59</v>
      </c>
      <c r="N118" s="1">
        <v>46120</v>
      </c>
      <c r="O118" s="1">
        <v>46118</v>
      </c>
      <c r="P118" s="5">
        <f>Orders[[#This Row],[Quantity]]*Orders[[#This Row],[Unit Price]]</f>
        <v>2097</v>
      </c>
      <c r="Q118" s="5">
        <f>Orders[[#This Row],[Gross Sales]]*Orders[[#This Row],[Discount %]]</f>
        <v>419.40000000000003</v>
      </c>
      <c r="R118" s="5">
        <f>Orders[[#This Row],[Gross Sales]]-Orders[[#This Row],[Discount Amount]]</f>
        <v>1677.6</v>
      </c>
      <c r="S118">
        <f>IF(Orders[[#This Row],[Actual Delivery Date]]="","",Orders[[#This Row],[Actual Delivery Date]]-Orders[[#This Row],[Order Date]])</f>
        <v>3</v>
      </c>
      <c r="T118" t="str">
        <f>IF(Orders[[#This Row],[Actual Delivery Date]]="","Pending",IF(Orders[[#This Row],[Actual Delivery Date]]&lt;=Orders[[#This Row],[Expected Delivery Date]],"On Time","Late"))</f>
        <v>On Time</v>
      </c>
      <c r="U118" t="str">
        <f>TEXT(Orders[[#This Row],[Order Date]],"mmm")</f>
        <v>Apr</v>
      </c>
      <c r="V118" s="8">
        <f>DATE(YEAR(Orders[[#This Row],[Order Date]]),MONTH(Orders[[#This Row],[Order Date]]),1)</f>
        <v>46113</v>
      </c>
      <c r="W118" s="5">
        <f>IF(Orders[[#This Row],[Order Status]]="Cancelled",Orders[[#This Row],[Net Sales]],0)</f>
        <v>1677.6</v>
      </c>
    </row>
    <row r="119" spans="1:23" x14ac:dyDescent="0.3">
      <c r="A119" t="s">
        <v>380</v>
      </c>
      <c r="B119" s="7">
        <v>46145</v>
      </c>
      <c r="C119" t="s">
        <v>363</v>
      </c>
      <c r="D119" t="s">
        <v>231</v>
      </c>
      <c r="E119" t="s">
        <v>35</v>
      </c>
      <c r="F119" t="s">
        <v>63</v>
      </c>
      <c r="G119" t="s">
        <v>69</v>
      </c>
      <c r="H119" t="s">
        <v>38</v>
      </c>
      <c r="I119">
        <v>1</v>
      </c>
      <c r="J119" s="5">
        <v>3499</v>
      </c>
      <c r="K119" s="2">
        <v>0.15</v>
      </c>
      <c r="L119" t="s">
        <v>31</v>
      </c>
      <c r="M119" t="s">
        <v>23</v>
      </c>
      <c r="N119" s="1">
        <v>46152</v>
      </c>
      <c r="O119" s="1">
        <v>46156</v>
      </c>
      <c r="P119" s="5">
        <f>Orders[[#This Row],[Quantity]]*Orders[[#This Row],[Unit Price]]</f>
        <v>3499</v>
      </c>
      <c r="Q119" s="5">
        <f>Orders[[#This Row],[Gross Sales]]*Orders[[#This Row],[Discount %]]</f>
        <v>524.85</v>
      </c>
      <c r="R119" s="5">
        <f>Orders[[#This Row],[Gross Sales]]-Orders[[#This Row],[Discount Amount]]</f>
        <v>2974.15</v>
      </c>
      <c r="S119">
        <f>IF(Orders[[#This Row],[Actual Delivery Date]]="","",Orders[[#This Row],[Actual Delivery Date]]-Orders[[#This Row],[Order Date]])</f>
        <v>11</v>
      </c>
      <c r="T119" t="str">
        <f>IF(Orders[[#This Row],[Actual Delivery Date]]="","Pending",IF(Orders[[#This Row],[Actual Delivery Date]]&lt;=Orders[[#This Row],[Expected Delivery Date]],"On Time","Late"))</f>
        <v>Late</v>
      </c>
      <c r="U119" t="str">
        <f>TEXT(Orders[[#This Row],[Order Date]],"mmm")</f>
        <v>May</v>
      </c>
      <c r="V119" s="8">
        <f>DATE(YEAR(Orders[[#This Row],[Order Date]]),MONTH(Orders[[#This Row],[Order Date]]),1)</f>
        <v>46143</v>
      </c>
      <c r="W119" s="5">
        <f>IF(Orders[[#This Row],[Order Status]]="Cancelled",Orders[[#This Row],[Net Sales]],0)</f>
        <v>0</v>
      </c>
    </row>
    <row r="120" spans="1:23" x14ac:dyDescent="0.3">
      <c r="A120" t="s">
        <v>381</v>
      </c>
      <c r="B120" s="7">
        <v>46332</v>
      </c>
      <c r="C120" t="s">
        <v>354</v>
      </c>
      <c r="D120" t="s">
        <v>382</v>
      </c>
      <c r="E120" t="s">
        <v>79</v>
      </c>
      <c r="F120" t="s">
        <v>170</v>
      </c>
      <c r="G120" t="s">
        <v>37</v>
      </c>
      <c r="H120" t="s">
        <v>38</v>
      </c>
      <c r="I120">
        <v>1</v>
      </c>
      <c r="J120" s="5">
        <v>699</v>
      </c>
      <c r="K120" s="2">
        <v>0.1</v>
      </c>
      <c r="L120" t="s">
        <v>39</v>
      </c>
      <c r="M120" t="s">
        <v>59</v>
      </c>
      <c r="N120" s="1">
        <v>46337</v>
      </c>
      <c r="O120" s="1">
        <v>46337</v>
      </c>
      <c r="P120" s="5">
        <f>Orders[[#This Row],[Quantity]]*Orders[[#This Row],[Unit Price]]</f>
        <v>699</v>
      </c>
      <c r="Q120" s="5">
        <f>Orders[[#This Row],[Gross Sales]]*Orders[[#This Row],[Discount %]]</f>
        <v>69.900000000000006</v>
      </c>
      <c r="R120" s="5">
        <f>Orders[[#This Row],[Gross Sales]]-Orders[[#This Row],[Discount Amount]]</f>
        <v>629.1</v>
      </c>
      <c r="S120">
        <f>IF(Orders[[#This Row],[Actual Delivery Date]]="","",Orders[[#This Row],[Actual Delivery Date]]-Orders[[#This Row],[Order Date]])</f>
        <v>5</v>
      </c>
      <c r="T120" t="str">
        <f>IF(Orders[[#This Row],[Actual Delivery Date]]="","Pending",IF(Orders[[#This Row],[Actual Delivery Date]]&lt;=Orders[[#This Row],[Expected Delivery Date]],"On Time","Late"))</f>
        <v>On Time</v>
      </c>
      <c r="U120" t="str">
        <f>TEXT(Orders[[#This Row],[Order Date]],"mmm")</f>
        <v>Nov</v>
      </c>
      <c r="V120" s="8">
        <f>DATE(YEAR(Orders[[#This Row],[Order Date]]),MONTH(Orders[[#This Row],[Order Date]]),1)</f>
        <v>46327</v>
      </c>
      <c r="W120" s="5">
        <f>IF(Orders[[#This Row],[Order Status]]="Cancelled",Orders[[#This Row],[Net Sales]],0)</f>
        <v>629.1</v>
      </c>
    </row>
    <row r="121" spans="1:23" x14ac:dyDescent="0.3">
      <c r="A121" t="s">
        <v>383</v>
      </c>
      <c r="B121" s="7">
        <v>46162</v>
      </c>
      <c r="C121" t="s">
        <v>384</v>
      </c>
      <c r="D121" t="s">
        <v>385</v>
      </c>
      <c r="E121" t="s">
        <v>18</v>
      </c>
      <c r="F121" t="s">
        <v>121</v>
      </c>
      <c r="G121" t="s">
        <v>52</v>
      </c>
      <c r="H121" t="s">
        <v>45</v>
      </c>
      <c r="I121">
        <v>1</v>
      </c>
      <c r="J121" s="5">
        <v>1299</v>
      </c>
      <c r="K121" s="2">
        <v>0.2</v>
      </c>
      <c r="L121" t="s">
        <v>31</v>
      </c>
      <c r="M121" t="s">
        <v>82</v>
      </c>
      <c r="N121" s="1">
        <v>46167</v>
      </c>
      <c r="O121" s="1">
        <v>46164</v>
      </c>
      <c r="P121" s="5">
        <f>Orders[[#This Row],[Quantity]]*Orders[[#This Row],[Unit Price]]</f>
        <v>1299</v>
      </c>
      <c r="Q121" s="5">
        <f>Orders[[#This Row],[Gross Sales]]*Orders[[#This Row],[Discount %]]</f>
        <v>259.8</v>
      </c>
      <c r="R121" s="5">
        <f>Orders[[#This Row],[Gross Sales]]-Orders[[#This Row],[Discount Amount]]</f>
        <v>1039.2</v>
      </c>
      <c r="S121">
        <f>IF(Orders[[#This Row],[Actual Delivery Date]]="","",Orders[[#This Row],[Actual Delivery Date]]-Orders[[#This Row],[Order Date]])</f>
        <v>2</v>
      </c>
      <c r="T121" t="str">
        <f>IF(Orders[[#This Row],[Actual Delivery Date]]="","Pending",IF(Orders[[#This Row],[Actual Delivery Date]]&lt;=Orders[[#This Row],[Expected Delivery Date]],"On Time","Late"))</f>
        <v>On Time</v>
      </c>
      <c r="U121" t="str">
        <f>TEXT(Orders[[#This Row],[Order Date]],"mmm")</f>
        <v>May</v>
      </c>
      <c r="V121" s="8">
        <f>DATE(YEAR(Orders[[#This Row],[Order Date]]),MONTH(Orders[[#This Row],[Order Date]]),1)</f>
        <v>46143</v>
      </c>
      <c r="W121" s="5">
        <f>IF(Orders[[#This Row],[Order Status]]="Cancelled",Orders[[#This Row],[Net Sales]],0)</f>
        <v>0</v>
      </c>
    </row>
    <row r="122" spans="1:23" x14ac:dyDescent="0.3">
      <c r="A122" t="s">
        <v>386</v>
      </c>
      <c r="B122" s="7">
        <v>46280</v>
      </c>
      <c r="C122" t="s">
        <v>168</v>
      </c>
      <c r="D122" t="s">
        <v>355</v>
      </c>
      <c r="E122" t="s">
        <v>18</v>
      </c>
      <c r="F122" t="s">
        <v>43</v>
      </c>
      <c r="G122" t="s">
        <v>160</v>
      </c>
      <c r="H122" t="s">
        <v>45</v>
      </c>
      <c r="I122">
        <v>1</v>
      </c>
      <c r="J122" s="5">
        <v>1499</v>
      </c>
      <c r="K122" s="2">
        <v>0.15</v>
      </c>
      <c r="L122" t="s">
        <v>39</v>
      </c>
      <c r="M122" t="s">
        <v>23</v>
      </c>
      <c r="N122" s="1">
        <v>46283</v>
      </c>
      <c r="O122" s="1">
        <v>46281</v>
      </c>
      <c r="P122" s="5">
        <f>Orders[[#This Row],[Quantity]]*Orders[[#This Row],[Unit Price]]</f>
        <v>1499</v>
      </c>
      <c r="Q122" s="5">
        <f>Orders[[#This Row],[Gross Sales]]*Orders[[#This Row],[Discount %]]</f>
        <v>224.85</v>
      </c>
      <c r="R122" s="5">
        <f>Orders[[#This Row],[Gross Sales]]-Orders[[#This Row],[Discount Amount]]</f>
        <v>1274.1500000000001</v>
      </c>
      <c r="S122">
        <f>IF(Orders[[#This Row],[Actual Delivery Date]]="","",Orders[[#This Row],[Actual Delivery Date]]-Orders[[#This Row],[Order Date]])</f>
        <v>1</v>
      </c>
      <c r="T122" t="str">
        <f>IF(Orders[[#This Row],[Actual Delivery Date]]="","Pending",IF(Orders[[#This Row],[Actual Delivery Date]]&lt;=Orders[[#This Row],[Expected Delivery Date]],"On Time","Late"))</f>
        <v>On Time</v>
      </c>
      <c r="U122" t="str">
        <f>TEXT(Orders[[#This Row],[Order Date]],"mmm")</f>
        <v>Sep</v>
      </c>
      <c r="V122" s="8">
        <f>DATE(YEAR(Orders[[#This Row],[Order Date]]),MONTH(Orders[[#This Row],[Order Date]]),1)</f>
        <v>46266</v>
      </c>
      <c r="W122" s="5">
        <f>IF(Orders[[#This Row],[Order Status]]="Cancelled",Orders[[#This Row],[Net Sales]],0)</f>
        <v>0</v>
      </c>
    </row>
    <row r="123" spans="1:23" x14ac:dyDescent="0.3">
      <c r="A123" t="s">
        <v>387</v>
      </c>
      <c r="B123" s="7">
        <v>46379</v>
      </c>
      <c r="C123" t="s">
        <v>388</v>
      </c>
      <c r="D123" t="s">
        <v>389</v>
      </c>
      <c r="E123" t="s">
        <v>27</v>
      </c>
      <c r="F123" t="s">
        <v>28</v>
      </c>
      <c r="G123" t="s">
        <v>218</v>
      </c>
      <c r="H123" t="s">
        <v>21</v>
      </c>
      <c r="I123">
        <v>3</v>
      </c>
      <c r="J123" s="5">
        <v>2999</v>
      </c>
      <c r="K123" s="2">
        <v>0.15</v>
      </c>
      <c r="L123" t="s">
        <v>70</v>
      </c>
      <c r="M123" t="s">
        <v>47</v>
      </c>
      <c r="N123" s="1">
        <v>46381</v>
      </c>
      <c r="O123" s="1"/>
      <c r="P123" s="5">
        <f>Orders[[#This Row],[Quantity]]*Orders[[#This Row],[Unit Price]]</f>
        <v>8997</v>
      </c>
      <c r="Q123" s="5">
        <f>Orders[[#This Row],[Gross Sales]]*Orders[[#This Row],[Discount %]]</f>
        <v>1349.55</v>
      </c>
      <c r="R123" s="5">
        <f>Orders[[#This Row],[Gross Sales]]-Orders[[#This Row],[Discount Amount]]</f>
        <v>7647.45</v>
      </c>
      <c r="S123" t="str">
        <f>IF(Orders[[#This Row],[Actual Delivery Date]]="","",Orders[[#This Row],[Actual Delivery Date]]-Orders[[#This Row],[Order Date]])</f>
        <v/>
      </c>
      <c r="T123" t="str">
        <f>IF(Orders[[#This Row],[Actual Delivery Date]]="","Pending",IF(Orders[[#This Row],[Actual Delivery Date]]&lt;=Orders[[#This Row],[Expected Delivery Date]],"On Time","Late"))</f>
        <v>Pending</v>
      </c>
      <c r="U123" t="str">
        <f>TEXT(Orders[[#This Row],[Order Date]],"mmm")</f>
        <v>Dec</v>
      </c>
      <c r="V123" s="8">
        <f>DATE(YEAR(Orders[[#This Row],[Order Date]]),MONTH(Orders[[#This Row],[Order Date]]),1)</f>
        <v>46357</v>
      </c>
      <c r="W123" s="5">
        <f>IF(Orders[[#This Row],[Order Status]]="Cancelled",Orders[[#This Row],[Net Sales]],0)</f>
        <v>0</v>
      </c>
    </row>
    <row r="124" spans="1:23" x14ac:dyDescent="0.3">
      <c r="A124" t="s">
        <v>390</v>
      </c>
      <c r="B124" s="7">
        <v>46334</v>
      </c>
      <c r="C124" t="s">
        <v>391</v>
      </c>
      <c r="D124" t="s">
        <v>392</v>
      </c>
      <c r="E124" t="s">
        <v>35</v>
      </c>
      <c r="F124" t="s">
        <v>68</v>
      </c>
      <c r="G124" t="s">
        <v>69</v>
      </c>
      <c r="H124" t="s">
        <v>38</v>
      </c>
      <c r="I124">
        <v>2</v>
      </c>
      <c r="J124" s="5">
        <v>3499</v>
      </c>
      <c r="K124" s="2">
        <v>0</v>
      </c>
      <c r="L124" t="s">
        <v>46</v>
      </c>
      <c r="M124" t="s">
        <v>23</v>
      </c>
      <c r="N124" s="1">
        <v>46338</v>
      </c>
      <c r="O124" s="1">
        <v>46336</v>
      </c>
      <c r="P124" s="5">
        <f>Orders[[#This Row],[Quantity]]*Orders[[#This Row],[Unit Price]]</f>
        <v>6998</v>
      </c>
      <c r="Q124" s="5">
        <f>Orders[[#This Row],[Gross Sales]]*Orders[[#This Row],[Discount %]]</f>
        <v>0</v>
      </c>
      <c r="R124" s="5">
        <f>Orders[[#This Row],[Gross Sales]]-Orders[[#This Row],[Discount Amount]]</f>
        <v>6998</v>
      </c>
      <c r="S124">
        <f>IF(Orders[[#This Row],[Actual Delivery Date]]="","",Orders[[#This Row],[Actual Delivery Date]]-Orders[[#This Row],[Order Date]])</f>
        <v>2</v>
      </c>
      <c r="T124" t="str">
        <f>IF(Orders[[#This Row],[Actual Delivery Date]]="","Pending",IF(Orders[[#This Row],[Actual Delivery Date]]&lt;=Orders[[#This Row],[Expected Delivery Date]],"On Time","Late"))</f>
        <v>On Time</v>
      </c>
      <c r="U124" t="str">
        <f>TEXT(Orders[[#This Row],[Order Date]],"mmm")</f>
        <v>Nov</v>
      </c>
      <c r="V124" s="8">
        <f>DATE(YEAR(Orders[[#This Row],[Order Date]]),MONTH(Orders[[#This Row],[Order Date]]),1)</f>
        <v>46327</v>
      </c>
      <c r="W124" s="5">
        <f>IF(Orders[[#This Row],[Order Status]]="Cancelled",Orders[[#This Row],[Net Sales]],0)</f>
        <v>0</v>
      </c>
    </row>
    <row r="125" spans="1:23" x14ac:dyDescent="0.3">
      <c r="A125" t="s">
        <v>393</v>
      </c>
      <c r="B125" s="7">
        <v>46297</v>
      </c>
      <c r="C125" t="s">
        <v>394</v>
      </c>
      <c r="D125" t="s">
        <v>395</v>
      </c>
      <c r="E125" t="s">
        <v>18</v>
      </c>
      <c r="F125" t="s">
        <v>19</v>
      </c>
      <c r="G125" t="s">
        <v>228</v>
      </c>
      <c r="H125" t="s">
        <v>58</v>
      </c>
      <c r="I125">
        <v>1</v>
      </c>
      <c r="J125" s="5">
        <v>1499</v>
      </c>
      <c r="K125" s="2">
        <v>0.2</v>
      </c>
      <c r="L125" t="s">
        <v>22</v>
      </c>
      <c r="M125" t="s">
        <v>23</v>
      </c>
      <c r="N125" s="1">
        <v>46304</v>
      </c>
      <c r="O125" s="1">
        <v>46301</v>
      </c>
      <c r="P125" s="5">
        <f>Orders[[#This Row],[Quantity]]*Orders[[#This Row],[Unit Price]]</f>
        <v>1499</v>
      </c>
      <c r="Q125" s="5">
        <f>Orders[[#This Row],[Gross Sales]]*Orders[[#This Row],[Discount %]]</f>
        <v>299.8</v>
      </c>
      <c r="R125" s="5">
        <f>Orders[[#This Row],[Gross Sales]]-Orders[[#This Row],[Discount Amount]]</f>
        <v>1199.2</v>
      </c>
      <c r="S125">
        <f>IF(Orders[[#This Row],[Actual Delivery Date]]="","",Orders[[#This Row],[Actual Delivery Date]]-Orders[[#This Row],[Order Date]])</f>
        <v>4</v>
      </c>
      <c r="T125" t="str">
        <f>IF(Orders[[#This Row],[Actual Delivery Date]]="","Pending",IF(Orders[[#This Row],[Actual Delivery Date]]&lt;=Orders[[#This Row],[Expected Delivery Date]],"On Time","Late"))</f>
        <v>On Time</v>
      </c>
      <c r="U125" t="str">
        <f>TEXT(Orders[[#This Row],[Order Date]],"mmm")</f>
        <v>Oct</v>
      </c>
      <c r="V125" s="8">
        <f>DATE(YEAR(Orders[[#This Row],[Order Date]]),MONTH(Orders[[#This Row],[Order Date]]),1)</f>
        <v>46296</v>
      </c>
      <c r="W125" s="5">
        <f>IF(Orders[[#This Row],[Order Status]]="Cancelled",Orders[[#This Row],[Net Sales]],0)</f>
        <v>0</v>
      </c>
    </row>
    <row r="126" spans="1:23" x14ac:dyDescent="0.3">
      <c r="A126" t="s">
        <v>396</v>
      </c>
      <c r="B126" s="7">
        <v>46291</v>
      </c>
      <c r="C126" t="s">
        <v>360</v>
      </c>
      <c r="D126" t="s">
        <v>397</v>
      </c>
      <c r="E126" t="s">
        <v>27</v>
      </c>
      <c r="F126" t="s">
        <v>74</v>
      </c>
      <c r="G126" t="s">
        <v>104</v>
      </c>
      <c r="H126" t="s">
        <v>38</v>
      </c>
      <c r="I126">
        <v>5</v>
      </c>
      <c r="J126" s="5">
        <v>999</v>
      </c>
      <c r="K126" s="2">
        <v>0</v>
      </c>
      <c r="L126" t="s">
        <v>22</v>
      </c>
      <c r="M126" t="s">
        <v>47</v>
      </c>
      <c r="N126" s="1">
        <v>46297</v>
      </c>
      <c r="O126" s="1"/>
      <c r="P126" s="5">
        <f>Orders[[#This Row],[Quantity]]*Orders[[#This Row],[Unit Price]]</f>
        <v>4995</v>
      </c>
      <c r="Q126" s="5">
        <f>Orders[[#This Row],[Gross Sales]]*Orders[[#This Row],[Discount %]]</f>
        <v>0</v>
      </c>
      <c r="R126" s="5">
        <f>Orders[[#This Row],[Gross Sales]]-Orders[[#This Row],[Discount Amount]]</f>
        <v>4995</v>
      </c>
      <c r="S126" t="str">
        <f>IF(Orders[[#This Row],[Actual Delivery Date]]="","",Orders[[#This Row],[Actual Delivery Date]]-Orders[[#This Row],[Order Date]])</f>
        <v/>
      </c>
      <c r="T126" t="str">
        <f>IF(Orders[[#This Row],[Actual Delivery Date]]="","Pending",IF(Orders[[#This Row],[Actual Delivery Date]]&lt;=Orders[[#This Row],[Expected Delivery Date]],"On Time","Late"))</f>
        <v>Pending</v>
      </c>
      <c r="U126" t="str">
        <f>TEXT(Orders[[#This Row],[Order Date]],"mmm")</f>
        <v>Sep</v>
      </c>
      <c r="V126" s="8">
        <f>DATE(YEAR(Orders[[#This Row],[Order Date]]),MONTH(Orders[[#This Row],[Order Date]]),1)</f>
        <v>46266</v>
      </c>
      <c r="W126" s="5">
        <f>IF(Orders[[#This Row],[Order Status]]="Cancelled",Orders[[#This Row],[Net Sales]],0)</f>
        <v>0</v>
      </c>
    </row>
    <row r="127" spans="1:23" x14ac:dyDescent="0.3">
      <c r="A127" t="s">
        <v>398</v>
      </c>
      <c r="B127" s="7">
        <v>46348</v>
      </c>
      <c r="C127" t="s">
        <v>273</v>
      </c>
      <c r="D127" t="s">
        <v>399</v>
      </c>
      <c r="E127" t="s">
        <v>18</v>
      </c>
      <c r="F127" t="s">
        <v>43</v>
      </c>
      <c r="G127" t="s">
        <v>147</v>
      </c>
      <c r="H127" t="s">
        <v>58</v>
      </c>
      <c r="I127">
        <v>1</v>
      </c>
      <c r="J127" s="5">
        <v>399</v>
      </c>
      <c r="K127" s="2">
        <v>0.1</v>
      </c>
      <c r="L127" t="s">
        <v>46</v>
      </c>
      <c r="M127" t="s">
        <v>59</v>
      </c>
      <c r="N127" s="1">
        <v>46350</v>
      </c>
      <c r="O127" s="1">
        <v>46349</v>
      </c>
      <c r="P127" s="5">
        <f>Orders[[#This Row],[Quantity]]*Orders[[#This Row],[Unit Price]]</f>
        <v>399</v>
      </c>
      <c r="Q127" s="5">
        <f>Orders[[#This Row],[Gross Sales]]*Orders[[#This Row],[Discount %]]</f>
        <v>39.900000000000006</v>
      </c>
      <c r="R127" s="5">
        <f>Orders[[#This Row],[Gross Sales]]-Orders[[#This Row],[Discount Amount]]</f>
        <v>359.1</v>
      </c>
      <c r="S127">
        <f>IF(Orders[[#This Row],[Actual Delivery Date]]="","",Orders[[#This Row],[Actual Delivery Date]]-Orders[[#This Row],[Order Date]])</f>
        <v>1</v>
      </c>
      <c r="T127" t="str">
        <f>IF(Orders[[#This Row],[Actual Delivery Date]]="","Pending",IF(Orders[[#This Row],[Actual Delivery Date]]&lt;=Orders[[#This Row],[Expected Delivery Date]],"On Time","Late"))</f>
        <v>On Time</v>
      </c>
      <c r="U127" t="str">
        <f>TEXT(Orders[[#This Row],[Order Date]],"mmm")</f>
        <v>Nov</v>
      </c>
      <c r="V127" s="8">
        <f>DATE(YEAR(Orders[[#This Row],[Order Date]]),MONTH(Orders[[#This Row],[Order Date]]),1)</f>
        <v>46327</v>
      </c>
      <c r="W127" s="5">
        <f>IF(Orders[[#This Row],[Order Status]]="Cancelled",Orders[[#This Row],[Net Sales]],0)</f>
        <v>359.1</v>
      </c>
    </row>
    <row r="128" spans="1:23" x14ac:dyDescent="0.3">
      <c r="A128" t="s">
        <v>400</v>
      </c>
      <c r="B128" s="7">
        <v>46203</v>
      </c>
      <c r="C128" t="s">
        <v>185</v>
      </c>
      <c r="D128" t="s">
        <v>392</v>
      </c>
      <c r="E128" t="s">
        <v>18</v>
      </c>
      <c r="F128" t="s">
        <v>121</v>
      </c>
      <c r="G128" t="s">
        <v>104</v>
      </c>
      <c r="H128" t="s">
        <v>38</v>
      </c>
      <c r="I128">
        <v>2</v>
      </c>
      <c r="J128" s="5">
        <v>999</v>
      </c>
      <c r="K128" s="2">
        <v>0.05</v>
      </c>
      <c r="L128" t="s">
        <v>70</v>
      </c>
      <c r="M128" t="s">
        <v>59</v>
      </c>
      <c r="N128" s="1">
        <v>46208</v>
      </c>
      <c r="O128" s="1">
        <v>46205</v>
      </c>
      <c r="P128" s="5">
        <f>Orders[[#This Row],[Quantity]]*Orders[[#This Row],[Unit Price]]</f>
        <v>1998</v>
      </c>
      <c r="Q128" s="5">
        <f>Orders[[#This Row],[Gross Sales]]*Orders[[#This Row],[Discount %]]</f>
        <v>99.9</v>
      </c>
      <c r="R128" s="5">
        <f>Orders[[#This Row],[Gross Sales]]-Orders[[#This Row],[Discount Amount]]</f>
        <v>1898.1</v>
      </c>
      <c r="S128">
        <f>IF(Orders[[#This Row],[Actual Delivery Date]]="","",Orders[[#This Row],[Actual Delivery Date]]-Orders[[#This Row],[Order Date]])</f>
        <v>2</v>
      </c>
      <c r="T128" t="str">
        <f>IF(Orders[[#This Row],[Actual Delivery Date]]="","Pending",IF(Orders[[#This Row],[Actual Delivery Date]]&lt;=Orders[[#This Row],[Expected Delivery Date]],"On Time","Late"))</f>
        <v>On Time</v>
      </c>
      <c r="U128" t="str">
        <f>TEXT(Orders[[#This Row],[Order Date]],"mmm")</f>
        <v>Jun</v>
      </c>
      <c r="V128" s="8">
        <f>DATE(YEAR(Orders[[#This Row],[Order Date]]),MONTH(Orders[[#This Row],[Order Date]]),1)</f>
        <v>46174</v>
      </c>
      <c r="W128" s="5">
        <f>IF(Orders[[#This Row],[Order Status]]="Cancelled",Orders[[#This Row],[Net Sales]],0)</f>
        <v>1898.1</v>
      </c>
    </row>
    <row r="129" spans="1:23" x14ac:dyDescent="0.3">
      <c r="A129" t="s">
        <v>401</v>
      </c>
      <c r="B129" s="7">
        <v>46125</v>
      </c>
      <c r="C129" t="s">
        <v>402</v>
      </c>
      <c r="D129" t="s">
        <v>403</v>
      </c>
      <c r="E129" t="s">
        <v>18</v>
      </c>
      <c r="F129" t="s">
        <v>121</v>
      </c>
      <c r="G129" t="s">
        <v>104</v>
      </c>
      <c r="H129" t="s">
        <v>38</v>
      </c>
      <c r="I129">
        <v>3</v>
      </c>
      <c r="J129" s="5">
        <v>999</v>
      </c>
      <c r="K129" s="2">
        <v>0.1</v>
      </c>
      <c r="L129" t="s">
        <v>46</v>
      </c>
      <c r="M129" t="s">
        <v>47</v>
      </c>
      <c r="N129" s="1">
        <v>46130</v>
      </c>
      <c r="O129" s="1"/>
      <c r="P129" s="5">
        <f>Orders[[#This Row],[Quantity]]*Orders[[#This Row],[Unit Price]]</f>
        <v>2997</v>
      </c>
      <c r="Q129" s="5">
        <f>Orders[[#This Row],[Gross Sales]]*Orders[[#This Row],[Discount %]]</f>
        <v>299.7</v>
      </c>
      <c r="R129" s="5">
        <f>Orders[[#This Row],[Gross Sales]]-Orders[[#This Row],[Discount Amount]]</f>
        <v>2697.3</v>
      </c>
      <c r="S129" t="str">
        <f>IF(Orders[[#This Row],[Actual Delivery Date]]="","",Orders[[#This Row],[Actual Delivery Date]]-Orders[[#This Row],[Order Date]])</f>
        <v/>
      </c>
      <c r="T129" t="str">
        <f>IF(Orders[[#This Row],[Actual Delivery Date]]="","Pending",IF(Orders[[#This Row],[Actual Delivery Date]]&lt;=Orders[[#This Row],[Expected Delivery Date]],"On Time","Late"))</f>
        <v>Pending</v>
      </c>
      <c r="U129" t="str">
        <f>TEXT(Orders[[#This Row],[Order Date]],"mmm")</f>
        <v>Apr</v>
      </c>
      <c r="V129" s="8">
        <f>DATE(YEAR(Orders[[#This Row],[Order Date]]),MONTH(Orders[[#This Row],[Order Date]]),1)</f>
        <v>46113</v>
      </c>
      <c r="W129" s="5">
        <f>IF(Orders[[#This Row],[Order Status]]="Cancelled",Orders[[#This Row],[Net Sales]],0)</f>
        <v>0</v>
      </c>
    </row>
    <row r="130" spans="1:23" x14ac:dyDescent="0.3">
      <c r="A130" t="s">
        <v>404</v>
      </c>
      <c r="B130" s="7">
        <v>46205</v>
      </c>
      <c r="C130" t="s">
        <v>405</v>
      </c>
      <c r="D130" t="s">
        <v>406</v>
      </c>
      <c r="E130" t="s">
        <v>35</v>
      </c>
      <c r="F130" t="s">
        <v>135</v>
      </c>
      <c r="G130" t="s">
        <v>131</v>
      </c>
      <c r="H130" t="s">
        <v>38</v>
      </c>
      <c r="I130">
        <v>3</v>
      </c>
      <c r="J130" s="5">
        <v>899</v>
      </c>
      <c r="K130" s="2">
        <v>0</v>
      </c>
      <c r="L130" t="s">
        <v>46</v>
      </c>
      <c r="M130" t="s">
        <v>23</v>
      </c>
      <c r="N130" s="1">
        <v>46207</v>
      </c>
      <c r="O130" s="1">
        <v>46207</v>
      </c>
      <c r="P130" s="5">
        <f>Orders[[#This Row],[Quantity]]*Orders[[#This Row],[Unit Price]]</f>
        <v>2697</v>
      </c>
      <c r="Q130" s="5">
        <f>Orders[[#This Row],[Gross Sales]]*Orders[[#This Row],[Discount %]]</f>
        <v>0</v>
      </c>
      <c r="R130" s="5">
        <f>Orders[[#This Row],[Gross Sales]]-Orders[[#This Row],[Discount Amount]]</f>
        <v>2697</v>
      </c>
      <c r="S130">
        <f>IF(Orders[[#This Row],[Actual Delivery Date]]="","",Orders[[#This Row],[Actual Delivery Date]]-Orders[[#This Row],[Order Date]])</f>
        <v>2</v>
      </c>
      <c r="T130" t="str">
        <f>IF(Orders[[#This Row],[Actual Delivery Date]]="","Pending",IF(Orders[[#This Row],[Actual Delivery Date]]&lt;=Orders[[#This Row],[Expected Delivery Date]],"On Time","Late"))</f>
        <v>On Time</v>
      </c>
      <c r="U130" t="str">
        <f>TEXT(Orders[[#This Row],[Order Date]],"mmm")</f>
        <v>Jul</v>
      </c>
      <c r="V130" s="8">
        <f>DATE(YEAR(Orders[[#This Row],[Order Date]]),MONTH(Orders[[#This Row],[Order Date]]),1)</f>
        <v>46204</v>
      </c>
      <c r="W130" s="5">
        <f>IF(Orders[[#This Row],[Order Status]]="Cancelled",Orders[[#This Row],[Net Sales]],0)</f>
        <v>0</v>
      </c>
    </row>
    <row r="131" spans="1:23" x14ac:dyDescent="0.3">
      <c r="A131" t="s">
        <v>407</v>
      </c>
      <c r="B131" s="7">
        <v>46377</v>
      </c>
      <c r="C131" t="s">
        <v>139</v>
      </c>
      <c r="D131" t="s">
        <v>408</v>
      </c>
      <c r="E131" t="s">
        <v>79</v>
      </c>
      <c r="F131" t="s">
        <v>80</v>
      </c>
      <c r="G131" t="s">
        <v>96</v>
      </c>
      <c r="H131" t="s">
        <v>38</v>
      </c>
      <c r="I131">
        <v>2</v>
      </c>
      <c r="J131" s="5">
        <v>1599</v>
      </c>
      <c r="K131" s="2">
        <v>0.2</v>
      </c>
      <c r="L131" t="s">
        <v>46</v>
      </c>
      <c r="M131" t="s">
        <v>82</v>
      </c>
      <c r="N131" s="1">
        <v>46379</v>
      </c>
      <c r="O131" s="1">
        <v>46378</v>
      </c>
      <c r="P131" s="5">
        <f>Orders[[#This Row],[Quantity]]*Orders[[#This Row],[Unit Price]]</f>
        <v>3198</v>
      </c>
      <c r="Q131" s="5">
        <f>Orders[[#This Row],[Gross Sales]]*Orders[[#This Row],[Discount %]]</f>
        <v>639.6</v>
      </c>
      <c r="R131" s="5">
        <f>Orders[[#This Row],[Gross Sales]]-Orders[[#This Row],[Discount Amount]]</f>
        <v>2558.4</v>
      </c>
      <c r="S131">
        <f>IF(Orders[[#This Row],[Actual Delivery Date]]="","",Orders[[#This Row],[Actual Delivery Date]]-Orders[[#This Row],[Order Date]])</f>
        <v>1</v>
      </c>
      <c r="T131" t="str">
        <f>IF(Orders[[#This Row],[Actual Delivery Date]]="","Pending",IF(Orders[[#This Row],[Actual Delivery Date]]&lt;=Orders[[#This Row],[Expected Delivery Date]],"On Time","Late"))</f>
        <v>On Time</v>
      </c>
      <c r="U131" t="str">
        <f>TEXT(Orders[[#This Row],[Order Date]],"mmm")</f>
        <v>Dec</v>
      </c>
      <c r="V131" s="8">
        <f>DATE(YEAR(Orders[[#This Row],[Order Date]]),MONTH(Orders[[#This Row],[Order Date]]),1)</f>
        <v>46357</v>
      </c>
      <c r="W131" s="5">
        <f>IF(Orders[[#This Row],[Order Status]]="Cancelled",Orders[[#This Row],[Net Sales]],0)</f>
        <v>0</v>
      </c>
    </row>
    <row r="132" spans="1:23" x14ac:dyDescent="0.3">
      <c r="A132" t="s">
        <v>409</v>
      </c>
      <c r="B132" s="7">
        <v>46190</v>
      </c>
      <c r="C132" t="s">
        <v>178</v>
      </c>
      <c r="D132" t="s">
        <v>283</v>
      </c>
      <c r="E132" t="s">
        <v>35</v>
      </c>
      <c r="F132" t="s">
        <v>36</v>
      </c>
      <c r="G132" t="s">
        <v>75</v>
      </c>
      <c r="H132" t="s">
        <v>45</v>
      </c>
      <c r="I132">
        <v>2</v>
      </c>
      <c r="J132" s="5">
        <v>799</v>
      </c>
      <c r="K132" s="2">
        <v>0.1</v>
      </c>
      <c r="L132" t="s">
        <v>70</v>
      </c>
      <c r="M132" t="s">
        <v>47</v>
      </c>
      <c r="N132" s="1">
        <v>46197</v>
      </c>
      <c r="O132" s="1"/>
      <c r="P132" s="5">
        <f>Orders[[#This Row],[Quantity]]*Orders[[#This Row],[Unit Price]]</f>
        <v>1598</v>
      </c>
      <c r="Q132" s="5">
        <f>Orders[[#This Row],[Gross Sales]]*Orders[[#This Row],[Discount %]]</f>
        <v>159.80000000000001</v>
      </c>
      <c r="R132" s="5">
        <f>Orders[[#This Row],[Gross Sales]]-Orders[[#This Row],[Discount Amount]]</f>
        <v>1438.2</v>
      </c>
      <c r="S132" t="str">
        <f>IF(Orders[[#This Row],[Actual Delivery Date]]="","",Orders[[#This Row],[Actual Delivery Date]]-Orders[[#This Row],[Order Date]])</f>
        <v/>
      </c>
      <c r="T132" t="str">
        <f>IF(Orders[[#This Row],[Actual Delivery Date]]="","Pending",IF(Orders[[#This Row],[Actual Delivery Date]]&lt;=Orders[[#This Row],[Expected Delivery Date]],"On Time","Late"))</f>
        <v>Pending</v>
      </c>
      <c r="U132" t="str">
        <f>TEXT(Orders[[#This Row],[Order Date]],"mmm")</f>
        <v>Jun</v>
      </c>
      <c r="V132" s="8">
        <f>DATE(YEAR(Orders[[#This Row],[Order Date]]),MONTH(Orders[[#This Row],[Order Date]]),1)</f>
        <v>46174</v>
      </c>
      <c r="W132" s="5">
        <f>IF(Orders[[#This Row],[Order Status]]="Cancelled",Orders[[#This Row],[Net Sales]],0)</f>
        <v>0</v>
      </c>
    </row>
    <row r="133" spans="1:23" x14ac:dyDescent="0.3">
      <c r="A133" t="s">
        <v>410</v>
      </c>
      <c r="B133" s="7">
        <v>46203</v>
      </c>
      <c r="C133" t="s">
        <v>411</v>
      </c>
      <c r="D133" t="s">
        <v>412</v>
      </c>
      <c r="E133" t="s">
        <v>79</v>
      </c>
      <c r="F133" t="s">
        <v>80</v>
      </c>
      <c r="G133" t="s">
        <v>147</v>
      </c>
      <c r="H133" t="s">
        <v>58</v>
      </c>
      <c r="I133">
        <v>2</v>
      </c>
      <c r="J133" s="5">
        <v>399</v>
      </c>
      <c r="K133" s="2">
        <v>0.15</v>
      </c>
      <c r="L133" t="s">
        <v>46</v>
      </c>
      <c r="M133" t="s">
        <v>59</v>
      </c>
      <c r="N133" s="1">
        <v>46205</v>
      </c>
      <c r="O133" s="1">
        <v>46205</v>
      </c>
      <c r="P133" s="5">
        <f>Orders[[#This Row],[Quantity]]*Orders[[#This Row],[Unit Price]]</f>
        <v>798</v>
      </c>
      <c r="Q133" s="5">
        <f>Orders[[#This Row],[Gross Sales]]*Orders[[#This Row],[Discount %]]</f>
        <v>119.69999999999999</v>
      </c>
      <c r="R133" s="5">
        <f>Orders[[#This Row],[Gross Sales]]-Orders[[#This Row],[Discount Amount]]</f>
        <v>678.3</v>
      </c>
      <c r="S133">
        <f>IF(Orders[[#This Row],[Actual Delivery Date]]="","",Orders[[#This Row],[Actual Delivery Date]]-Orders[[#This Row],[Order Date]])</f>
        <v>2</v>
      </c>
      <c r="T133" t="str">
        <f>IF(Orders[[#This Row],[Actual Delivery Date]]="","Pending",IF(Orders[[#This Row],[Actual Delivery Date]]&lt;=Orders[[#This Row],[Expected Delivery Date]],"On Time","Late"))</f>
        <v>On Time</v>
      </c>
      <c r="U133" t="str">
        <f>TEXT(Orders[[#This Row],[Order Date]],"mmm")</f>
        <v>Jun</v>
      </c>
      <c r="V133" s="8">
        <f>DATE(YEAR(Orders[[#This Row],[Order Date]]),MONTH(Orders[[#This Row],[Order Date]]),1)</f>
        <v>46174</v>
      </c>
      <c r="W133" s="5">
        <f>IF(Orders[[#This Row],[Order Status]]="Cancelled",Orders[[#This Row],[Net Sales]],0)</f>
        <v>678.3</v>
      </c>
    </row>
    <row r="134" spans="1:23" x14ac:dyDescent="0.3">
      <c r="A134" t="s">
        <v>413</v>
      </c>
      <c r="B134" s="7">
        <v>46370</v>
      </c>
      <c r="C134" t="s">
        <v>66</v>
      </c>
      <c r="D134" t="s">
        <v>414</v>
      </c>
      <c r="E134" t="s">
        <v>27</v>
      </c>
      <c r="F134" t="s">
        <v>28</v>
      </c>
      <c r="G134" t="s">
        <v>69</v>
      </c>
      <c r="H134" t="s">
        <v>38</v>
      </c>
      <c r="I134">
        <v>3</v>
      </c>
      <c r="J134" s="5">
        <v>3499</v>
      </c>
      <c r="K134" s="2">
        <v>0</v>
      </c>
      <c r="L134" t="s">
        <v>31</v>
      </c>
      <c r="M134" t="s">
        <v>23</v>
      </c>
      <c r="N134" s="1">
        <v>46373</v>
      </c>
      <c r="O134" s="1">
        <v>46372</v>
      </c>
      <c r="P134" s="5">
        <f>Orders[[#This Row],[Quantity]]*Orders[[#This Row],[Unit Price]]</f>
        <v>10497</v>
      </c>
      <c r="Q134" s="5">
        <f>Orders[[#This Row],[Gross Sales]]*Orders[[#This Row],[Discount %]]</f>
        <v>0</v>
      </c>
      <c r="R134" s="5">
        <f>Orders[[#This Row],[Gross Sales]]-Orders[[#This Row],[Discount Amount]]</f>
        <v>10497</v>
      </c>
      <c r="S134">
        <f>IF(Orders[[#This Row],[Actual Delivery Date]]="","",Orders[[#This Row],[Actual Delivery Date]]-Orders[[#This Row],[Order Date]])</f>
        <v>2</v>
      </c>
      <c r="T134" t="str">
        <f>IF(Orders[[#This Row],[Actual Delivery Date]]="","Pending",IF(Orders[[#This Row],[Actual Delivery Date]]&lt;=Orders[[#This Row],[Expected Delivery Date]],"On Time","Late"))</f>
        <v>On Time</v>
      </c>
      <c r="U134" t="str">
        <f>TEXT(Orders[[#This Row],[Order Date]],"mmm")</f>
        <v>Dec</v>
      </c>
      <c r="V134" s="8">
        <f>DATE(YEAR(Orders[[#This Row],[Order Date]]),MONTH(Orders[[#This Row],[Order Date]]),1)</f>
        <v>46357</v>
      </c>
      <c r="W134" s="5">
        <f>IF(Orders[[#This Row],[Order Status]]="Cancelled",Orders[[#This Row],[Net Sales]],0)</f>
        <v>0</v>
      </c>
    </row>
    <row r="135" spans="1:23" x14ac:dyDescent="0.3">
      <c r="A135" t="s">
        <v>415</v>
      </c>
      <c r="B135" s="7">
        <v>46213</v>
      </c>
      <c r="C135" t="s">
        <v>416</v>
      </c>
      <c r="D135" t="s">
        <v>417</v>
      </c>
      <c r="E135" t="s">
        <v>18</v>
      </c>
      <c r="F135" t="s">
        <v>95</v>
      </c>
      <c r="G135" t="s">
        <v>118</v>
      </c>
      <c r="H135" t="s">
        <v>58</v>
      </c>
      <c r="I135">
        <v>1</v>
      </c>
      <c r="J135" s="5">
        <v>749</v>
      </c>
      <c r="K135" s="2">
        <v>0</v>
      </c>
      <c r="L135" t="s">
        <v>22</v>
      </c>
      <c r="M135" t="s">
        <v>23</v>
      </c>
      <c r="N135" s="1">
        <v>46219</v>
      </c>
      <c r="O135" s="1">
        <v>46216</v>
      </c>
      <c r="P135" s="5">
        <f>Orders[[#This Row],[Quantity]]*Orders[[#This Row],[Unit Price]]</f>
        <v>749</v>
      </c>
      <c r="Q135" s="5">
        <f>Orders[[#This Row],[Gross Sales]]*Orders[[#This Row],[Discount %]]</f>
        <v>0</v>
      </c>
      <c r="R135" s="5">
        <f>Orders[[#This Row],[Gross Sales]]-Orders[[#This Row],[Discount Amount]]</f>
        <v>749</v>
      </c>
      <c r="S135">
        <f>IF(Orders[[#This Row],[Actual Delivery Date]]="","",Orders[[#This Row],[Actual Delivery Date]]-Orders[[#This Row],[Order Date]])</f>
        <v>3</v>
      </c>
      <c r="T135" t="str">
        <f>IF(Orders[[#This Row],[Actual Delivery Date]]="","Pending",IF(Orders[[#This Row],[Actual Delivery Date]]&lt;=Orders[[#This Row],[Expected Delivery Date]],"On Time","Late"))</f>
        <v>On Time</v>
      </c>
      <c r="U135" t="str">
        <f>TEXT(Orders[[#This Row],[Order Date]],"mmm")</f>
        <v>Jul</v>
      </c>
      <c r="V135" s="8">
        <f>DATE(YEAR(Orders[[#This Row],[Order Date]]),MONTH(Orders[[#This Row],[Order Date]]),1)</f>
        <v>46204</v>
      </c>
      <c r="W135" s="5">
        <f>IF(Orders[[#This Row],[Order Status]]="Cancelled",Orders[[#This Row],[Net Sales]],0)</f>
        <v>0</v>
      </c>
    </row>
    <row r="136" spans="1:23" x14ac:dyDescent="0.3">
      <c r="A136" t="s">
        <v>418</v>
      </c>
      <c r="B136" s="7">
        <v>46288</v>
      </c>
      <c r="C136" t="s">
        <v>419</v>
      </c>
      <c r="D136" t="s">
        <v>321</v>
      </c>
      <c r="E136" t="s">
        <v>18</v>
      </c>
      <c r="F136" t="s">
        <v>19</v>
      </c>
      <c r="G136" t="s">
        <v>96</v>
      </c>
      <c r="H136" t="s">
        <v>38</v>
      </c>
      <c r="I136">
        <v>1</v>
      </c>
      <c r="J136" s="5">
        <v>1599</v>
      </c>
      <c r="K136" s="2">
        <v>0.2</v>
      </c>
      <c r="L136" t="s">
        <v>39</v>
      </c>
      <c r="M136" t="s">
        <v>23</v>
      </c>
      <c r="N136" s="1">
        <v>46292</v>
      </c>
      <c r="O136" s="1">
        <v>46290</v>
      </c>
      <c r="P136" s="5">
        <f>Orders[[#This Row],[Quantity]]*Orders[[#This Row],[Unit Price]]</f>
        <v>1599</v>
      </c>
      <c r="Q136" s="5">
        <f>Orders[[#This Row],[Gross Sales]]*Orders[[#This Row],[Discount %]]</f>
        <v>319.8</v>
      </c>
      <c r="R136" s="5">
        <f>Orders[[#This Row],[Gross Sales]]-Orders[[#This Row],[Discount Amount]]</f>
        <v>1279.2</v>
      </c>
      <c r="S136">
        <f>IF(Orders[[#This Row],[Actual Delivery Date]]="","",Orders[[#This Row],[Actual Delivery Date]]-Orders[[#This Row],[Order Date]])</f>
        <v>2</v>
      </c>
      <c r="T136" t="str">
        <f>IF(Orders[[#This Row],[Actual Delivery Date]]="","Pending",IF(Orders[[#This Row],[Actual Delivery Date]]&lt;=Orders[[#This Row],[Expected Delivery Date]],"On Time","Late"))</f>
        <v>On Time</v>
      </c>
      <c r="U136" t="str">
        <f>TEXT(Orders[[#This Row],[Order Date]],"mmm")</f>
        <v>Sep</v>
      </c>
      <c r="V136" s="8">
        <f>DATE(YEAR(Orders[[#This Row],[Order Date]]),MONTH(Orders[[#This Row],[Order Date]]),1)</f>
        <v>46266</v>
      </c>
      <c r="W136" s="5">
        <f>IF(Orders[[#This Row],[Order Status]]="Cancelled",Orders[[#This Row],[Net Sales]],0)</f>
        <v>0</v>
      </c>
    </row>
    <row r="137" spans="1:23" x14ac:dyDescent="0.3">
      <c r="A137" t="s">
        <v>420</v>
      </c>
      <c r="B137" s="7">
        <v>46254</v>
      </c>
      <c r="C137" t="s">
        <v>421</v>
      </c>
      <c r="D137" t="s">
        <v>422</v>
      </c>
      <c r="E137" t="s">
        <v>27</v>
      </c>
      <c r="F137" t="s">
        <v>28</v>
      </c>
      <c r="G137" t="s">
        <v>104</v>
      </c>
      <c r="H137" t="s">
        <v>38</v>
      </c>
      <c r="I137">
        <v>1</v>
      </c>
      <c r="J137" s="5">
        <v>999</v>
      </c>
      <c r="K137" s="2">
        <v>0.15</v>
      </c>
      <c r="L137" t="s">
        <v>39</v>
      </c>
      <c r="M137" t="s">
        <v>82</v>
      </c>
      <c r="N137" s="1">
        <v>46261</v>
      </c>
      <c r="O137" s="1">
        <v>46264</v>
      </c>
      <c r="P137" s="5">
        <f>Orders[[#This Row],[Quantity]]*Orders[[#This Row],[Unit Price]]</f>
        <v>999</v>
      </c>
      <c r="Q137" s="5">
        <f>Orders[[#This Row],[Gross Sales]]*Orders[[#This Row],[Discount %]]</f>
        <v>149.85</v>
      </c>
      <c r="R137" s="5">
        <f>Orders[[#This Row],[Gross Sales]]-Orders[[#This Row],[Discount Amount]]</f>
        <v>849.15</v>
      </c>
      <c r="S137">
        <f>IF(Orders[[#This Row],[Actual Delivery Date]]="","",Orders[[#This Row],[Actual Delivery Date]]-Orders[[#This Row],[Order Date]])</f>
        <v>10</v>
      </c>
      <c r="T137" t="str">
        <f>IF(Orders[[#This Row],[Actual Delivery Date]]="","Pending",IF(Orders[[#This Row],[Actual Delivery Date]]&lt;=Orders[[#This Row],[Expected Delivery Date]],"On Time","Late"))</f>
        <v>Late</v>
      </c>
      <c r="U137" t="str">
        <f>TEXT(Orders[[#This Row],[Order Date]],"mmm")</f>
        <v>Aug</v>
      </c>
      <c r="V137" s="8">
        <f>DATE(YEAR(Orders[[#This Row],[Order Date]]),MONTH(Orders[[#This Row],[Order Date]]),1)</f>
        <v>46235</v>
      </c>
      <c r="W137" s="5">
        <f>IF(Orders[[#This Row],[Order Status]]="Cancelled",Orders[[#This Row],[Net Sales]],0)</f>
        <v>0</v>
      </c>
    </row>
    <row r="138" spans="1:23" x14ac:dyDescent="0.3">
      <c r="A138" t="s">
        <v>423</v>
      </c>
      <c r="B138" s="7">
        <v>46208</v>
      </c>
      <c r="C138" t="s">
        <v>424</v>
      </c>
      <c r="D138" t="s">
        <v>425</v>
      </c>
      <c r="E138" t="s">
        <v>35</v>
      </c>
      <c r="F138" t="s">
        <v>36</v>
      </c>
      <c r="G138" t="s">
        <v>37</v>
      </c>
      <c r="H138" t="s">
        <v>38</v>
      </c>
      <c r="I138">
        <v>2</v>
      </c>
      <c r="J138" s="5">
        <v>699</v>
      </c>
      <c r="K138" s="2">
        <v>0</v>
      </c>
      <c r="L138" t="s">
        <v>31</v>
      </c>
      <c r="M138" t="s">
        <v>82</v>
      </c>
      <c r="N138" s="1">
        <v>46211</v>
      </c>
      <c r="O138" s="1">
        <v>46210</v>
      </c>
      <c r="P138" s="5">
        <f>Orders[[#This Row],[Quantity]]*Orders[[#This Row],[Unit Price]]</f>
        <v>1398</v>
      </c>
      <c r="Q138" s="5">
        <f>Orders[[#This Row],[Gross Sales]]*Orders[[#This Row],[Discount %]]</f>
        <v>0</v>
      </c>
      <c r="R138" s="5">
        <f>Orders[[#This Row],[Gross Sales]]-Orders[[#This Row],[Discount Amount]]</f>
        <v>1398</v>
      </c>
      <c r="S138">
        <f>IF(Orders[[#This Row],[Actual Delivery Date]]="","",Orders[[#This Row],[Actual Delivery Date]]-Orders[[#This Row],[Order Date]])</f>
        <v>2</v>
      </c>
      <c r="T138" t="str">
        <f>IF(Orders[[#This Row],[Actual Delivery Date]]="","Pending",IF(Orders[[#This Row],[Actual Delivery Date]]&lt;=Orders[[#This Row],[Expected Delivery Date]],"On Time","Late"))</f>
        <v>On Time</v>
      </c>
      <c r="U138" t="str">
        <f>TEXT(Orders[[#This Row],[Order Date]],"mmm")</f>
        <v>Jul</v>
      </c>
      <c r="V138" s="8">
        <f>DATE(YEAR(Orders[[#This Row],[Order Date]]),MONTH(Orders[[#This Row],[Order Date]]),1)</f>
        <v>46204</v>
      </c>
      <c r="W138" s="5">
        <f>IF(Orders[[#This Row],[Order Status]]="Cancelled",Orders[[#This Row],[Net Sales]],0)</f>
        <v>0</v>
      </c>
    </row>
    <row r="139" spans="1:23" x14ac:dyDescent="0.3">
      <c r="A139" t="s">
        <v>426</v>
      </c>
      <c r="B139" s="7">
        <v>46336</v>
      </c>
      <c r="C139" t="s">
        <v>427</v>
      </c>
      <c r="D139" t="s">
        <v>428</v>
      </c>
      <c r="E139" t="s">
        <v>35</v>
      </c>
      <c r="F139" t="s">
        <v>63</v>
      </c>
      <c r="G139" t="s">
        <v>29</v>
      </c>
      <c r="H139" t="s">
        <v>30</v>
      </c>
      <c r="I139">
        <v>3</v>
      </c>
      <c r="J139" s="5">
        <v>599</v>
      </c>
      <c r="K139" s="2">
        <v>0</v>
      </c>
      <c r="L139" t="s">
        <v>46</v>
      </c>
      <c r="M139" t="s">
        <v>23</v>
      </c>
      <c r="N139" s="1">
        <v>46343</v>
      </c>
      <c r="O139" s="1">
        <v>46341</v>
      </c>
      <c r="P139" s="5">
        <f>Orders[[#This Row],[Quantity]]*Orders[[#This Row],[Unit Price]]</f>
        <v>1797</v>
      </c>
      <c r="Q139" s="5">
        <f>Orders[[#This Row],[Gross Sales]]*Orders[[#This Row],[Discount %]]</f>
        <v>0</v>
      </c>
      <c r="R139" s="5">
        <f>Orders[[#This Row],[Gross Sales]]-Orders[[#This Row],[Discount Amount]]</f>
        <v>1797</v>
      </c>
      <c r="S139">
        <f>IF(Orders[[#This Row],[Actual Delivery Date]]="","",Orders[[#This Row],[Actual Delivery Date]]-Orders[[#This Row],[Order Date]])</f>
        <v>5</v>
      </c>
      <c r="T139" t="str">
        <f>IF(Orders[[#This Row],[Actual Delivery Date]]="","Pending",IF(Orders[[#This Row],[Actual Delivery Date]]&lt;=Orders[[#This Row],[Expected Delivery Date]],"On Time","Late"))</f>
        <v>On Time</v>
      </c>
      <c r="U139" t="str">
        <f>TEXT(Orders[[#This Row],[Order Date]],"mmm")</f>
        <v>Nov</v>
      </c>
      <c r="V139" s="8">
        <f>DATE(YEAR(Orders[[#This Row],[Order Date]]),MONTH(Orders[[#This Row],[Order Date]]),1)</f>
        <v>46327</v>
      </c>
      <c r="W139" s="5">
        <f>IF(Orders[[#This Row],[Order Status]]="Cancelled",Orders[[#This Row],[Net Sales]],0)</f>
        <v>0</v>
      </c>
    </row>
    <row r="140" spans="1:23" x14ac:dyDescent="0.3">
      <c r="A140" t="s">
        <v>429</v>
      </c>
      <c r="B140" s="7">
        <v>46253</v>
      </c>
      <c r="C140" t="s">
        <v>430</v>
      </c>
      <c r="D140" t="s">
        <v>431</v>
      </c>
      <c r="E140" t="s">
        <v>18</v>
      </c>
      <c r="F140" t="s">
        <v>95</v>
      </c>
      <c r="G140" t="s">
        <v>64</v>
      </c>
      <c r="H140" t="s">
        <v>21</v>
      </c>
      <c r="I140">
        <v>2</v>
      </c>
      <c r="J140" s="5">
        <v>699</v>
      </c>
      <c r="K140" s="2">
        <v>0.2</v>
      </c>
      <c r="L140" t="s">
        <v>46</v>
      </c>
      <c r="M140" t="s">
        <v>23</v>
      </c>
      <c r="N140" s="1">
        <v>46259</v>
      </c>
      <c r="O140" s="1">
        <v>46255</v>
      </c>
      <c r="P140" s="5">
        <f>Orders[[#This Row],[Quantity]]*Orders[[#This Row],[Unit Price]]</f>
        <v>1398</v>
      </c>
      <c r="Q140" s="5">
        <f>Orders[[#This Row],[Gross Sales]]*Orders[[#This Row],[Discount %]]</f>
        <v>279.60000000000002</v>
      </c>
      <c r="R140" s="5">
        <f>Orders[[#This Row],[Gross Sales]]-Orders[[#This Row],[Discount Amount]]</f>
        <v>1118.4000000000001</v>
      </c>
      <c r="S140">
        <f>IF(Orders[[#This Row],[Actual Delivery Date]]="","",Orders[[#This Row],[Actual Delivery Date]]-Orders[[#This Row],[Order Date]])</f>
        <v>2</v>
      </c>
      <c r="T140" t="str">
        <f>IF(Orders[[#This Row],[Actual Delivery Date]]="","Pending",IF(Orders[[#This Row],[Actual Delivery Date]]&lt;=Orders[[#This Row],[Expected Delivery Date]],"On Time","Late"))</f>
        <v>On Time</v>
      </c>
      <c r="U140" t="str">
        <f>TEXT(Orders[[#This Row],[Order Date]],"mmm")</f>
        <v>Aug</v>
      </c>
      <c r="V140" s="8">
        <f>DATE(YEAR(Orders[[#This Row],[Order Date]]),MONTH(Orders[[#This Row],[Order Date]]),1)</f>
        <v>46235</v>
      </c>
      <c r="W140" s="5">
        <f>IF(Orders[[#This Row],[Order Status]]="Cancelled",Orders[[#This Row],[Net Sales]],0)</f>
        <v>0</v>
      </c>
    </row>
    <row r="141" spans="1:23" x14ac:dyDescent="0.3">
      <c r="A141" t="s">
        <v>432</v>
      </c>
      <c r="B141" s="7">
        <v>46178</v>
      </c>
      <c r="C141" t="s">
        <v>226</v>
      </c>
      <c r="D141" t="s">
        <v>433</v>
      </c>
      <c r="E141" t="s">
        <v>18</v>
      </c>
      <c r="F141" t="s">
        <v>19</v>
      </c>
      <c r="G141" t="s">
        <v>29</v>
      </c>
      <c r="H141" t="s">
        <v>30</v>
      </c>
      <c r="I141">
        <v>1</v>
      </c>
      <c r="J141" s="5">
        <v>599</v>
      </c>
      <c r="K141" s="2">
        <v>0.1</v>
      </c>
      <c r="L141" t="s">
        <v>31</v>
      </c>
      <c r="M141" t="s">
        <v>23</v>
      </c>
      <c r="N141" s="1">
        <v>46184</v>
      </c>
      <c r="O141" s="1">
        <v>46185</v>
      </c>
      <c r="P141" s="5">
        <f>Orders[[#This Row],[Quantity]]*Orders[[#This Row],[Unit Price]]</f>
        <v>599</v>
      </c>
      <c r="Q141" s="5">
        <f>Orders[[#This Row],[Gross Sales]]*Orders[[#This Row],[Discount %]]</f>
        <v>59.900000000000006</v>
      </c>
      <c r="R141" s="5">
        <f>Orders[[#This Row],[Gross Sales]]-Orders[[#This Row],[Discount Amount]]</f>
        <v>539.1</v>
      </c>
      <c r="S141">
        <f>IF(Orders[[#This Row],[Actual Delivery Date]]="","",Orders[[#This Row],[Actual Delivery Date]]-Orders[[#This Row],[Order Date]])</f>
        <v>7</v>
      </c>
      <c r="T141" t="str">
        <f>IF(Orders[[#This Row],[Actual Delivery Date]]="","Pending",IF(Orders[[#This Row],[Actual Delivery Date]]&lt;=Orders[[#This Row],[Expected Delivery Date]],"On Time","Late"))</f>
        <v>Late</v>
      </c>
      <c r="U141" t="str">
        <f>TEXT(Orders[[#This Row],[Order Date]],"mmm")</f>
        <v>Jun</v>
      </c>
      <c r="V141" s="8">
        <f>DATE(YEAR(Orders[[#This Row],[Order Date]]),MONTH(Orders[[#This Row],[Order Date]]),1)</f>
        <v>46174</v>
      </c>
      <c r="W141" s="5">
        <f>IF(Orders[[#This Row],[Order Status]]="Cancelled",Orders[[#This Row],[Net Sales]],0)</f>
        <v>0</v>
      </c>
    </row>
    <row r="142" spans="1:23" x14ac:dyDescent="0.3">
      <c r="A142" t="s">
        <v>434</v>
      </c>
      <c r="B142" s="7">
        <v>46296</v>
      </c>
      <c r="C142" t="s">
        <v>435</v>
      </c>
      <c r="D142" t="s">
        <v>378</v>
      </c>
      <c r="E142" t="s">
        <v>35</v>
      </c>
      <c r="F142" t="s">
        <v>68</v>
      </c>
      <c r="G142" t="s">
        <v>87</v>
      </c>
      <c r="H142" t="s">
        <v>21</v>
      </c>
      <c r="I142">
        <v>1</v>
      </c>
      <c r="J142" s="5">
        <v>1899</v>
      </c>
      <c r="K142" s="2">
        <v>0.05</v>
      </c>
      <c r="L142" t="s">
        <v>22</v>
      </c>
      <c r="M142" t="s">
        <v>47</v>
      </c>
      <c r="N142" s="1">
        <v>46299</v>
      </c>
      <c r="O142" s="1"/>
      <c r="P142" s="5">
        <f>Orders[[#This Row],[Quantity]]*Orders[[#This Row],[Unit Price]]</f>
        <v>1899</v>
      </c>
      <c r="Q142" s="5">
        <f>Orders[[#This Row],[Gross Sales]]*Orders[[#This Row],[Discount %]]</f>
        <v>94.95</v>
      </c>
      <c r="R142" s="5">
        <f>Orders[[#This Row],[Gross Sales]]-Orders[[#This Row],[Discount Amount]]</f>
        <v>1804.05</v>
      </c>
      <c r="S142" t="str">
        <f>IF(Orders[[#This Row],[Actual Delivery Date]]="","",Orders[[#This Row],[Actual Delivery Date]]-Orders[[#This Row],[Order Date]])</f>
        <v/>
      </c>
      <c r="T142" t="str">
        <f>IF(Orders[[#This Row],[Actual Delivery Date]]="","Pending",IF(Orders[[#This Row],[Actual Delivery Date]]&lt;=Orders[[#This Row],[Expected Delivery Date]],"On Time","Late"))</f>
        <v>Pending</v>
      </c>
      <c r="U142" t="str">
        <f>TEXT(Orders[[#This Row],[Order Date]],"mmm")</f>
        <v>Oct</v>
      </c>
      <c r="V142" s="8">
        <f>DATE(YEAR(Orders[[#This Row],[Order Date]]),MONTH(Orders[[#This Row],[Order Date]]),1)</f>
        <v>46296</v>
      </c>
      <c r="W142" s="5">
        <f>IF(Orders[[#This Row],[Order Status]]="Cancelled",Orders[[#This Row],[Net Sales]],0)</f>
        <v>0</v>
      </c>
    </row>
    <row r="143" spans="1:23" x14ac:dyDescent="0.3">
      <c r="A143" t="s">
        <v>436</v>
      </c>
      <c r="B143" s="7">
        <v>46351</v>
      </c>
      <c r="C143" t="s">
        <v>437</v>
      </c>
      <c r="D143" t="s">
        <v>438</v>
      </c>
      <c r="E143" t="s">
        <v>18</v>
      </c>
      <c r="F143" t="s">
        <v>19</v>
      </c>
      <c r="G143" t="s">
        <v>75</v>
      </c>
      <c r="H143" t="s">
        <v>45</v>
      </c>
      <c r="I143">
        <v>3</v>
      </c>
      <c r="J143" s="5">
        <v>799</v>
      </c>
      <c r="K143" s="2">
        <v>0.1</v>
      </c>
      <c r="L143" t="s">
        <v>31</v>
      </c>
      <c r="M143" t="s">
        <v>82</v>
      </c>
      <c r="N143" s="1">
        <v>46357</v>
      </c>
      <c r="O143" s="1">
        <v>46357</v>
      </c>
      <c r="P143" s="5">
        <f>Orders[[#This Row],[Quantity]]*Orders[[#This Row],[Unit Price]]</f>
        <v>2397</v>
      </c>
      <c r="Q143" s="5">
        <f>Orders[[#This Row],[Gross Sales]]*Orders[[#This Row],[Discount %]]</f>
        <v>239.70000000000002</v>
      </c>
      <c r="R143" s="5">
        <f>Orders[[#This Row],[Gross Sales]]-Orders[[#This Row],[Discount Amount]]</f>
        <v>2157.3000000000002</v>
      </c>
      <c r="S143">
        <f>IF(Orders[[#This Row],[Actual Delivery Date]]="","",Orders[[#This Row],[Actual Delivery Date]]-Orders[[#This Row],[Order Date]])</f>
        <v>6</v>
      </c>
      <c r="T143" t="str">
        <f>IF(Orders[[#This Row],[Actual Delivery Date]]="","Pending",IF(Orders[[#This Row],[Actual Delivery Date]]&lt;=Orders[[#This Row],[Expected Delivery Date]],"On Time","Late"))</f>
        <v>On Time</v>
      </c>
      <c r="U143" t="str">
        <f>TEXT(Orders[[#This Row],[Order Date]],"mmm")</f>
        <v>Nov</v>
      </c>
      <c r="V143" s="8">
        <f>DATE(YEAR(Orders[[#This Row],[Order Date]]),MONTH(Orders[[#This Row],[Order Date]]),1)</f>
        <v>46327</v>
      </c>
      <c r="W143" s="5">
        <f>IF(Orders[[#This Row],[Order Status]]="Cancelled",Orders[[#This Row],[Net Sales]],0)</f>
        <v>0</v>
      </c>
    </row>
    <row r="144" spans="1:23" x14ac:dyDescent="0.3">
      <c r="A144" t="s">
        <v>439</v>
      </c>
      <c r="B144" s="7">
        <v>46373</v>
      </c>
      <c r="C144" t="s">
        <v>440</v>
      </c>
      <c r="D144" t="s">
        <v>302</v>
      </c>
      <c r="E144" t="s">
        <v>35</v>
      </c>
      <c r="F144" t="s">
        <v>36</v>
      </c>
      <c r="G144" t="s">
        <v>180</v>
      </c>
      <c r="H144" t="s">
        <v>58</v>
      </c>
      <c r="I144">
        <v>1</v>
      </c>
      <c r="J144" s="5">
        <v>599</v>
      </c>
      <c r="K144" s="2">
        <v>0.15</v>
      </c>
      <c r="L144" t="s">
        <v>39</v>
      </c>
      <c r="M144" t="s">
        <v>59</v>
      </c>
      <c r="N144" s="1">
        <v>46375</v>
      </c>
      <c r="O144" s="1">
        <v>46375</v>
      </c>
      <c r="P144" s="5">
        <f>Orders[[#This Row],[Quantity]]*Orders[[#This Row],[Unit Price]]</f>
        <v>599</v>
      </c>
      <c r="Q144" s="5">
        <f>Orders[[#This Row],[Gross Sales]]*Orders[[#This Row],[Discount %]]</f>
        <v>89.85</v>
      </c>
      <c r="R144" s="5">
        <f>Orders[[#This Row],[Gross Sales]]-Orders[[#This Row],[Discount Amount]]</f>
        <v>509.15</v>
      </c>
      <c r="S144">
        <f>IF(Orders[[#This Row],[Actual Delivery Date]]="","",Orders[[#This Row],[Actual Delivery Date]]-Orders[[#This Row],[Order Date]])</f>
        <v>2</v>
      </c>
      <c r="T144" t="str">
        <f>IF(Orders[[#This Row],[Actual Delivery Date]]="","Pending",IF(Orders[[#This Row],[Actual Delivery Date]]&lt;=Orders[[#This Row],[Expected Delivery Date]],"On Time","Late"))</f>
        <v>On Time</v>
      </c>
      <c r="U144" t="str">
        <f>TEXT(Orders[[#This Row],[Order Date]],"mmm")</f>
        <v>Dec</v>
      </c>
      <c r="V144" s="8">
        <f>DATE(YEAR(Orders[[#This Row],[Order Date]]),MONTH(Orders[[#This Row],[Order Date]]),1)</f>
        <v>46357</v>
      </c>
      <c r="W144" s="5">
        <f>IF(Orders[[#This Row],[Order Status]]="Cancelled",Orders[[#This Row],[Net Sales]],0)</f>
        <v>509.15</v>
      </c>
    </row>
    <row r="145" spans="1:23" x14ac:dyDescent="0.3">
      <c r="A145" t="s">
        <v>441</v>
      </c>
      <c r="B145" s="7">
        <v>46183</v>
      </c>
      <c r="C145" t="s">
        <v>329</v>
      </c>
      <c r="D145" t="s">
        <v>442</v>
      </c>
      <c r="E145" t="s">
        <v>27</v>
      </c>
      <c r="F145" t="s">
        <v>51</v>
      </c>
      <c r="G145" t="s">
        <v>29</v>
      </c>
      <c r="H145" t="s">
        <v>30</v>
      </c>
      <c r="I145">
        <v>3</v>
      </c>
      <c r="J145" s="5">
        <v>599</v>
      </c>
      <c r="K145" s="2">
        <v>0.1</v>
      </c>
      <c r="L145" t="s">
        <v>46</v>
      </c>
      <c r="M145" t="s">
        <v>23</v>
      </c>
      <c r="N145" s="1">
        <v>46186</v>
      </c>
      <c r="O145" s="1">
        <v>46186</v>
      </c>
      <c r="P145" s="5">
        <f>Orders[[#This Row],[Quantity]]*Orders[[#This Row],[Unit Price]]</f>
        <v>1797</v>
      </c>
      <c r="Q145" s="5">
        <f>Orders[[#This Row],[Gross Sales]]*Orders[[#This Row],[Discount %]]</f>
        <v>179.70000000000002</v>
      </c>
      <c r="R145" s="5">
        <f>Orders[[#This Row],[Gross Sales]]-Orders[[#This Row],[Discount Amount]]</f>
        <v>1617.3</v>
      </c>
      <c r="S145">
        <f>IF(Orders[[#This Row],[Actual Delivery Date]]="","",Orders[[#This Row],[Actual Delivery Date]]-Orders[[#This Row],[Order Date]])</f>
        <v>3</v>
      </c>
      <c r="T145" t="str">
        <f>IF(Orders[[#This Row],[Actual Delivery Date]]="","Pending",IF(Orders[[#This Row],[Actual Delivery Date]]&lt;=Orders[[#This Row],[Expected Delivery Date]],"On Time","Late"))</f>
        <v>On Time</v>
      </c>
      <c r="U145" t="str">
        <f>TEXT(Orders[[#This Row],[Order Date]],"mmm")</f>
        <v>Jun</v>
      </c>
      <c r="V145" s="8">
        <f>DATE(YEAR(Orders[[#This Row],[Order Date]]),MONTH(Orders[[#This Row],[Order Date]]),1)</f>
        <v>46174</v>
      </c>
      <c r="W145" s="5">
        <f>IF(Orders[[#This Row],[Order Status]]="Cancelled",Orders[[#This Row],[Net Sales]],0)</f>
        <v>0</v>
      </c>
    </row>
    <row r="146" spans="1:23" x14ac:dyDescent="0.3">
      <c r="A146" t="s">
        <v>443</v>
      </c>
      <c r="B146" s="7">
        <v>46159</v>
      </c>
      <c r="C146" t="s">
        <v>145</v>
      </c>
      <c r="D146" t="s">
        <v>444</v>
      </c>
      <c r="E146" t="s">
        <v>35</v>
      </c>
      <c r="F146" t="s">
        <v>68</v>
      </c>
      <c r="G146" t="s">
        <v>147</v>
      </c>
      <c r="H146" t="s">
        <v>58</v>
      </c>
      <c r="I146">
        <v>1</v>
      </c>
      <c r="J146" s="5">
        <v>399</v>
      </c>
      <c r="K146" s="2">
        <v>0.05</v>
      </c>
      <c r="L146" t="s">
        <v>39</v>
      </c>
      <c r="M146" t="s">
        <v>23</v>
      </c>
      <c r="N146" s="1">
        <v>46163</v>
      </c>
      <c r="O146" s="1">
        <v>46167</v>
      </c>
      <c r="P146" s="5">
        <f>Orders[[#This Row],[Quantity]]*Orders[[#This Row],[Unit Price]]</f>
        <v>399</v>
      </c>
      <c r="Q146" s="5">
        <f>Orders[[#This Row],[Gross Sales]]*Orders[[#This Row],[Discount %]]</f>
        <v>19.950000000000003</v>
      </c>
      <c r="R146" s="5">
        <f>Orders[[#This Row],[Gross Sales]]-Orders[[#This Row],[Discount Amount]]</f>
        <v>379.05</v>
      </c>
      <c r="S146">
        <f>IF(Orders[[#This Row],[Actual Delivery Date]]="","",Orders[[#This Row],[Actual Delivery Date]]-Orders[[#This Row],[Order Date]])</f>
        <v>8</v>
      </c>
      <c r="T146" t="str">
        <f>IF(Orders[[#This Row],[Actual Delivery Date]]="","Pending",IF(Orders[[#This Row],[Actual Delivery Date]]&lt;=Orders[[#This Row],[Expected Delivery Date]],"On Time","Late"))</f>
        <v>Late</v>
      </c>
      <c r="U146" t="str">
        <f>TEXT(Orders[[#This Row],[Order Date]],"mmm")</f>
        <v>May</v>
      </c>
      <c r="V146" s="8">
        <f>DATE(YEAR(Orders[[#This Row],[Order Date]]),MONTH(Orders[[#This Row],[Order Date]]),1)</f>
        <v>46143</v>
      </c>
      <c r="W146" s="5">
        <f>IF(Orders[[#This Row],[Order Status]]="Cancelled",Orders[[#This Row],[Net Sales]],0)</f>
        <v>0</v>
      </c>
    </row>
    <row r="147" spans="1:23" x14ac:dyDescent="0.3">
      <c r="A147" t="s">
        <v>445</v>
      </c>
      <c r="B147" s="7">
        <v>46278</v>
      </c>
      <c r="C147" t="s">
        <v>446</v>
      </c>
      <c r="D147" t="s">
        <v>392</v>
      </c>
      <c r="E147" t="s">
        <v>35</v>
      </c>
      <c r="F147" t="s">
        <v>36</v>
      </c>
      <c r="G147" t="s">
        <v>37</v>
      </c>
      <c r="H147" t="s">
        <v>38</v>
      </c>
      <c r="I147">
        <v>5</v>
      </c>
      <c r="J147" s="5">
        <v>699</v>
      </c>
      <c r="K147" s="2">
        <v>0.15</v>
      </c>
      <c r="L147" t="s">
        <v>70</v>
      </c>
      <c r="M147" t="s">
        <v>23</v>
      </c>
      <c r="N147" s="1">
        <v>46283</v>
      </c>
      <c r="O147" s="1">
        <v>46282</v>
      </c>
      <c r="P147" s="5">
        <f>Orders[[#This Row],[Quantity]]*Orders[[#This Row],[Unit Price]]</f>
        <v>3495</v>
      </c>
      <c r="Q147" s="5">
        <f>Orders[[#This Row],[Gross Sales]]*Orders[[#This Row],[Discount %]]</f>
        <v>524.25</v>
      </c>
      <c r="R147" s="5">
        <f>Orders[[#This Row],[Gross Sales]]-Orders[[#This Row],[Discount Amount]]</f>
        <v>2970.75</v>
      </c>
      <c r="S147">
        <f>IF(Orders[[#This Row],[Actual Delivery Date]]="","",Orders[[#This Row],[Actual Delivery Date]]-Orders[[#This Row],[Order Date]])</f>
        <v>4</v>
      </c>
      <c r="T147" t="str">
        <f>IF(Orders[[#This Row],[Actual Delivery Date]]="","Pending",IF(Orders[[#This Row],[Actual Delivery Date]]&lt;=Orders[[#This Row],[Expected Delivery Date]],"On Time","Late"))</f>
        <v>On Time</v>
      </c>
      <c r="U147" t="str">
        <f>TEXT(Orders[[#This Row],[Order Date]],"mmm")</f>
        <v>Sep</v>
      </c>
      <c r="V147" s="8">
        <f>DATE(YEAR(Orders[[#This Row],[Order Date]]),MONTH(Orders[[#This Row],[Order Date]]),1)</f>
        <v>46266</v>
      </c>
      <c r="W147" s="5">
        <f>IF(Orders[[#This Row],[Order Status]]="Cancelled",Orders[[#This Row],[Net Sales]],0)</f>
        <v>0</v>
      </c>
    </row>
    <row r="148" spans="1:23" x14ac:dyDescent="0.3">
      <c r="A148" t="s">
        <v>447</v>
      </c>
      <c r="B148" s="7">
        <v>46047</v>
      </c>
      <c r="C148" t="s">
        <v>448</v>
      </c>
      <c r="D148" t="s">
        <v>130</v>
      </c>
      <c r="E148" t="s">
        <v>27</v>
      </c>
      <c r="F148" t="s">
        <v>56</v>
      </c>
      <c r="G148" t="s">
        <v>91</v>
      </c>
      <c r="H148" t="s">
        <v>30</v>
      </c>
      <c r="I148">
        <v>1</v>
      </c>
      <c r="J148" s="5">
        <v>3299</v>
      </c>
      <c r="K148" s="2">
        <v>0.15</v>
      </c>
      <c r="L148" t="s">
        <v>22</v>
      </c>
      <c r="M148" t="s">
        <v>82</v>
      </c>
      <c r="N148" s="1">
        <v>46054</v>
      </c>
      <c r="O148" s="1">
        <v>46050</v>
      </c>
      <c r="P148" s="5">
        <f>Orders[[#This Row],[Quantity]]*Orders[[#This Row],[Unit Price]]</f>
        <v>3299</v>
      </c>
      <c r="Q148" s="5">
        <f>Orders[[#This Row],[Gross Sales]]*Orders[[#This Row],[Discount %]]</f>
        <v>494.84999999999997</v>
      </c>
      <c r="R148" s="5">
        <f>Orders[[#This Row],[Gross Sales]]-Orders[[#This Row],[Discount Amount]]</f>
        <v>2804.15</v>
      </c>
      <c r="S148">
        <f>IF(Orders[[#This Row],[Actual Delivery Date]]="","",Orders[[#This Row],[Actual Delivery Date]]-Orders[[#This Row],[Order Date]])</f>
        <v>3</v>
      </c>
      <c r="T148" t="str">
        <f>IF(Orders[[#This Row],[Actual Delivery Date]]="","Pending",IF(Orders[[#This Row],[Actual Delivery Date]]&lt;=Orders[[#This Row],[Expected Delivery Date]],"On Time","Late"))</f>
        <v>On Time</v>
      </c>
      <c r="U148" t="str">
        <f>TEXT(Orders[[#This Row],[Order Date]],"mmm")</f>
        <v>Jan</v>
      </c>
      <c r="V148" s="8">
        <f>DATE(YEAR(Orders[[#This Row],[Order Date]]),MONTH(Orders[[#This Row],[Order Date]]),1)</f>
        <v>46023</v>
      </c>
      <c r="W148" s="5">
        <f>IF(Orders[[#This Row],[Order Status]]="Cancelled",Orders[[#This Row],[Net Sales]],0)</f>
        <v>0</v>
      </c>
    </row>
    <row r="149" spans="1:23" x14ac:dyDescent="0.3">
      <c r="A149" t="s">
        <v>449</v>
      </c>
      <c r="B149" s="7">
        <v>46210</v>
      </c>
      <c r="C149" t="s">
        <v>66</v>
      </c>
      <c r="D149" t="s">
        <v>397</v>
      </c>
      <c r="E149" t="s">
        <v>18</v>
      </c>
      <c r="F149" t="s">
        <v>43</v>
      </c>
      <c r="G149" t="s">
        <v>131</v>
      </c>
      <c r="H149" t="s">
        <v>38</v>
      </c>
      <c r="I149">
        <v>3</v>
      </c>
      <c r="J149" s="5">
        <v>899</v>
      </c>
      <c r="K149" s="2">
        <v>0.1</v>
      </c>
      <c r="L149" t="s">
        <v>39</v>
      </c>
      <c r="M149" t="s">
        <v>23</v>
      </c>
      <c r="N149" s="1">
        <v>46212</v>
      </c>
      <c r="O149" s="1">
        <v>46211</v>
      </c>
      <c r="P149" s="5">
        <f>Orders[[#This Row],[Quantity]]*Orders[[#This Row],[Unit Price]]</f>
        <v>2697</v>
      </c>
      <c r="Q149" s="5">
        <f>Orders[[#This Row],[Gross Sales]]*Orders[[#This Row],[Discount %]]</f>
        <v>269.7</v>
      </c>
      <c r="R149" s="5">
        <f>Orders[[#This Row],[Gross Sales]]-Orders[[#This Row],[Discount Amount]]</f>
        <v>2427.3000000000002</v>
      </c>
      <c r="S149">
        <f>IF(Orders[[#This Row],[Actual Delivery Date]]="","",Orders[[#This Row],[Actual Delivery Date]]-Orders[[#This Row],[Order Date]])</f>
        <v>1</v>
      </c>
      <c r="T149" t="str">
        <f>IF(Orders[[#This Row],[Actual Delivery Date]]="","Pending",IF(Orders[[#This Row],[Actual Delivery Date]]&lt;=Orders[[#This Row],[Expected Delivery Date]],"On Time","Late"))</f>
        <v>On Time</v>
      </c>
      <c r="U149" t="str">
        <f>TEXT(Orders[[#This Row],[Order Date]],"mmm")</f>
        <v>Jul</v>
      </c>
      <c r="V149" s="8">
        <f>DATE(YEAR(Orders[[#This Row],[Order Date]]),MONTH(Orders[[#This Row],[Order Date]]),1)</f>
        <v>46204</v>
      </c>
      <c r="W149" s="5">
        <f>IF(Orders[[#This Row],[Order Status]]="Cancelled",Orders[[#This Row],[Net Sales]],0)</f>
        <v>0</v>
      </c>
    </row>
    <row r="150" spans="1:23" x14ac:dyDescent="0.3">
      <c r="A150" t="s">
        <v>450</v>
      </c>
      <c r="B150" s="7">
        <v>46253</v>
      </c>
      <c r="C150" t="s">
        <v>193</v>
      </c>
      <c r="D150" t="s">
        <v>85</v>
      </c>
      <c r="E150" t="s">
        <v>35</v>
      </c>
      <c r="F150" t="s">
        <v>135</v>
      </c>
      <c r="G150" t="s">
        <v>228</v>
      </c>
      <c r="H150" t="s">
        <v>58</v>
      </c>
      <c r="I150">
        <v>3</v>
      </c>
      <c r="J150" s="5">
        <v>1499</v>
      </c>
      <c r="K150" s="2">
        <v>0.1</v>
      </c>
      <c r="L150" t="s">
        <v>22</v>
      </c>
      <c r="M150" t="s">
        <v>59</v>
      </c>
      <c r="N150" s="1">
        <v>46259</v>
      </c>
      <c r="O150" s="1">
        <v>46254</v>
      </c>
      <c r="P150" s="5">
        <f>Orders[[#This Row],[Quantity]]*Orders[[#This Row],[Unit Price]]</f>
        <v>4497</v>
      </c>
      <c r="Q150" s="5">
        <f>Orders[[#This Row],[Gross Sales]]*Orders[[#This Row],[Discount %]]</f>
        <v>449.70000000000005</v>
      </c>
      <c r="R150" s="5">
        <f>Orders[[#This Row],[Gross Sales]]-Orders[[#This Row],[Discount Amount]]</f>
        <v>4047.3</v>
      </c>
      <c r="S150">
        <f>IF(Orders[[#This Row],[Actual Delivery Date]]="","",Orders[[#This Row],[Actual Delivery Date]]-Orders[[#This Row],[Order Date]])</f>
        <v>1</v>
      </c>
      <c r="T150" t="str">
        <f>IF(Orders[[#This Row],[Actual Delivery Date]]="","Pending",IF(Orders[[#This Row],[Actual Delivery Date]]&lt;=Orders[[#This Row],[Expected Delivery Date]],"On Time","Late"))</f>
        <v>On Time</v>
      </c>
      <c r="U150" t="str">
        <f>TEXT(Orders[[#This Row],[Order Date]],"mmm")</f>
        <v>Aug</v>
      </c>
      <c r="V150" s="8">
        <f>DATE(YEAR(Orders[[#This Row],[Order Date]]),MONTH(Orders[[#This Row],[Order Date]]),1)</f>
        <v>46235</v>
      </c>
      <c r="W150" s="5">
        <f>IF(Orders[[#This Row],[Order Status]]="Cancelled",Orders[[#This Row],[Net Sales]],0)</f>
        <v>4047.3</v>
      </c>
    </row>
    <row r="151" spans="1:23" x14ac:dyDescent="0.3">
      <c r="A151" t="s">
        <v>451</v>
      </c>
      <c r="B151" s="7">
        <v>46331</v>
      </c>
      <c r="C151" t="s">
        <v>452</v>
      </c>
      <c r="D151" t="s">
        <v>453</v>
      </c>
      <c r="E151" t="s">
        <v>35</v>
      </c>
      <c r="F151" t="s">
        <v>36</v>
      </c>
      <c r="G151" t="s">
        <v>37</v>
      </c>
      <c r="H151" t="s">
        <v>38</v>
      </c>
      <c r="I151">
        <v>2</v>
      </c>
      <c r="J151" s="5">
        <v>699</v>
      </c>
      <c r="K151" s="2">
        <v>0.2</v>
      </c>
      <c r="L151" t="s">
        <v>39</v>
      </c>
      <c r="M151" t="s">
        <v>23</v>
      </c>
      <c r="N151" s="1">
        <v>46333</v>
      </c>
      <c r="O151" s="1">
        <v>46333</v>
      </c>
      <c r="P151" s="5">
        <f>Orders[[#This Row],[Quantity]]*Orders[[#This Row],[Unit Price]]</f>
        <v>1398</v>
      </c>
      <c r="Q151" s="5">
        <f>Orders[[#This Row],[Gross Sales]]*Orders[[#This Row],[Discount %]]</f>
        <v>279.60000000000002</v>
      </c>
      <c r="R151" s="5">
        <f>Orders[[#This Row],[Gross Sales]]-Orders[[#This Row],[Discount Amount]]</f>
        <v>1118.4000000000001</v>
      </c>
      <c r="S151">
        <f>IF(Orders[[#This Row],[Actual Delivery Date]]="","",Orders[[#This Row],[Actual Delivery Date]]-Orders[[#This Row],[Order Date]])</f>
        <v>2</v>
      </c>
      <c r="T151" t="str">
        <f>IF(Orders[[#This Row],[Actual Delivery Date]]="","Pending",IF(Orders[[#This Row],[Actual Delivery Date]]&lt;=Orders[[#This Row],[Expected Delivery Date]],"On Time","Late"))</f>
        <v>On Time</v>
      </c>
      <c r="U151" t="str">
        <f>TEXT(Orders[[#This Row],[Order Date]],"mmm")</f>
        <v>Nov</v>
      </c>
      <c r="V151" s="8">
        <f>DATE(YEAR(Orders[[#This Row],[Order Date]]),MONTH(Orders[[#This Row],[Order Date]]),1)</f>
        <v>46327</v>
      </c>
      <c r="W151" s="5">
        <f>IF(Orders[[#This Row],[Order Status]]="Cancelled",Orders[[#This Row],[Net Sales]],0)</f>
        <v>0</v>
      </c>
    </row>
    <row r="152" spans="1:23" x14ac:dyDescent="0.3">
      <c r="A152" t="s">
        <v>454</v>
      </c>
      <c r="B152" s="7">
        <v>46094</v>
      </c>
      <c r="C152" t="s">
        <v>455</v>
      </c>
      <c r="D152" t="s">
        <v>333</v>
      </c>
      <c r="E152" t="s">
        <v>79</v>
      </c>
      <c r="F152" t="s">
        <v>108</v>
      </c>
      <c r="G152" t="s">
        <v>206</v>
      </c>
      <c r="H152" t="s">
        <v>30</v>
      </c>
      <c r="I152">
        <v>1</v>
      </c>
      <c r="J152" s="5">
        <v>1199</v>
      </c>
      <c r="K152" s="2">
        <v>0.2</v>
      </c>
      <c r="L152" t="s">
        <v>46</v>
      </c>
      <c r="M152" t="s">
        <v>23</v>
      </c>
      <c r="N152" s="1">
        <v>46099</v>
      </c>
      <c r="O152" s="1">
        <v>46102</v>
      </c>
      <c r="P152" s="5">
        <f>Orders[[#This Row],[Quantity]]*Orders[[#This Row],[Unit Price]]</f>
        <v>1199</v>
      </c>
      <c r="Q152" s="5">
        <f>Orders[[#This Row],[Gross Sales]]*Orders[[#This Row],[Discount %]]</f>
        <v>239.8</v>
      </c>
      <c r="R152" s="5">
        <f>Orders[[#This Row],[Gross Sales]]-Orders[[#This Row],[Discount Amount]]</f>
        <v>959.2</v>
      </c>
      <c r="S152">
        <f>IF(Orders[[#This Row],[Actual Delivery Date]]="","",Orders[[#This Row],[Actual Delivery Date]]-Orders[[#This Row],[Order Date]])</f>
        <v>8</v>
      </c>
      <c r="T152" t="str">
        <f>IF(Orders[[#This Row],[Actual Delivery Date]]="","Pending",IF(Orders[[#This Row],[Actual Delivery Date]]&lt;=Orders[[#This Row],[Expected Delivery Date]],"On Time","Late"))</f>
        <v>Late</v>
      </c>
      <c r="U152" t="str">
        <f>TEXT(Orders[[#This Row],[Order Date]],"mmm")</f>
        <v>Mar</v>
      </c>
      <c r="V152" s="8">
        <f>DATE(YEAR(Orders[[#This Row],[Order Date]]),MONTH(Orders[[#This Row],[Order Date]]),1)</f>
        <v>46082</v>
      </c>
      <c r="W152" s="5">
        <f>IF(Orders[[#This Row],[Order Status]]="Cancelled",Orders[[#This Row],[Net Sales]],0)</f>
        <v>0</v>
      </c>
    </row>
    <row r="153" spans="1:23" x14ac:dyDescent="0.3">
      <c r="A153" t="s">
        <v>456</v>
      </c>
      <c r="B153" s="7">
        <v>46211</v>
      </c>
      <c r="C153" t="s">
        <v>424</v>
      </c>
      <c r="D153" t="s">
        <v>403</v>
      </c>
      <c r="E153" t="s">
        <v>79</v>
      </c>
      <c r="F153" t="s">
        <v>80</v>
      </c>
      <c r="G153" t="s">
        <v>147</v>
      </c>
      <c r="H153" t="s">
        <v>58</v>
      </c>
      <c r="I153">
        <v>1</v>
      </c>
      <c r="J153" s="5">
        <v>399</v>
      </c>
      <c r="K153" s="2">
        <v>0</v>
      </c>
      <c r="L153" t="s">
        <v>70</v>
      </c>
      <c r="M153" t="s">
        <v>47</v>
      </c>
      <c r="N153" s="1">
        <v>46215</v>
      </c>
      <c r="O153" s="1"/>
      <c r="P153" s="5">
        <f>Orders[[#This Row],[Quantity]]*Orders[[#This Row],[Unit Price]]</f>
        <v>399</v>
      </c>
      <c r="Q153" s="5">
        <f>Orders[[#This Row],[Gross Sales]]*Orders[[#This Row],[Discount %]]</f>
        <v>0</v>
      </c>
      <c r="R153" s="5">
        <f>Orders[[#This Row],[Gross Sales]]-Orders[[#This Row],[Discount Amount]]</f>
        <v>399</v>
      </c>
      <c r="S153" t="str">
        <f>IF(Orders[[#This Row],[Actual Delivery Date]]="","",Orders[[#This Row],[Actual Delivery Date]]-Orders[[#This Row],[Order Date]])</f>
        <v/>
      </c>
      <c r="T153" t="str">
        <f>IF(Orders[[#This Row],[Actual Delivery Date]]="","Pending",IF(Orders[[#This Row],[Actual Delivery Date]]&lt;=Orders[[#This Row],[Expected Delivery Date]],"On Time","Late"))</f>
        <v>Pending</v>
      </c>
      <c r="U153" t="str">
        <f>TEXT(Orders[[#This Row],[Order Date]],"mmm")</f>
        <v>Jul</v>
      </c>
      <c r="V153" s="8">
        <f>DATE(YEAR(Orders[[#This Row],[Order Date]]),MONTH(Orders[[#This Row],[Order Date]]),1)</f>
        <v>46204</v>
      </c>
      <c r="W153" s="5">
        <f>IF(Orders[[#This Row],[Order Status]]="Cancelled",Orders[[#This Row],[Net Sales]],0)</f>
        <v>0</v>
      </c>
    </row>
    <row r="154" spans="1:23" x14ac:dyDescent="0.3">
      <c r="A154" t="s">
        <v>457</v>
      </c>
      <c r="B154" s="7">
        <v>46268</v>
      </c>
      <c r="C154" t="s">
        <v>458</v>
      </c>
      <c r="D154" t="s">
        <v>221</v>
      </c>
      <c r="E154" t="s">
        <v>35</v>
      </c>
      <c r="F154" t="s">
        <v>68</v>
      </c>
      <c r="G154" t="s">
        <v>44</v>
      </c>
      <c r="H154" t="s">
        <v>45</v>
      </c>
      <c r="I154">
        <v>1</v>
      </c>
      <c r="J154" s="5">
        <v>1799</v>
      </c>
      <c r="K154" s="2">
        <v>0.2</v>
      </c>
      <c r="L154" t="s">
        <v>70</v>
      </c>
      <c r="M154" t="s">
        <v>23</v>
      </c>
      <c r="N154" s="1">
        <v>46275</v>
      </c>
      <c r="O154" s="1">
        <v>46273</v>
      </c>
      <c r="P154" s="5">
        <f>Orders[[#This Row],[Quantity]]*Orders[[#This Row],[Unit Price]]</f>
        <v>1799</v>
      </c>
      <c r="Q154" s="5">
        <f>Orders[[#This Row],[Gross Sales]]*Orders[[#This Row],[Discount %]]</f>
        <v>359.8</v>
      </c>
      <c r="R154" s="5">
        <f>Orders[[#This Row],[Gross Sales]]-Orders[[#This Row],[Discount Amount]]</f>
        <v>1439.2</v>
      </c>
      <c r="S154">
        <f>IF(Orders[[#This Row],[Actual Delivery Date]]="","",Orders[[#This Row],[Actual Delivery Date]]-Orders[[#This Row],[Order Date]])</f>
        <v>5</v>
      </c>
      <c r="T154" t="str">
        <f>IF(Orders[[#This Row],[Actual Delivery Date]]="","Pending",IF(Orders[[#This Row],[Actual Delivery Date]]&lt;=Orders[[#This Row],[Expected Delivery Date]],"On Time","Late"))</f>
        <v>On Time</v>
      </c>
      <c r="U154" t="str">
        <f>TEXT(Orders[[#This Row],[Order Date]],"mmm")</f>
        <v>Sep</v>
      </c>
      <c r="V154" s="8">
        <f>DATE(YEAR(Orders[[#This Row],[Order Date]]),MONTH(Orders[[#This Row],[Order Date]]),1)</f>
        <v>46266</v>
      </c>
      <c r="W154" s="5">
        <f>IF(Orders[[#This Row],[Order Status]]="Cancelled",Orders[[#This Row],[Net Sales]],0)</f>
        <v>0</v>
      </c>
    </row>
    <row r="155" spans="1:23" x14ac:dyDescent="0.3">
      <c r="A155" t="s">
        <v>459</v>
      </c>
      <c r="B155" s="7">
        <v>46100</v>
      </c>
      <c r="C155" t="s">
        <v>268</v>
      </c>
      <c r="D155" t="s">
        <v>107</v>
      </c>
      <c r="E155" t="s">
        <v>18</v>
      </c>
      <c r="F155" t="s">
        <v>43</v>
      </c>
      <c r="G155" t="s">
        <v>218</v>
      </c>
      <c r="H155" t="s">
        <v>21</v>
      </c>
      <c r="I155">
        <v>1</v>
      </c>
      <c r="J155" s="5">
        <v>2999</v>
      </c>
      <c r="K155" s="2">
        <v>0.05</v>
      </c>
      <c r="L155" t="s">
        <v>70</v>
      </c>
      <c r="M155" t="s">
        <v>47</v>
      </c>
      <c r="N155" s="1">
        <v>46106</v>
      </c>
      <c r="O155" s="1"/>
      <c r="P155" s="5">
        <f>Orders[[#This Row],[Quantity]]*Orders[[#This Row],[Unit Price]]</f>
        <v>2999</v>
      </c>
      <c r="Q155" s="5">
        <f>Orders[[#This Row],[Gross Sales]]*Orders[[#This Row],[Discount %]]</f>
        <v>149.95000000000002</v>
      </c>
      <c r="R155" s="5">
        <f>Orders[[#This Row],[Gross Sales]]-Orders[[#This Row],[Discount Amount]]</f>
        <v>2849.05</v>
      </c>
      <c r="S155" t="str">
        <f>IF(Orders[[#This Row],[Actual Delivery Date]]="","",Orders[[#This Row],[Actual Delivery Date]]-Orders[[#This Row],[Order Date]])</f>
        <v/>
      </c>
      <c r="T155" t="str">
        <f>IF(Orders[[#This Row],[Actual Delivery Date]]="","Pending",IF(Orders[[#This Row],[Actual Delivery Date]]&lt;=Orders[[#This Row],[Expected Delivery Date]],"On Time","Late"))</f>
        <v>Pending</v>
      </c>
      <c r="U155" t="str">
        <f>TEXT(Orders[[#This Row],[Order Date]],"mmm")</f>
        <v>Mar</v>
      </c>
      <c r="V155" s="8">
        <f>DATE(YEAR(Orders[[#This Row],[Order Date]]),MONTH(Orders[[#This Row],[Order Date]]),1)</f>
        <v>46082</v>
      </c>
      <c r="W155" s="5">
        <f>IF(Orders[[#This Row],[Order Status]]="Cancelled",Orders[[#This Row],[Net Sales]],0)</f>
        <v>0</v>
      </c>
    </row>
    <row r="156" spans="1:23" x14ac:dyDescent="0.3">
      <c r="A156" t="s">
        <v>460</v>
      </c>
      <c r="B156" s="7">
        <v>46362</v>
      </c>
      <c r="C156" t="s">
        <v>461</v>
      </c>
      <c r="D156" t="s">
        <v>462</v>
      </c>
      <c r="E156" t="s">
        <v>27</v>
      </c>
      <c r="F156" t="s">
        <v>56</v>
      </c>
      <c r="G156" t="s">
        <v>91</v>
      </c>
      <c r="H156" t="s">
        <v>30</v>
      </c>
      <c r="I156">
        <v>2</v>
      </c>
      <c r="J156" s="5">
        <v>3299</v>
      </c>
      <c r="K156" s="2">
        <v>0.15</v>
      </c>
      <c r="L156" t="s">
        <v>46</v>
      </c>
      <c r="M156" t="s">
        <v>23</v>
      </c>
      <c r="N156" s="1">
        <v>46367</v>
      </c>
      <c r="O156" s="1">
        <v>46370</v>
      </c>
      <c r="P156" s="5">
        <f>Orders[[#This Row],[Quantity]]*Orders[[#This Row],[Unit Price]]</f>
        <v>6598</v>
      </c>
      <c r="Q156" s="5">
        <f>Orders[[#This Row],[Gross Sales]]*Orders[[#This Row],[Discount %]]</f>
        <v>989.69999999999993</v>
      </c>
      <c r="R156" s="5">
        <f>Orders[[#This Row],[Gross Sales]]-Orders[[#This Row],[Discount Amount]]</f>
        <v>5608.3</v>
      </c>
      <c r="S156">
        <f>IF(Orders[[#This Row],[Actual Delivery Date]]="","",Orders[[#This Row],[Actual Delivery Date]]-Orders[[#This Row],[Order Date]])</f>
        <v>8</v>
      </c>
      <c r="T156" t="str">
        <f>IF(Orders[[#This Row],[Actual Delivery Date]]="","Pending",IF(Orders[[#This Row],[Actual Delivery Date]]&lt;=Orders[[#This Row],[Expected Delivery Date]],"On Time","Late"))</f>
        <v>Late</v>
      </c>
      <c r="U156" t="str">
        <f>TEXT(Orders[[#This Row],[Order Date]],"mmm")</f>
        <v>Dec</v>
      </c>
      <c r="V156" s="8">
        <f>DATE(YEAR(Orders[[#This Row],[Order Date]]),MONTH(Orders[[#This Row],[Order Date]]),1)</f>
        <v>46357</v>
      </c>
      <c r="W156" s="5">
        <f>IF(Orders[[#This Row],[Order Status]]="Cancelled",Orders[[#This Row],[Net Sales]],0)</f>
        <v>0</v>
      </c>
    </row>
    <row r="157" spans="1:23" x14ac:dyDescent="0.3">
      <c r="A157" t="s">
        <v>463</v>
      </c>
      <c r="B157" s="7">
        <v>46165</v>
      </c>
      <c r="C157" t="s">
        <v>280</v>
      </c>
      <c r="D157" t="s">
        <v>464</v>
      </c>
      <c r="E157" t="s">
        <v>35</v>
      </c>
      <c r="F157" t="s">
        <v>63</v>
      </c>
      <c r="G157" t="s">
        <v>37</v>
      </c>
      <c r="H157" t="s">
        <v>38</v>
      </c>
      <c r="I157">
        <v>2</v>
      </c>
      <c r="J157" s="5">
        <v>699</v>
      </c>
      <c r="K157" s="2">
        <v>0.05</v>
      </c>
      <c r="L157" t="s">
        <v>46</v>
      </c>
      <c r="M157" t="s">
        <v>82</v>
      </c>
      <c r="N157" s="1">
        <v>46169</v>
      </c>
      <c r="O157" s="1">
        <v>46169</v>
      </c>
      <c r="P157" s="5">
        <f>Orders[[#This Row],[Quantity]]*Orders[[#This Row],[Unit Price]]</f>
        <v>1398</v>
      </c>
      <c r="Q157" s="5">
        <f>Orders[[#This Row],[Gross Sales]]*Orders[[#This Row],[Discount %]]</f>
        <v>69.900000000000006</v>
      </c>
      <c r="R157" s="5">
        <f>Orders[[#This Row],[Gross Sales]]-Orders[[#This Row],[Discount Amount]]</f>
        <v>1328.1</v>
      </c>
      <c r="S157">
        <f>IF(Orders[[#This Row],[Actual Delivery Date]]="","",Orders[[#This Row],[Actual Delivery Date]]-Orders[[#This Row],[Order Date]])</f>
        <v>4</v>
      </c>
      <c r="T157" t="str">
        <f>IF(Orders[[#This Row],[Actual Delivery Date]]="","Pending",IF(Orders[[#This Row],[Actual Delivery Date]]&lt;=Orders[[#This Row],[Expected Delivery Date]],"On Time","Late"))</f>
        <v>On Time</v>
      </c>
      <c r="U157" t="str">
        <f>TEXT(Orders[[#This Row],[Order Date]],"mmm")</f>
        <v>May</v>
      </c>
      <c r="V157" s="8">
        <f>DATE(YEAR(Orders[[#This Row],[Order Date]]),MONTH(Orders[[#This Row],[Order Date]]),1)</f>
        <v>46143</v>
      </c>
      <c r="W157" s="5">
        <f>IF(Orders[[#This Row],[Order Status]]="Cancelled",Orders[[#This Row],[Net Sales]],0)</f>
        <v>0</v>
      </c>
    </row>
    <row r="158" spans="1:23" x14ac:dyDescent="0.3">
      <c r="A158" t="s">
        <v>465</v>
      </c>
      <c r="B158" s="7">
        <v>46316</v>
      </c>
      <c r="C158" t="s">
        <v>466</v>
      </c>
      <c r="D158" t="s">
        <v>209</v>
      </c>
      <c r="E158" t="s">
        <v>35</v>
      </c>
      <c r="F158" t="s">
        <v>36</v>
      </c>
      <c r="G158" t="s">
        <v>64</v>
      </c>
      <c r="H158" t="s">
        <v>21</v>
      </c>
      <c r="I158">
        <v>2</v>
      </c>
      <c r="J158" s="5">
        <v>699</v>
      </c>
      <c r="K158" s="2">
        <v>0.15</v>
      </c>
      <c r="L158" t="s">
        <v>70</v>
      </c>
      <c r="M158" t="s">
        <v>82</v>
      </c>
      <c r="N158" s="1">
        <v>46320</v>
      </c>
      <c r="O158" s="1">
        <v>46322</v>
      </c>
      <c r="P158" s="5">
        <f>Orders[[#This Row],[Quantity]]*Orders[[#This Row],[Unit Price]]</f>
        <v>1398</v>
      </c>
      <c r="Q158" s="5">
        <f>Orders[[#This Row],[Gross Sales]]*Orders[[#This Row],[Discount %]]</f>
        <v>209.7</v>
      </c>
      <c r="R158" s="5">
        <f>Orders[[#This Row],[Gross Sales]]-Orders[[#This Row],[Discount Amount]]</f>
        <v>1188.3</v>
      </c>
      <c r="S158">
        <f>IF(Orders[[#This Row],[Actual Delivery Date]]="","",Orders[[#This Row],[Actual Delivery Date]]-Orders[[#This Row],[Order Date]])</f>
        <v>6</v>
      </c>
      <c r="T158" t="str">
        <f>IF(Orders[[#This Row],[Actual Delivery Date]]="","Pending",IF(Orders[[#This Row],[Actual Delivery Date]]&lt;=Orders[[#This Row],[Expected Delivery Date]],"On Time","Late"))</f>
        <v>Late</v>
      </c>
      <c r="U158" t="str">
        <f>TEXT(Orders[[#This Row],[Order Date]],"mmm")</f>
        <v>Oct</v>
      </c>
      <c r="V158" s="8">
        <f>DATE(YEAR(Orders[[#This Row],[Order Date]]),MONTH(Orders[[#This Row],[Order Date]]),1)</f>
        <v>46296</v>
      </c>
      <c r="W158" s="5">
        <f>IF(Orders[[#This Row],[Order Status]]="Cancelled",Orders[[#This Row],[Net Sales]],0)</f>
        <v>0</v>
      </c>
    </row>
    <row r="159" spans="1:23" x14ac:dyDescent="0.3">
      <c r="A159" t="s">
        <v>467</v>
      </c>
      <c r="B159" s="7">
        <v>46358</v>
      </c>
      <c r="C159" t="s">
        <v>468</v>
      </c>
      <c r="D159" t="s">
        <v>294</v>
      </c>
      <c r="E159" t="s">
        <v>35</v>
      </c>
      <c r="F159" t="s">
        <v>135</v>
      </c>
      <c r="G159" t="s">
        <v>218</v>
      </c>
      <c r="H159" t="s">
        <v>21</v>
      </c>
      <c r="I159">
        <v>1</v>
      </c>
      <c r="J159" s="5">
        <v>2999</v>
      </c>
      <c r="K159" s="2">
        <v>0.15</v>
      </c>
      <c r="L159" t="s">
        <v>31</v>
      </c>
      <c r="M159" t="s">
        <v>23</v>
      </c>
      <c r="N159" s="1">
        <v>46364</v>
      </c>
      <c r="O159" s="1">
        <v>46363</v>
      </c>
      <c r="P159" s="5">
        <f>Orders[[#This Row],[Quantity]]*Orders[[#This Row],[Unit Price]]</f>
        <v>2999</v>
      </c>
      <c r="Q159" s="5">
        <f>Orders[[#This Row],[Gross Sales]]*Orders[[#This Row],[Discount %]]</f>
        <v>449.84999999999997</v>
      </c>
      <c r="R159" s="5">
        <f>Orders[[#This Row],[Gross Sales]]-Orders[[#This Row],[Discount Amount]]</f>
        <v>2549.15</v>
      </c>
      <c r="S159">
        <f>IF(Orders[[#This Row],[Actual Delivery Date]]="","",Orders[[#This Row],[Actual Delivery Date]]-Orders[[#This Row],[Order Date]])</f>
        <v>5</v>
      </c>
      <c r="T159" t="str">
        <f>IF(Orders[[#This Row],[Actual Delivery Date]]="","Pending",IF(Orders[[#This Row],[Actual Delivery Date]]&lt;=Orders[[#This Row],[Expected Delivery Date]],"On Time","Late"))</f>
        <v>On Time</v>
      </c>
      <c r="U159" t="str">
        <f>TEXT(Orders[[#This Row],[Order Date]],"mmm")</f>
        <v>Dec</v>
      </c>
      <c r="V159" s="8">
        <f>DATE(YEAR(Orders[[#This Row],[Order Date]]),MONTH(Orders[[#This Row],[Order Date]]),1)</f>
        <v>46357</v>
      </c>
      <c r="W159" s="5">
        <f>IF(Orders[[#This Row],[Order Status]]="Cancelled",Orders[[#This Row],[Net Sales]],0)</f>
        <v>0</v>
      </c>
    </row>
    <row r="160" spans="1:23" x14ac:dyDescent="0.3">
      <c r="A160" t="s">
        <v>469</v>
      </c>
      <c r="B160" s="7">
        <v>46365</v>
      </c>
      <c r="C160" t="s">
        <v>470</v>
      </c>
      <c r="D160" t="s">
        <v>294</v>
      </c>
      <c r="E160" t="s">
        <v>18</v>
      </c>
      <c r="F160" t="s">
        <v>95</v>
      </c>
      <c r="G160" t="s">
        <v>104</v>
      </c>
      <c r="H160" t="s">
        <v>38</v>
      </c>
      <c r="I160">
        <v>4</v>
      </c>
      <c r="J160" s="5">
        <v>999</v>
      </c>
      <c r="K160" s="2">
        <v>0.05</v>
      </c>
      <c r="L160" t="s">
        <v>31</v>
      </c>
      <c r="M160" t="s">
        <v>23</v>
      </c>
      <c r="N160" s="1">
        <v>46367</v>
      </c>
      <c r="O160" s="1">
        <v>46367</v>
      </c>
      <c r="P160" s="5">
        <f>Orders[[#This Row],[Quantity]]*Orders[[#This Row],[Unit Price]]</f>
        <v>3996</v>
      </c>
      <c r="Q160" s="5">
        <f>Orders[[#This Row],[Gross Sales]]*Orders[[#This Row],[Discount %]]</f>
        <v>199.8</v>
      </c>
      <c r="R160" s="5">
        <f>Orders[[#This Row],[Gross Sales]]-Orders[[#This Row],[Discount Amount]]</f>
        <v>3796.2</v>
      </c>
      <c r="S160">
        <f>IF(Orders[[#This Row],[Actual Delivery Date]]="","",Orders[[#This Row],[Actual Delivery Date]]-Orders[[#This Row],[Order Date]])</f>
        <v>2</v>
      </c>
      <c r="T160" t="str">
        <f>IF(Orders[[#This Row],[Actual Delivery Date]]="","Pending",IF(Orders[[#This Row],[Actual Delivery Date]]&lt;=Orders[[#This Row],[Expected Delivery Date]],"On Time","Late"))</f>
        <v>On Time</v>
      </c>
      <c r="U160" t="str">
        <f>TEXT(Orders[[#This Row],[Order Date]],"mmm")</f>
        <v>Dec</v>
      </c>
      <c r="V160" s="8">
        <f>DATE(YEAR(Orders[[#This Row],[Order Date]]),MONTH(Orders[[#This Row],[Order Date]]),1)</f>
        <v>46357</v>
      </c>
      <c r="W160" s="5">
        <f>IF(Orders[[#This Row],[Order Status]]="Cancelled",Orders[[#This Row],[Net Sales]],0)</f>
        <v>0</v>
      </c>
    </row>
    <row r="161" spans="1:23" x14ac:dyDescent="0.3">
      <c r="A161" t="s">
        <v>471</v>
      </c>
      <c r="B161" s="7">
        <v>46267</v>
      </c>
      <c r="C161" t="s">
        <v>472</v>
      </c>
      <c r="D161" t="s">
        <v>473</v>
      </c>
      <c r="E161" t="s">
        <v>18</v>
      </c>
      <c r="F161" t="s">
        <v>95</v>
      </c>
      <c r="G161" t="s">
        <v>57</v>
      </c>
      <c r="H161" t="s">
        <v>58</v>
      </c>
      <c r="I161">
        <v>2</v>
      </c>
      <c r="J161" s="5">
        <v>499</v>
      </c>
      <c r="K161" s="2">
        <v>0.1</v>
      </c>
      <c r="L161" t="s">
        <v>46</v>
      </c>
      <c r="M161" t="s">
        <v>23</v>
      </c>
      <c r="N161" s="1">
        <v>46274</v>
      </c>
      <c r="O161" s="1">
        <v>46274</v>
      </c>
      <c r="P161" s="5">
        <f>Orders[[#This Row],[Quantity]]*Orders[[#This Row],[Unit Price]]</f>
        <v>998</v>
      </c>
      <c r="Q161" s="5">
        <f>Orders[[#This Row],[Gross Sales]]*Orders[[#This Row],[Discount %]]</f>
        <v>99.800000000000011</v>
      </c>
      <c r="R161" s="5">
        <f>Orders[[#This Row],[Gross Sales]]-Orders[[#This Row],[Discount Amount]]</f>
        <v>898.2</v>
      </c>
      <c r="S161">
        <f>IF(Orders[[#This Row],[Actual Delivery Date]]="","",Orders[[#This Row],[Actual Delivery Date]]-Orders[[#This Row],[Order Date]])</f>
        <v>7</v>
      </c>
      <c r="T161" t="str">
        <f>IF(Orders[[#This Row],[Actual Delivery Date]]="","Pending",IF(Orders[[#This Row],[Actual Delivery Date]]&lt;=Orders[[#This Row],[Expected Delivery Date]],"On Time","Late"))</f>
        <v>On Time</v>
      </c>
      <c r="U161" t="str">
        <f>TEXT(Orders[[#This Row],[Order Date]],"mmm")</f>
        <v>Sep</v>
      </c>
      <c r="V161" s="8">
        <f>DATE(YEAR(Orders[[#This Row],[Order Date]]),MONTH(Orders[[#This Row],[Order Date]]),1)</f>
        <v>46266</v>
      </c>
      <c r="W161" s="5">
        <f>IF(Orders[[#This Row],[Order Status]]="Cancelled",Orders[[#This Row],[Net Sales]],0)</f>
        <v>0</v>
      </c>
    </row>
    <row r="162" spans="1:23" x14ac:dyDescent="0.3">
      <c r="A162" t="s">
        <v>474</v>
      </c>
      <c r="B162" s="7">
        <v>46113</v>
      </c>
      <c r="C162" t="s">
        <v>377</v>
      </c>
      <c r="D162" t="s">
        <v>130</v>
      </c>
      <c r="E162" t="s">
        <v>27</v>
      </c>
      <c r="F162" t="s">
        <v>28</v>
      </c>
      <c r="G162" t="s">
        <v>96</v>
      </c>
      <c r="H162" t="s">
        <v>38</v>
      </c>
      <c r="I162">
        <v>4</v>
      </c>
      <c r="J162" s="5">
        <v>1599</v>
      </c>
      <c r="K162" s="2">
        <v>0</v>
      </c>
      <c r="L162" t="s">
        <v>70</v>
      </c>
      <c r="M162" t="s">
        <v>82</v>
      </c>
      <c r="N162" s="1">
        <v>46118</v>
      </c>
      <c r="O162" s="1">
        <v>46116</v>
      </c>
      <c r="P162" s="5">
        <f>Orders[[#This Row],[Quantity]]*Orders[[#This Row],[Unit Price]]</f>
        <v>6396</v>
      </c>
      <c r="Q162" s="5">
        <f>Orders[[#This Row],[Gross Sales]]*Orders[[#This Row],[Discount %]]</f>
        <v>0</v>
      </c>
      <c r="R162" s="5">
        <f>Orders[[#This Row],[Gross Sales]]-Orders[[#This Row],[Discount Amount]]</f>
        <v>6396</v>
      </c>
      <c r="S162">
        <f>IF(Orders[[#This Row],[Actual Delivery Date]]="","",Orders[[#This Row],[Actual Delivery Date]]-Orders[[#This Row],[Order Date]])</f>
        <v>3</v>
      </c>
      <c r="T162" t="str">
        <f>IF(Orders[[#This Row],[Actual Delivery Date]]="","Pending",IF(Orders[[#This Row],[Actual Delivery Date]]&lt;=Orders[[#This Row],[Expected Delivery Date]],"On Time","Late"))</f>
        <v>On Time</v>
      </c>
      <c r="U162" t="str">
        <f>TEXT(Orders[[#This Row],[Order Date]],"mmm")</f>
        <v>Apr</v>
      </c>
      <c r="V162" s="8">
        <f>DATE(YEAR(Orders[[#This Row],[Order Date]]),MONTH(Orders[[#This Row],[Order Date]]),1)</f>
        <v>46113</v>
      </c>
      <c r="W162" s="5">
        <f>IF(Orders[[#This Row],[Order Status]]="Cancelled",Orders[[#This Row],[Net Sales]],0)</f>
        <v>0</v>
      </c>
    </row>
    <row r="163" spans="1:23" x14ac:dyDescent="0.3">
      <c r="A163" t="s">
        <v>475</v>
      </c>
      <c r="B163" s="7">
        <v>46255</v>
      </c>
      <c r="C163" t="s">
        <v>468</v>
      </c>
      <c r="D163" t="s">
        <v>476</v>
      </c>
      <c r="E163" t="s">
        <v>35</v>
      </c>
      <c r="F163" t="s">
        <v>135</v>
      </c>
      <c r="G163" t="s">
        <v>186</v>
      </c>
      <c r="H163" t="s">
        <v>21</v>
      </c>
      <c r="I163">
        <v>5</v>
      </c>
      <c r="J163" s="5">
        <v>1999</v>
      </c>
      <c r="K163" s="2">
        <v>0.2</v>
      </c>
      <c r="L163" t="s">
        <v>22</v>
      </c>
      <c r="M163" t="s">
        <v>23</v>
      </c>
      <c r="N163" s="1">
        <v>46258</v>
      </c>
      <c r="O163" s="1">
        <v>46257</v>
      </c>
      <c r="P163" s="5">
        <f>Orders[[#This Row],[Quantity]]*Orders[[#This Row],[Unit Price]]</f>
        <v>9995</v>
      </c>
      <c r="Q163" s="5">
        <f>Orders[[#This Row],[Gross Sales]]*Orders[[#This Row],[Discount %]]</f>
        <v>1999</v>
      </c>
      <c r="R163" s="5">
        <f>Orders[[#This Row],[Gross Sales]]-Orders[[#This Row],[Discount Amount]]</f>
        <v>7996</v>
      </c>
      <c r="S163">
        <f>IF(Orders[[#This Row],[Actual Delivery Date]]="","",Orders[[#This Row],[Actual Delivery Date]]-Orders[[#This Row],[Order Date]])</f>
        <v>2</v>
      </c>
      <c r="T163" t="str">
        <f>IF(Orders[[#This Row],[Actual Delivery Date]]="","Pending",IF(Orders[[#This Row],[Actual Delivery Date]]&lt;=Orders[[#This Row],[Expected Delivery Date]],"On Time","Late"))</f>
        <v>On Time</v>
      </c>
      <c r="U163" t="str">
        <f>TEXT(Orders[[#This Row],[Order Date]],"mmm")</f>
        <v>Aug</v>
      </c>
      <c r="V163" s="8">
        <f>DATE(YEAR(Orders[[#This Row],[Order Date]]),MONTH(Orders[[#This Row],[Order Date]]),1)</f>
        <v>46235</v>
      </c>
      <c r="W163" s="5">
        <f>IF(Orders[[#This Row],[Order Status]]="Cancelled",Orders[[#This Row],[Net Sales]],0)</f>
        <v>0</v>
      </c>
    </row>
    <row r="164" spans="1:23" x14ac:dyDescent="0.3">
      <c r="A164" t="s">
        <v>477</v>
      </c>
      <c r="B164" s="7">
        <v>46354</v>
      </c>
      <c r="C164" t="s">
        <v>162</v>
      </c>
      <c r="D164" t="s">
        <v>478</v>
      </c>
      <c r="E164" t="s">
        <v>18</v>
      </c>
      <c r="F164" t="s">
        <v>121</v>
      </c>
      <c r="G164" t="s">
        <v>96</v>
      </c>
      <c r="H164" t="s">
        <v>38</v>
      </c>
      <c r="I164">
        <v>1</v>
      </c>
      <c r="J164" s="5">
        <v>1599</v>
      </c>
      <c r="K164" s="2">
        <v>0.05</v>
      </c>
      <c r="L164" t="s">
        <v>39</v>
      </c>
      <c r="M164" t="s">
        <v>59</v>
      </c>
      <c r="N164" s="1">
        <v>46358</v>
      </c>
      <c r="O164" s="1">
        <v>46356</v>
      </c>
      <c r="P164" s="5">
        <f>Orders[[#This Row],[Quantity]]*Orders[[#This Row],[Unit Price]]</f>
        <v>1599</v>
      </c>
      <c r="Q164" s="5">
        <f>Orders[[#This Row],[Gross Sales]]*Orders[[#This Row],[Discount %]]</f>
        <v>79.95</v>
      </c>
      <c r="R164" s="5">
        <f>Orders[[#This Row],[Gross Sales]]-Orders[[#This Row],[Discount Amount]]</f>
        <v>1519.05</v>
      </c>
      <c r="S164">
        <f>IF(Orders[[#This Row],[Actual Delivery Date]]="","",Orders[[#This Row],[Actual Delivery Date]]-Orders[[#This Row],[Order Date]])</f>
        <v>2</v>
      </c>
      <c r="T164" t="str">
        <f>IF(Orders[[#This Row],[Actual Delivery Date]]="","Pending",IF(Orders[[#This Row],[Actual Delivery Date]]&lt;=Orders[[#This Row],[Expected Delivery Date]],"On Time","Late"))</f>
        <v>On Time</v>
      </c>
      <c r="U164" t="str">
        <f>TEXT(Orders[[#This Row],[Order Date]],"mmm")</f>
        <v>Nov</v>
      </c>
      <c r="V164" s="8">
        <f>DATE(YEAR(Orders[[#This Row],[Order Date]]),MONTH(Orders[[#This Row],[Order Date]]),1)</f>
        <v>46327</v>
      </c>
      <c r="W164" s="5">
        <f>IF(Orders[[#This Row],[Order Status]]="Cancelled",Orders[[#This Row],[Net Sales]],0)</f>
        <v>1519.05</v>
      </c>
    </row>
    <row r="165" spans="1:23" x14ac:dyDescent="0.3">
      <c r="A165" t="s">
        <v>479</v>
      </c>
      <c r="B165" s="7">
        <v>46365</v>
      </c>
      <c r="C165" t="s">
        <v>480</v>
      </c>
      <c r="D165" t="s">
        <v>481</v>
      </c>
      <c r="E165" t="s">
        <v>79</v>
      </c>
      <c r="F165" t="s">
        <v>80</v>
      </c>
      <c r="G165" t="s">
        <v>160</v>
      </c>
      <c r="H165" t="s">
        <v>45</v>
      </c>
      <c r="I165">
        <v>1</v>
      </c>
      <c r="J165" s="5">
        <v>1499</v>
      </c>
      <c r="K165" s="2">
        <v>0.05</v>
      </c>
      <c r="L165" t="s">
        <v>70</v>
      </c>
      <c r="M165" t="s">
        <v>23</v>
      </c>
      <c r="N165" s="1">
        <v>46368</v>
      </c>
      <c r="O165" s="1">
        <v>46367</v>
      </c>
      <c r="P165" s="5">
        <f>Orders[[#This Row],[Quantity]]*Orders[[#This Row],[Unit Price]]</f>
        <v>1499</v>
      </c>
      <c r="Q165" s="5">
        <f>Orders[[#This Row],[Gross Sales]]*Orders[[#This Row],[Discount %]]</f>
        <v>74.95</v>
      </c>
      <c r="R165" s="5">
        <f>Orders[[#This Row],[Gross Sales]]-Orders[[#This Row],[Discount Amount]]</f>
        <v>1424.05</v>
      </c>
      <c r="S165">
        <f>IF(Orders[[#This Row],[Actual Delivery Date]]="","",Orders[[#This Row],[Actual Delivery Date]]-Orders[[#This Row],[Order Date]])</f>
        <v>2</v>
      </c>
      <c r="T165" t="str">
        <f>IF(Orders[[#This Row],[Actual Delivery Date]]="","Pending",IF(Orders[[#This Row],[Actual Delivery Date]]&lt;=Orders[[#This Row],[Expected Delivery Date]],"On Time","Late"))</f>
        <v>On Time</v>
      </c>
      <c r="U165" t="str">
        <f>TEXT(Orders[[#This Row],[Order Date]],"mmm")</f>
        <v>Dec</v>
      </c>
      <c r="V165" s="8">
        <f>DATE(YEAR(Orders[[#This Row],[Order Date]]),MONTH(Orders[[#This Row],[Order Date]]),1)</f>
        <v>46357</v>
      </c>
      <c r="W165" s="5">
        <f>IF(Orders[[#This Row],[Order Status]]="Cancelled",Orders[[#This Row],[Net Sales]],0)</f>
        <v>0</v>
      </c>
    </row>
    <row r="166" spans="1:23" x14ac:dyDescent="0.3">
      <c r="A166" t="s">
        <v>482</v>
      </c>
      <c r="B166" s="7">
        <v>46316</v>
      </c>
      <c r="C166" t="s">
        <v>25</v>
      </c>
      <c r="D166" t="s">
        <v>478</v>
      </c>
      <c r="E166" t="s">
        <v>35</v>
      </c>
      <c r="F166" t="s">
        <v>36</v>
      </c>
      <c r="G166" t="s">
        <v>87</v>
      </c>
      <c r="H166" t="s">
        <v>21</v>
      </c>
      <c r="I166">
        <v>1</v>
      </c>
      <c r="J166" s="5">
        <v>1899</v>
      </c>
      <c r="K166" s="2">
        <v>0.1</v>
      </c>
      <c r="L166" t="s">
        <v>31</v>
      </c>
      <c r="M166" t="s">
        <v>23</v>
      </c>
      <c r="N166" s="1">
        <v>46323</v>
      </c>
      <c r="O166" s="1">
        <v>46319</v>
      </c>
      <c r="P166" s="5">
        <f>Orders[[#This Row],[Quantity]]*Orders[[#This Row],[Unit Price]]</f>
        <v>1899</v>
      </c>
      <c r="Q166" s="5">
        <f>Orders[[#This Row],[Gross Sales]]*Orders[[#This Row],[Discount %]]</f>
        <v>189.9</v>
      </c>
      <c r="R166" s="5">
        <f>Orders[[#This Row],[Gross Sales]]-Orders[[#This Row],[Discount Amount]]</f>
        <v>1709.1</v>
      </c>
      <c r="S166">
        <f>IF(Orders[[#This Row],[Actual Delivery Date]]="","",Orders[[#This Row],[Actual Delivery Date]]-Orders[[#This Row],[Order Date]])</f>
        <v>3</v>
      </c>
      <c r="T166" t="str">
        <f>IF(Orders[[#This Row],[Actual Delivery Date]]="","Pending",IF(Orders[[#This Row],[Actual Delivery Date]]&lt;=Orders[[#This Row],[Expected Delivery Date]],"On Time","Late"))</f>
        <v>On Time</v>
      </c>
      <c r="U166" t="str">
        <f>TEXT(Orders[[#This Row],[Order Date]],"mmm")</f>
        <v>Oct</v>
      </c>
      <c r="V166" s="8">
        <f>DATE(YEAR(Orders[[#This Row],[Order Date]]),MONTH(Orders[[#This Row],[Order Date]]),1)</f>
        <v>46296</v>
      </c>
      <c r="W166" s="5">
        <f>IF(Orders[[#This Row],[Order Status]]="Cancelled",Orders[[#This Row],[Net Sales]],0)</f>
        <v>0</v>
      </c>
    </row>
    <row r="167" spans="1:23" x14ac:dyDescent="0.3">
      <c r="A167" t="s">
        <v>483</v>
      </c>
      <c r="B167" s="7">
        <v>46337</v>
      </c>
      <c r="C167" t="s">
        <v>484</v>
      </c>
      <c r="D167" t="s">
        <v>173</v>
      </c>
      <c r="E167" t="s">
        <v>35</v>
      </c>
      <c r="F167" t="s">
        <v>135</v>
      </c>
      <c r="G167" t="s">
        <v>186</v>
      </c>
      <c r="H167" t="s">
        <v>21</v>
      </c>
      <c r="I167">
        <v>1</v>
      </c>
      <c r="J167" s="5">
        <v>1999</v>
      </c>
      <c r="K167" s="2">
        <v>0.05</v>
      </c>
      <c r="L167" t="s">
        <v>70</v>
      </c>
      <c r="M167" t="s">
        <v>23</v>
      </c>
      <c r="N167" s="1">
        <v>46342</v>
      </c>
      <c r="O167" s="1">
        <v>46342</v>
      </c>
      <c r="P167" s="5">
        <f>Orders[[#This Row],[Quantity]]*Orders[[#This Row],[Unit Price]]</f>
        <v>1999</v>
      </c>
      <c r="Q167" s="5">
        <f>Orders[[#This Row],[Gross Sales]]*Orders[[#This Row],[Discount %]]</f>
        <v>99.95</v>
      </c>
      <c r="R167" s="5">
        <f>Orders[[#This Row],[Gross Sales]]-Orders[[#This Row],[Discount Amount]]</f>
        <v>1899.05</v>
      </c>
      <c r="S167">
        <f>IF(Orders[[#This Row],[Actual Delivery Date]]="","",Orders[[#This Row],[Actual Delivery Date]]-Orders[[#This Row],[Order Date]])</f>
        <v>5</v>
      </c>
      <c r="T167" t="str">
        <f>IF(Orders[[#This Row],[Actual Delivery Date]]="","Pending",IF(Orders[[#This Row],[Actual Delivery Date]]&lt;=Orders[[#This Row],[Expected Delivery Date]],"On Time","Late"))</f>
        <v>On Time</v>
      </c>
      <c r="U167" t="str">
        <f>TEXT(Orders[[#This Row],[Order Date]],"mmm")</f>
        <v>Nov</v>
      </c>
      <c r="V167" s="8">
        <f>DATE(YEAR(Orders[[#This Row],[Order Date]]),MONTH(Orders[[#This Row],[Order Date]]),1)</f>
        <v>46327</v>
      </c>
      <c r="W167" s="5">
        <f>IF(Orders[[#This Row],[Order Status]]="Cancelled",Orders[[#This Row],[Net Sales]],0)</f>
        <v>0</v>
      </c>
    </row>
    <row r="168" spans="1:23" x14ac:dyDescent="0.3">
      <c r="A168" t="s">
        <v>485</v>
      </c>
      <c r="B168" s="7">
        <v>46064</v>
      </c>
      <c r="C168" t="s">
        <v>446</v>
      </c>
      <c r="D168" t="s">
        <v>486</v>
      </c>
      <c r="E168" t="s">
        <v>79</v>
      </c>
      <c r="F168" t="s">
        <v>108</v>
      </c>
      <c r="G168" t="s">
        <v>69</v>
      </c>
      <c r="H168" t="s">
        <v>38</v>
      </c>
      <c r="I168">
        <v>2</v>
      </c>
      <c r="J168" s="5">
        <v>3499</v>
      </c>
      <c r="K168" s="2">
        <v>0.2</v>
      </c>
      <c r="L168" t="s">
        <v>46</v>
      </c>
      <c r="M168" t="s">
        <v>23</v>
      </c>
      <c r="N168" s="1">
        <v>46070</v>
      </c>
      <c r="O168" s="1">
        <v>46069</v>
      </c>
      <c r="P168" s="5">
        <f>Orders[[#This Row],[Quantity]]*Orders[[#This Row],[Unit Price]]</f>
        <v>6998</v>
      </c>
      <c r="Q168" s="5">
        <f>Orders[[#This Row],[Gross Sales]]*Orders[[#This Row],[Discount %]]</f>
        <v>1399.6000000000001</v>
      </c>
      <c r="R168" s="5">
        <f>Orders[[#This Row],[Gross Sales]]-Orders[[#This Row],[Discount Amount]]</f>
        <v>5598.4</v>
      </c>
      <c r="S168">
        <f>IF(Orders[[#This Row],[Actual Delivery Date]]="","",Orders[[#This Row],[Actual Delivery Date]]-Orders[[#This Row],[Order Date]])</f>
        <v>5</v>
      </c>
      <c r="T168" t="str">
        <f>IF(Orders[[#This Row],[Actual Delivery Date]]="","Pending",IF(Orders[[#This Row],[Actual Delivery Date]]&lt;=Orders[[#This Row],[Expected Delivery Date]],"On Time","Late"))</f>
        <v>On Time</v>
      </c>
      <c r="U168" t="str">
        <f>TEXT(Orders[[#This Row],[Order Date]],"mmm")</f>
        <v>Feb</v>
      </c>
      <c r="V168" s="8">
        <f>DATE(YEAR(Orders[[#This Row],[Order Date]]),MONTH(Orders[[#This Row],[Order Date]]),1)</f>
        <v>46054</v>
      </c>
      <c r="W168" s="5">
        <f>IF(Orders[[#This Row],[Order Status]]="Cancelled",Orders[[#This Row],[Net Sales]],0)</f>
        <v>0</v>
      </c>
    </row>
    <row r="169" spans="1:23" x14ac:dyDescent="0.3">
      <c r="A169" t="s">
        <v>487</v>
      </c>
      <c r="B169" s="7">
        <v>46249</v>
      </c>
      <c r="C169" t="s">
        <v>488</v>
      </c>
      <c r="D169" t="s">
        <v>305</v>
      </c>
      <c r="E169" t="s">
        <v>27</v>
      </c>
      <c r="F169" t="s">
        <v>56</v>
      </c>
      <c r="G169" t="s">
        <v>87</v>
      </c>
      <c r="H169" t="s">
        <v>21</v>
      </c>
      <c r="I169">
        <v>1</v>
      </c>
      <c r="J169" s="5">
        <v>1899</v>
      </c>
      <c r="K169" s="2">
        <v>0.05</v>
      </c>
      <c r="L169" t="s">
        <v>22</v>
      </c>
      <c r="M169" t="s">
        <v>23</v>
      </c>
      <c r="N169" s="1">
        <v>46251</v>
      </c>
      <c r="O169" s="1">
        <v>46255</v>
      </c>
      <c r="P169" s="5">
        <f>Orders[[#This Row],[Quantity]]*Orders[[#This Row],[Unit Price]]</f>
        <v>1899</v>
      </c>
      <c r="Q169" s="5">
        <f>Orders[[#This Row],[Gross Sales]]*Orders[[#This Row],[Discount %]]</f>
        <v>94.95</v>
      </c>
      <c r="R169" s="5">
        <f>Orders[[#This Row],[Gross Sales]]-Orders[[#This Row],[Discount Amount]]</f>
        <v>1804.05</v>
      </c>
      <c r="S169">
        <f>IF(Orders[[#This Row],[Actual Delivery Date]]="","",Orders[[#This Row],[Actual Delivery Date]]-Orders[[#This Row],[Order Date]])</f>
        <v>6</v>
      </c>
      <c r="T169" t="str">
        <f>IF(Orders[[#This Row],[Actual Delivery Date]]="","Pending",IF(Orders[[#This Row],[Actual Delivery Date]]&lt;=Orders[[#This Row],[Expected Delivery Date]],"On Time","Late"))</f>
        <v>Late</v>
      </c>
      <c r="U169" t="str">
        <f>TEXT(Orders[[#This Row],[Order Date]],"mmm")</f>
        <v>Aug</v>
      </c>
      <c r="V169" s="8">
        <f>DATE(YEAR(Orders[[#This Row],[Order Date]]),MONTH(Orders[[#This Row],[Order Date]]),1)</f>
        <v>46235</v>
      </c>
      <c r="W169" s="5">
        <f>IF(Orders[[#This Row],[Order Status]]="Cancelled",Orders[[#This Row],[Net Sales]],0)</f>
        <v>0</v>
      </c>
    </row>
    <row r="170" spans="1:23" x14ac:dyDescent="0.3">
      <c r="A170" t="s">
        <v>489</v>
      </c>
      <c r="B170" s="7">
        <v>46052</v>
      </c>
      <c r="C170" t="s">
        <v>116</v>
      </c>
      <c r="D170" t="s">
        <v>361</v>
      </c>
      <c r="E170" t="s">
        <v>27</v>
      </c>
      <c r="F170" t="s">
        <v>74</v>
      </c>
      <c r="G170" t="s">
        <v>228</v>
      </c>
      <c r="H170" t="s">
        <v>58</v>
      </c>
      <c r="I170">
        <v>2</v>
      </c>
      <c r="J170" s="5">
        <v>1499</v>
      </c>
      <c r="K170" s="2">
        <v>0.1</v>
      </c>
      <c r="L170" t="s">
        <v>39</v>
      </c>
      <c r="M170" t="s">
        <v>23</v>
      </c>
      <c r="N170" s="1">
        <v>46056</v>
      </c>
      <c r="O170" s="1">
        <v>46054</v>
      </c>
      <c r="P170" s="5">
        <f>Orders[[#This Row],[Quantity]]*Orders[[#This Row],[Unit Price]]</f>
        <v>2998</v>
      </c>
      <c r="Q170" s="5">
        <f>Orders[[#This Row],[Gross Sales]]*Orders[[#This Row],[Discount %]]</f>
        <v>299.8</v>
      </c>
      <c r="R170" s="5">
        <f>Orders[[#This Row],[Gross Sales]]-Orders[[#This Row],[Discount Amount]]</f>
        <v>2698.2</v>
      </c>
      <c r="S170">
        <f>IF(Orders[[#This Row],[Actual Delivery Date]]="","",Orders[[#This Row],[Actual Delivery Date]]-Orders[[#This Row],[Order Date]])</f>
        <v>2</v>
      </c>
      <c r="T170" t="str">
        <f>IF(Orders[[#This Row],[Actual Delivery Date]]="","Pending",IF(Orders[[#This Row],[Actual Delivery Date]]&lt;=Orders[[#This Row],[Expected Delivery Date]],"On Time","Late"))</f>
        <v>On Time</v>
      </c>
      <c r="U170" t="str">
        <f>TEXT(Orders[[#This Row],[Order Date]],"mmm")</f>
        <v>Jan</v>
      </c>
      <c r="V170" s="8">
        <f>DATE(YEAR(Orders[[#This Row],[Order Date]]),MONTH(Orders[[#This Row],[Order Date]]),1)</f>
        <v>46023</v>
      </c>
      <c r="W170" s="5">
        <f>IF(Orders[[#This Row],[Order Status]]="Cancelled",Orders[[#This Row],[Net Sales]],0)</f>
        <v>0</v>
      </c>
    </row>
    <row r="171" spans="1:23" x14ac:dyDescent="0.3">
      <c r="A171" t="s">
        <v>490</v>
      </c>
      <c r="B171" s="7">
        <v>46300</v>
      </c>
      <c r="C171" t="s">
        <v>491</v>
      </c>
      <c r="D171" t="s">
        <v>85</v>
      </c>
      <c r="E171" t="s">
        <v>18</v>
      </c>
      <c r="F171" t="s">
        <v>43</v>
      </c>
      <c r="G171" t="s">
        <v>64</v>
      </c>
      <c r="H171" t="s">
        <v>21</v>
      </c>
      <c r="I171">
        <v>5</v>
      </c>
      <c r="J171" s="5">
        <v>699</v>
      </c>
      <c r="K171" s="2">
        <v>0</v>
      </c>
      <c r="L171" t="s">
        <v>70</v>
      </c>
      <c r="M171" t="s">
        <v>23</v>
      </c>
      <c r="N171" s="1">
        <v>46304</v>
      </c>
      <c r="O171" s="1">
        <v>46302</v>
      </c>
      <c r="P171" s="5">
        <f>Orders[[#This Row],[Quantity]]*Orders[[#This Row],[Unit Price]]</f>
        <v>3495</v>
      </c>
      <c r="Q171" s="5">
        <f>Orders[[#This Row],[Gross Sales]]*Orders[[#This Row],[Discount %]]</f>
        <v>0</v>
      </c>
      <c r="R171" s="5">
        <f>Orders[[#This Row],[Gross Sales]]-Orders[[#This Row],[Discount Amount]]</f>
        <v>3495</v>
      </c>
      <c r="S171">
        <f>IF(Orders[[#This Row],[Actual Delivery Date]]="","",Orders[[#This Row],[Actual Delivery Date]]-Orders[[#This Row],[Order Date]])</f>
        <v>2</v>
      </c>
      <c r="T171" t="str">
        <f>IF(Orders[[#This Row],[Actual Delivery Date]]="","Pending",IF(Orders[[#This Row],[Actual Delivery Date]]&lt;=Orders[[#This Row],[Expected Delivery Date]],"On Time","Late"))</f>
        <v>On Time</v>
      </c>
      <c r="U171" t="str">
        <f>TEXT(Orders[[#This Row],[Order Date]],"mmm")</f>
        <v>Oct</v>
      </c>
      <c r="V171" s="8">
        <f>DATE(YEAR(Orders[[#This Row],[Order Date]]),MONTH(Orders[[#This Row],[Order Date]]),1)</f>
        <v>46296</v>
      </c>
      <c r="W171" s="5">
        <f>IF(Orders[[#This Row],[Order Status]]="Cancelled",Orders[[#This Row],[Net Sales]],0)</f>
        <v>0</v>
      </c>
    </row>
    <row r="172" spans="1:23" x14ac:dyDescent="0.3">
      <c r="A172" t="s">
        <v>492</v>
      </c>
      <c r="B172" s="7">
        <v>46064</v>
      </c>
      <c r="C172" t="s">
        <v>129</v>
      </c>
      <c r="D172" t="s">
        <v>140</v>
      </c>
      <c r="E172" t="s">
        <v>79</v>
      </c>
      <c r="F172" t="s">
        <v>170</v>
      </c>
      <c r="G172" t="s">
        <v>57</v>
      </c>
      <c r="H172" t="s">
        <v>58</v>
      </c>
      <c r="I172">
        <v>2</v>
      </c>
      <c r="J172" s="5">
        <v>499</v>
      </c>
      <c r="K172" s="2">
        <v>0.2</v>
      </c>
      <c r="L172" t="s">
        <v>31</v>
      </c>
      <c r="M172" t="s">
        <v>59</v>
      </c>
      <c r="N172" s="1">
        <v>46068</v>
      </c>
      <c r="O172" s="1">
        <v>46068</v>
      </c>
      <c r="P172" s="5">
        <f>Orders[[#This Row],[Quantity]]*Orders[[#This Row],[Unit Price]]</f>
        <v>998</v>
      </c>
      <c r="Q172" s="5">
        <f>Orders[[#This Row],[Gross Sales]]*Orders[[#This Row],[Discount %]]</f>
        <v>199.60000000000002</v>
      </c>
      <c r="R172" s="5">
        <f>Orders[[#This Row],[Gross Sales]]-Orders[[#This Row],[Discount Amount]]</f>
        <v>798.4</v>
      </c>
      <c r="S172">
        <f>IF(Orders[[#This Row],[Actual Delivery Date]]="","",Orders[[#This Row],[Actual Delivery Date]]-Orders[[#This Row],[Order Date]])</f>
        <v>4</v>
      </c>
      <c r="T172" t="str">
        <f>IF(Orders[[#This Row],[Actual Delivery Date]]="","Pending",IF(Orders[[#This Row],[Actual Delivery Date]]&lt;=Orders[[#This Row],[Expected Delivery Date]],"On Time","Late"))</f>
        <v>On Time</v>
      </c>
      <c r="U172" t="str">
        <f>TEXT(Orders[[#This Row],[Order Date]],"mmm")</f>
        <v>Feb</v>
      </c>
      <c r="V172" s="8">
        <f>DATE(YEAR(Orders[[#This Row],[Order Date]]),MONTH(Orders[[#This Row],[Order Date]]),1)</f>
        <v>46054</v>
      </c>
      <c r="W172" s="5">
        <f>IF(Orders[[#This Row],[Order Status]]="Cancelled",Orders[[#This Row],[Net Sales]],0)</f>
        <v>798.4</v>
      </c>
    </row>
    <row r="173" spans="1:23" x14ac:dyDescent="0.3">
      <c r="A173" t="s">
        <v>493</v>
      </c>
      <c r="B173" s="7">
        <v>46260</v>
      </c>
      <c r="C173" t="s">
        <v>54</v>
      </c>
      <c r="D173" t="s">
        <v>494</v>
      </c>
      <c r="E173" t="s">
        <v>27</v>
      </c>
      <c r="F173" t="s">
        <v>28</v>
      </c>
      <c r="G173" t="s">
        <v>153</v>
      </c>
      <c r="H173" t="s">
        <v>45</v>
      </c>
      <c r="I173">
        <v>2</v>
      </c>
      <c r="J173" s="5">
        <v>1999</v>
      </c>
      <c r="K173" s="2">
        <v>0.2</v>
      </c>
      <c r="L173" t="s">
        <v>70</v>
      </c>
      <c r="M173" t="s">
        <v>47</v>
      </c>
      <c r="N173" s="1">
        <v>46265</v>
      </c>
      <c r="O173" s="1"/>
      <c r="P173" s="5">
        <f>Orders[[#This Row],[Quantity]]*Orders[[#This Row],[Unit Price]]</f>
        <v>3998</v>
      </c>
      <c r="Q173" s="5">
        <f>Orders[[#This Row],[Gross Sales]]*Orders[[#This Row],[Discount %]]</f>
        <v>799.6</v>
      </c>
      <c r="R173" s="5">
        <f>Orders[[#This Row],[Gross Sales]]-Orders[[#This Row],[Discount Amount]]</f>
        <v>3198.4</v>
      </c>
      <c r="S173" t="str">
        <f>IF(Orders[[#This Row],[Actual Delivery Date]]="","",Orders[[#This Row],[Actual Delivery Date]]-Orders[[#This Row],[Order Date]])</f>
        <v/>
      </c>
      <c r="T173" t="str">
        <f>IF(Orders[[#This Row],[Actual Delivery Date]]="","Pending",IF(Orders[[#This Row],[Actual Delivery Date]]&lt;=Orders[[#This Row],[Expected Delivery Date]],"On Time","Late"))</f>
        <v>Pending</v>
      </c>
      <c r="U173" t="str">
        <f>TEXT(Orders[[#This Row],[Order Date]],"mmm")</f>
        <v>Aug</v>
      </c>
      <c r="V173" s="8">
        <f>DATE(YEAR(Orders[[#This Row],[Order Date]]),MONTH(Orders[[#This Row],[Order Date]]),1)</f>
        <v>46235</v>
      </c>
      <c r="W173" s="5">
        <f>IF(Orders[[#This Row],[Order Status]]="Cancelled",Orders[[#This Row],[Net Sales]],0)</f>
        <v>0</v>
      </c>
    </row>
    <row r="174" spans="1:23" x14ac:dyDescent="0.3">
      <c r="A174" t="s">
        <v>495</v>
      </c>
      <c r="B174" s="7">
        <v>46119</v>
      </c>
      <c r="C174" t="s">
        <v>496</v>
      </c>
      <c r="D174" t="s">
        <v>399</v>
      </c>
      <c r="E174" t="s">
        <v>79</v>
      </c>
      <c r="F174" t="s">
        <v>80</v>
      </c>
      <c r="G174" t="s">
        <v>131</v>
      </c>
      <c r="H174" t="s">
        <v>38</v>
      </c>
      <c r="I174">
        <v>4</v>
      </c>
      <c r="J174" s="5">
        <v>899</v>
      </c>
      <c r="K174" s="2">
        <v>0</v>
      </c>
      <c r="L174" t="s">
        <v>39</v>
      </c>
      <c r="M174" t="s">
        <v>82</v>
      </c>
      <c r="N174" s="1">
        <v>46126</v>
      </c>
      <c r="O174" s="1">
        <v>46126</v>
      </c>
      <c r="P174" s="5">
        <f>Orders[[#This Row],[Quantity]]*Orders[[#This Row],[Unit Price]]</f>
        <v>3596</v>
      </c>
      <c r="Q174" s="5">
        <f>Orders[[#This Row],[Gross Sales]]*Orders[[#This Row],[Discount %]]</f>
        <v>0</v>
      </c>
      <c r="R174" s="5">
        <f>Orders[[#This Row],[Gross Sales]]-Orders[[#This Row],[Discount Amount]]</f>
        <v>3596</v>
      </c>
      <c r="S174">
        <f>IF(Orders[[#This Row],[Actual Delivery Date]]="","",Orders[[#This Row],[Actual Delivery Date]]-Orders[[#This Row],[Order Date]])</f>
        <v>7</v>
      </c>
      <c r="T174" t="str">
        <f>IF(Orders[[#This Row],[Actual Delivery Date]]="","Pending",IF(Orders[[#This Row],[Actual Delivery Date]]&lt;=Orders[[#This Row],[Expected Delivery Date]],"On Time","Late"))</f>
        <v>On Time</v>
      </c>
      <c r="U174" t="str">
        <f>TEXT(Orders[[#This Row],[Order Date]],"mmm")</f>
        <v>Apr</v>
      </c>
      <c r="V174" s="8">
        <f>DATE(YEAR(Orders[[#This Row],[Order Date]]),MONTH(Orders[[#This Row],[Order Date]]),1)</f>
        <v>46113</v>
      </c>
      <c r="W174" s="5">
        <f>IF(Orders[[#This Row],[Order Status]]="Cancelled",Orders[[#This Row],[Net Sales]],0)</f>
        <v>0</v>
      </c>
    </row>
    <row r="175" spans="1:23" x14ac:dyDescent="0.3">
      <c r="A175" t="s">
        <v>497</v>
      </c>
      <c r="B175" s="7">
        <v>46040</v>
      </c>
      <c r="C175" t="s">
        <v>102</v>
      </c>
      <c r="D175" t="s">
        <v>17</v>
      </c>
      <c r="E175" t="s">
        <v>27</v>
      </c>
      <c r="F175" t="s">
        <v>28</v>
      </c>
      <c r="G175" t="s">
        <v>44</v>
      </c>
      <c r="H175" t="s">
        <v>45</v>
      </c>
      <c r="I175">
        <v>1</v>
      </c>
      <c r="J175" s="5">
        <v>1799</v>
      </c>
      <c r="K175" s="2">
        <v>0</v>
      </c>
      <c r="L175" t="s">
        <v>31</v>
      </c>
      <c r="M175" t="s">
        <v>59</v>
      </c>
      <c r="N175" s="1">
        <v>46042</v>
      </c>
      <c r="O175" s="1">
        <v>46041</v>
      </c>
      <c r="P175" s="5">
        <f>Orders[[#This Row],[Quantity]]*Orders[[#This Row],[Unit Price]]</f>
        <v>1799</v>
      </c>
      <c r="Q175" s="5">
        <f>Orders[[#This Row],[Gross Sales]]*Orders[[#This Row],[Discount %]]</f>
        <v>0</v>
      </c>
      <c r="R175" s="5">
        <f>Orders[[#This Row],[Gross Sales]]-Orders[[#This Row],[Discount Amount]]</f>
        <v>1799</v>
      </c>
      <c r="S175">
        <f>IF(Orders[[#This Row],[Actual Delivery Date]]="","",Orders[[#This Row],[Actual Delivery Date]]-Orders[[#This Row],[Order Date]])</f>
        <v>1</v>
      </c>
      <c r="T175" t="str">
        <f>IF(Orders[[#This Row],[Actual Delivery Date]]="","Pending",IF(Orders[[#This Row],[Actual Delivery Date]]&lt;=Orders[[#This Row],[Expected Delivery Date]],"On Time","Late"))</f>
        <v>On Time</v>
      </c>
      <c r="U175" t="str">
        <f>TEXT(Orders[[#This Row],[Order Date]],"mmm")</f>
        <v>Jan</v>
      </c>
      <c r="V175" s="8">
        <f>DATE(YEAR(Orders[[#This Row],[Order Date]]),MONTH(Orders[[#This Row],[Order Date]]),1)</f>
        <v>46023</v>
      </c>
      <c r="W175" s="5">
        <f>IF(Orders[[#This Row],[Order Status]]="Cancelled",Orders[[#This Row],[Net Sales]],0)</f>
        <v>1799</v>
      </c>
    </row>
    <row r="176" spans="1:23" x14ac:dyDescent="0.3">
      <c r="A176" t="s">
        <v>498</v>
      </c>
      <c r="B176" s="7">
        <v>46142</v>
      </c>
      <c r="C176" t="s">
        <v>165</v>
      </c>
      <c r="D176" t="s">
        <v>143</v>
      </c>
      <c r="E176" t="s">
        <v>18</v>
      </c>
      <c r="F176" t="s">
        <v>95</v>
      </c>
      <c r="G176" t="s">
        <v>91</v>
      </c>
      <c r="H176" t="s">
        <v>30</v>
      </c>
      <c r="I176">
        <v>3</v>
      </c>
      <c r="J176" s="5">
        <v>3299</v>
      </c>
      <c r="K176" s="2">
        <v>0.2</v>
      </c>
      <c r="L176" t="s">
        <v>46</v>
      </c>
      <c r="M176" t="s">
        <v>47</v>
      </c>
      <c r="N176" s="1">
        <v>46148</v>
      </c>
      <c r="O176" s="1"/>
      <c r="P176" s="5">
        <f>Orders[[#This Row],[Quantity]]*Orders[[#This Row],[Unit Price]]</f>
        <v>9897</v>
      </c>
      <c r="Q176" s="5">
        <f>Orders[[#This Row],[Gross Sales]]*Orders[[#This Row],[Discount %]]</f>
        <v>1979.4</v>
      </c>
      <c r="R176" s="5">
        <f>Orders[[#This Row],[Gross Sales]]-Orders[[#This Row],[Discount Amount]]</f>
        <v>7917.6</v>
      </c>
      <c r="S176" t="str">
        <f>IF(Orders[[#This Row],[Actual Delivery Date]]="","",Orders[[#This Row],[Actual Delivery Date]]-Orders[[#This Row],[Order Date]])</f>
        <v/>
      </c>
      <c r="T176" t="str">
        <f>IF(Orders[[#This Row],[Actual Delivery Date]]="","Pending",IF(Orders[[#This Row],[Actual Delivery Date]]&lt;=Orders[[#This Row],[Expected Delivery Date]],"On Time","Late"))</f>
        <v>Pending</v>
      </c>
      <c r="U176" t="str">
        <f>TEXT(Orders[[#This Row],[Order Date]],"mmm")</f>
        <v>Apr</v>
      </c>
      <c r="V176" s="8">
        <f>DATE(YEAR(Orders[[#This Row],[Order Date]]),MONTH(Orders[[#This Row],[Order Date]]),1)</f>
        <v>46113</v>
      </c>
      <c r="W176" s="5">
        <f>IF(Orders[[#This Row],[Order Status]]="Cancelled",Orders[[#This Row],[Net Sales]],0)</f>
        <v>0</v>
      </c>
    </row>
    <row r="177" spans="1:23" x14ac:dyDescent="0.3">
      <c r="A177" t="s">
        <v>499</v>
      </c>
      <c r="B177" s="7">
        <v>46234</v>
      </c>
      <c r="C177" t="s">
        <v>162</v>
      </c>
      <c r="D177" t="s">
        <v>500</v>
      </c>
      <c r="E177" t="s">
        <v>35</v>
      </c>
      <c r="F177" t="s">
        <v>68</v>
      </c>
      <c r="G177" t="s">
        <v>29</v>
      </c>
      <c r="H177" t="s">
        <v>30</v>
      </c>
      <c r="I177">
        <v>1</v>
      </c>
      <c r="J177" s="5">
        <v>599</v>
      </c>
      <c r="K177" s="2">
        <v>0</v>
      </c>
      <c r="L177" t="s">
        <v>22</v>
      </c>
      <c r="M177" t="s">
        <v>47</v>
      </c>
      <c r="N177" s="1">
        <v>46241</v>
      </c>
      <c r="O177" s="1"/>
      <c r="P177" s="5">
        <f>Orders[[#This Row],[Quantity]]*Orders[[#This Row],[Unit Price]]</f>
        <v>599</v>
      </c>
      <c r="Q177" s="5">
        <f>Orders[[#This Row],[Gross Sales]]*Orders[[#This Row],[Discount %]]</f>
        <v>0</v>
      </c>
      <c r="R177" s="5">
        <f>Orders[[#This Row],[Gross Sales]]-Orders[[#This Row],[Discount Amount]]</f>
        <v>599</v>
      </c>
      <c r="S177" t="str">
        <f>IF(Orders[[#This Row],[Actual Delivery Date]]="","",Orders[[#This Row],[Actual Delivery Date]]-Orders[[#This Row],[Order Date]])</f>
        <v/>
      </c>
      <c r="T177" t="str">
        <f>IF(Orders[[#This Row],[Actual Delivery Date]]="","Pending",IF(Orders[[#This Row],[Actual Delivery Date]]&lt;=Orders[[#This Row],[Expected Delivery Date]],"On Time","Late"))</f>
        <v>Pending</v>
      </c>
      <c r="U177" t="str">
        <f>TEXT(Orders[[#This Row],[Order Date]],"mmm")</f>
        <v>Jul</v>
      </c>
      <c r="V177" s="8">
        <f>DATE(YEAR(Orders[[#This Row],[Order Date]]),MONTH(Orders[[#This Row],[Order Date]]),1)</f>
        <v>46204</v>
      </c>
      <c r="W177" s="5">
        <f>IF(Orders[[#This Row],[Order Status]]="Cancelled",Orders[[#This Row],[Net Sales]],0)</f>
        <v>0</v>
      </c>
    </row>
    <row r="178" spans="1:23" x14ac:dyDescent="0.3">
      <c r="A178" t="s">
        <v>501</v>
      </c>
      <c r="B178" s="7">
        <v>46291</v>
      </c>
      <c r="C178" t="s">
        <v>502</v>
      </c>
      <c r="D178" t="s">
        <v>266</v>
      </c>
      <c r="E178" t="s">
        <v>79</v>
      </c>
      <c r="F178" t="s">
        <v>86</v>
      </c>
      <c r="G178" t="s">
        <v>218</v>
      </c>
      <c r="H178" t="s">
        <v>21</v>
      </c>
      <c r="I178">
        <v>1</v>
      </c>
      <c r="J178" s="5">
        <v>2999</v>
      </c>
      <c r="K178" s="2">
        <v>0.15</v>
      </c>
      <c r="L178" t="s">
        <v>70</v>
      </c>
      <c r="M178" t="s">
        <v>23</v>
      </c>
      <c r="N178" s="1">
        <v>46295</v>
      </c>
      <c r="O178" s="1">
        <v>46295</v>
      </c>
      <c r="P178" s="5">
        <f>Orders[[#This Row],[Quantity]]*Orders[[#This Row],[Unit Price]]</f>
        <v>2999</v>
      </c>
      <c r="Q178" s="5">
        <f>Orders[[#This Row],[Gross Sales]]*Orders[[#This Row],[Discount %]]</f>
        <v>449.84999999999997</v>
      </c>
      <c r="R178" s="5">
        <f>Orders[[#This Row],[Gross Sales]]-Orders[[#This Row],[Discount Amount]]</f>
        <v>2549.15</v>
      </c>
      <c r="S178">
        <f>IF(Orders[[#This Row],[Actual Delivery Date]]="","",Orders[[#This Row],[Actual Delivery Date]]-Orders[[#This Row],[Order Date]])</f>
        <v>4</v>
      </c>
      <c r="T178" t="str">
        <f>IF(Orders[[#This Row],[Actual Delivery Date]]="","Pending",IF(Orders[[#This Row],[Actual Delivery Date]]&lt;=Orders[[#This Row],[Expected Delivery Date]],"On Time","Late"))</f>
        <v>On Time</v>
      </c>
      <c r="U178" t="str">
        <f>TEXT(Orders[[#This Row],[Order Date]],"mmm")</f>
        <v>Sep</v>
      </c>
      <c r="V178" s="8">
        <f>DATE(YEAR(Orders[[#This Row],[Order Date]]),MONTH(Orders[[#This Row],[Order Date]]),1)</f>
        <v>46266</v>
      </c>
      <c r="W178" s="5">
        <f>IF(Orders[[#This Row],[Order Status]]="Cancelled",Orders[[#This Row],[Net Sales]],0)</f>
        <v>0</v>
      </c>
    </row>
    <row r="179" spans="1:23" x14ac:dyDescent="0.3">
      <c r="A179" t="s">
        <v>503</v>
      </c>
      <c r="B179" s="7">
        <v>46310</v>
      </c>
      <c r="C179" t="s">
        <v>304</v>
      </c>
      <c r="D179" t="s">
        <v>224</v>
      </c>
      <c r="E179" t="s">
        <v>35</v>
      </c>
      <c r="F179" t="s">
        <v>68</v>
      </c>
      <c r="G179" t="s">
        <v>147</v>
      </c>
      <c r="H179" t="s">
        <v>58</v>
      </c>
      <c r="I179">
        <v>1</v>
      </c>
      <c r="J179" s="5">
        <v>399</v>
      </c>
      <c r="K179" s="2">
        <v>0.15</v>
      </c>
      <c r="L179" t="s">
        <v>22</v>
      </c>
      <c r="M179" t="s">
        <v>47</v>
      </c>
      <c r="N179" s="1">
        <v>46313</v>
      </c>
      <c r="O179" s="1"/>
      <c r="P179" s="5">
        <f>Orders[[#This Row],[Quantity]]*Orders[[#This Row],[Unit Price]]</f>
        <v>399</v>
      </c>
      <c r="Q179" s="5">
        <f>Orders[[#This Row],[Gross Sales]]*Orders[[#This Row],[Discount %]]</f>
        <v>59.849999999999994</v>
      </c>
      <c r="R179" s="5">
        <f>Orders[[#This Row],[Gross Sales]]-Orders[[#This Row],[Discount Amount]]</f>
        <v>339.15</v>
      </c>
      <c r="S179" t="str">
        <f>IF(Orders[[#This Row],[Actual Delivery Date]]="","",Orders[[#This Row],[Actual Delivery Date]]-Orders[[#This Row],[Order Date]])</f>
        <v/>
      </c>
      <c r="T179" t="str">
        <f>IF(Orders[[#This Row],[Actual Delivery Date]]="","Pending",IF(Orders[[#This Row],[Actual Delivery Date]]&lt;=Orders[[#This Row],[Expected Delivery Date]],"On Time","Late"))</f>
        <v>Pending</v>
      </c>
      <c r="U179" t="str">
        <f>TEXT(Orders[[#This Row],[Order Date]],"mmm")</f>
        <v>Oct</v>
      </c>
      <c r="V179" s="8">
        <f>DATE(YEAR(Orders[[#This Row],[Order Date]]),MONTH(Orders[[#This Row],[Order Date]]),1)</f>
        <v>46296</v>
      </c>
      <c r="W179" s="5">
        <f>IF(Orders[[#This Row],[Order Status]]="Cancelled",Orders[[#This Row],[Net Sales]],0)</f>
        <v>0</v>
      </c>
    </row>
    <row r="180" spans="1:23" x14ac:dyDescent="0.3">
      <c r="A180" t="s">
        <v>504</v>
      </c>
      <c r="B180" s="7">
        <v>46253</v>
      </c>
      <c r="C180" t="s">
        <v>199</v>
      </c>
      <c r="D180" t="s">
        <v>361</v>
      </c>
      <c r="E180" t="s">
        <v>35</v>
      </c>
      <c r="F180" t="s">
        <v>68</v>
      </c>
      <c r="G180" t="s">
        <v>64</v>
      </c>
      <c r="H180" t="s">
        <v>21</v>
      </c>
      <c r="I180">
        <v>3</v>
      </c>
      <c r="J180" s="5">
        <v>699</v>
      </c>
      <c r="K180" s="2">
        <v>0</v>
      </c>
      <c r="L180" t="s">
        <v>22</v>
      </c>
      <c r="M180" t="s">
        <v>59</v>
      </c>
      <c r="N180" s="1">
        <v>46256</v>
      </c>
      <c r="O180" s="1">
        <v>46255</v>
      </c>
      <c r="P180" s="5">
        <f>Orders[[#This Row],[Quantity]]*Orders[[#This Row],[Unit Price]]</f>
        <v>2097</v>
      </c>
      <c r="Q180" s="5">
        <f>Orders[[#This Row],[Gross Sales]]*Orders[[#This Row],[Discount %]]</f>
        <v>0</v>
      </c>
      <c r="R180" s="5">
        <f>Orders[[#This Row],[Gross Sales]]-Orders[[#This Row],[Discount Amount]]</f>
        <v>2097</v>
      </c>
      <c r="S180">
        <f>IF(Orders[[#This Row],[Actual Delivery Date]]="","",Orders[[#This Row],[Actual Delivery Date]]-Orders[[#This Row],[Order Date]])</f>
        <v>2</v>
      </c>
      <c r="T180" t="str">
        <f>IF(Orders[[#This Row],[Actual Delivery Date]]="","Pending",IF(Orders[[#This Row],[Actual Delivery Date]]&lt;=Orders[[#This Row],[Expected Delivery Date]],"On Time","Late"))</f>
        <v>On Time</v>
      </c>
      <c r="U180" t="str">
        <f>TEXT(Orders[[#This Row],[Order Date]],"mmm")</f>
        <v>Aug</v>
      </c>
      <c r="V180" s="8">
        <f>DATE(YEAR(Orders[[#This Row],[Order Date]]),MONTH(Orders[[#This Row],[Order Date]]),1)</f>
        <v>46235</v>
      </c>
      <c r="W180" s="5">
        <f>IF(Orders[[#This Row],[Order Status]]="Cancelled",Orders[[#This Row],[Net Sales]],0)</f>
        <v>2097</v>
      </c>
    </row>
    <row r="181" spans="1:23" x14ac:dyDescent="0.3">
      <c r="A181" t="s">
        <v>505</v>
      </c>
      <c r="B181" s="7">
        <v>46193</v>
      </c>
      <c r="C181" t="s">
        <v>506</v>
      </c>
      <c r="D181" t="s">
        <v>224</v>
      </c>
      <c r="E181" t="s">
        <v>27</v>
      </c>
      <c r="F181" t="s">
        <v>56</v>
      </c>
      <c r="G181" t="s">
        <v>180</v>
      </c>
      <c r="H181" t="s">
        <v>58</v>
      </c>
      <c r="I181">
        <v>1</v>
      </c>
      <c r="J181" s="5">
        <v>599</v>
      </c>
      <c r="K181" s="2">
        <v>0</v>
      </c>
      <c r="L181" t="s">
        <v>31</v>
      </c>
      <c r="M181" t="s">
        <v>23</v>
      </c>
      <c r="N181" s="1">
        <v>46200</v>
      </c>
      <c r="O181" s="1">
        <v>46200</v>
      </c>
      <c r="P181" s="5">
        <f>Orders[[#This Row],[Quantity]]*Orders[[#This Row],[Unit Price]]</f>
        <v>599</v>
      </c>
      <c r="Q181" s="5">
        <f>Orders[[#This Row],[Gross Sales]]*Orders[[#This Row],[Discount %]]</f>
        <v>0</v>
      </c>
      <c r="R181" s="5">
        <f>Orders[[#This Row],[Gross Sales]]-Orders[[#This Row],[Discount Amount]]</f>
        <v>599</v>
      </c>
      <c r="S181">
        <f>IF(Orders[[#This Row],[Actual Delivery Date]]="","",Orders[[#This Row],[Actual Delivery Date]]-Orders[[#This Row],[Order Date]])</f>
        <v>7</v>
      </c>
      <c r="T181" t="str">
        <f>IF(Orders[[#This Row],[Actual Delivery Date]]="","Pending",IF(Orders[[#This Row],[Actual Delivery Date]]&lt;=Orders[[#This Row],[Expected Delivery Date]],"On Time","Late"))</f>
        <v>On Time</v>
      </c>
      <c r="U181" t="str">
        <f>TEXT(Orders[[#This Row],[Order Date]],"mmm")</f>
        <v>Jun</v>
      </c>
      <c r="V181" s="8">
        <f>DATE(YEAR(Orders[[#This Row],[Order Date]]),MONTH(Orders[[#This Row],[Order Date]]),1)</f>
        <v>46174</v>
      </c>
      <c r="W181" s="5">
        <f>IF(Orders[[#This Row],[Order Status]]="Cancelled",Orders[[#This Row],[Net Sales]],0)</f>
        <v>0</v>
      </c>
    </row>
    <row r="182" spans="1:23" x14ac:dyDescent="0.3">
      <c r="A182" t="s">
        <v>507</v>
      </c>
      <c r="B182" s="7">
        <v>46187</v>
      </c>
      <c r="C182" t="s">
        <v>508</v>
      </c>
      <c r="D182" t="s">
        <v>509</v>
      </c>
      <c r="E182" t="s">
        <v>27</v>
      </c>
      <c r="F182" t="s">
        <v>74</v>
      </c>
      <c r="G182" t="s">
        <v>69</v>
      </c>
      <c r="H182" t="s">
        <v>38</v>
      </c>
      <c r="I182">
        <v>3</v>
      </c>
      <c r="J182" s="5">
        <v>3499</v>
      </c>
      <c r="K182" s="2">
        <v>0.15</v>
      </c>
      <c r="L182" t="s">
        <v>70</v>
      </c>
      <c r="M182" t="s">
        <v>47</v>
      </c>
      <c r="N182" s="1">
        <v>46194</v>
      </c>
      <c r="O182" s="1"/>
      <c r="P182" s="5">
        <f>Orders[[#This Row],[Quantity]]*Orders[[#This Row],[Unit Price]]</f>
        <v>10497</v>
      </c>
      <c r="Q182" s="5">
        <f>Orders[[#This Row],[Gross Sales]]*Orders[[#This Row],[Discount %]]</f>
        <v>1574.55</v>
      </c>
      <c r="R182" s="5">
        <f>Orders[[#This Row],[Gross Sales]]-Orders[[#This Row],[Discount Amount]]</f>
        <v>8922.4500000000007</v>
      </c>
      <c r="S182" t="str">
        <f>IF(Orders[[#This Row],[Actual Delivery Date]]="","",Orders[[#This Row],[Actual Delivery Date]]-Orders[[#This Row],[Order Date]])</f>
        <v/>
      </c>
      <c r="T182" t="str">
        <f>IF(Orders[[#This Row],[Actual Delivery Date]]="","Pending",IF(Orders[[#This Row],[Actual Delivery Date]]&lt;=Orders[[#This Row],[Expected Delivery Date]],"On Time","Late"))</f>
        <v>Pending</v>
      </c>
      <c r="U182" t="str">
        <f>TEXT(Orders[[#This Row],[Order Date]],"mmm")</f>
        <v>Jun</v>
      </c>
      <c r="V182" s="8">
        <f>DATE(YEAR(Orders[[#This Row],[Order Date]]),MONTH(Orders[[#This Row],[Order Date]]),1)</f>
        <v>46174</v>
      </c>
      <c r="W182" s="5">
        <f>IF(Orders[[#This Row],[Order Status]]="Cancelled",Orders[[#This Row],[Net Sales]],0)</f>
        <v>0</v>
      </c>
    </row>
    <row r="183" spans="1:23" x14ac:dyDescent="0.3">
      <c r="A183" t="s">
        <v>510</v>
      </c>
      <c r="B183" s="7">
        <v>46261</v>
      </c>
      <c r="C183" t="s">
        <v>357</v>
      </c>
      <c r="D183" t="s">
        <v>511</v>
      </c>
      <c r="E183" t="s">
        <v>35</v>
      </c>
      <c r="F183" t="s">
        <v>36</v>
      </c>
      <c r="G183" t="s">
        <v>100</v>
      </c>
      <c r="H183" t="s">
        <v>30</v>
      </c>
      <c r="I183">
        <v>1</v>
      </c>
      <c r="J183" s="5">
        <v>2499</v>
      </c>
      <c r="K183" s="2">
        <v>0.15</v>
      </c>
      <c r="L183" t="s">
        <v>46</v>
      </c>
      <c r="M183" t="s">
        <v>23</v>
      </c>
      <c r="N183" s="1">
        <v>46265</v>
      </c>
      <c r="O183" s="1">
        <v>46262</v>
      </c>
      <c r="P183" s="5">
        <f>Orders[[#This Row],[Quantity]]*Orders[[#This Row],[Unit Price]]</f>
        <v>2499</v>
      </c>
      <c r="Q183" s="5">
        <f>Orders[[#This Row],[Gross Sales]]*Orders[[#This Row],[Discount %]]</f>
        <v>374.84999999999997</v>
      </c>
      <c r="R183" s="5">
        <f>Orders[[#This Row],[Gross Sales]]-Orders[[#This Row],[Discount Amount]]</f>
        <v>2124.15</v>
      </c>
      <c r="S183">
        <f>IF(Orders[[#This Row],[Actual Delivery Date]]="","",Orders[[#This Row],[Actual Delivery Date]]-Orders[[#This Row],[Order Date]])</f>
        <v>1</v>
      </c>
      <c r="T183" t="str">
        <f>IF(Orders[[#This Row],[Actual Delivery Date]]="","Pending",IF(Orders[[#This Row],[Actual Delivery Date]]&lt;=Orders[[#This Row],[Expected Delivery Date]],"On Time","Late"))</f>
        <v>On Time</v>
      </c>
      <c r="U183" t="str">
        <f>TEXT(Orders[[#This Row],[Order Date]],"mmm")</f>
        <v>Aug</v>
      </c>
      <c r="V183" s="8">
        <f>DATE(YEAR(Orders[[#This Row],[Order Date]]),MONTH(Orders[[#This Row],[Order Date]]),1)</f>
        <v>46235</v>
      </c>
      <c r="W183" s="5">
        <f>IF(Orders[[#This Row],[Order Status]]="Cancelled",Orders[[#This Row],[Net Sales]],0)</f>
        <v>0</v>
      </c>
    </row>
    <row r="184" spans="1:23" x14ac:dyDescent="0.3">
      <c r="A184" t="s">
        <v>512</v>
      </c>
      <c r="B184" s="7">
        <v>46322</v>
      </c>
      <c r="C184" t="s">
        <v>248</v>
      </c>
      <c r="D184" t="s">
        <v>513</v>
      </c>
      <c r="E184" t="s">
        <v>27</v>
      </c>
      <c r="F184" t="s">
        <v>28</v>
      </c>
      <c r="G184" t="s">
        <v>87</v>
      </c>
      <c r="H184" t="s">
        <v>21</v>
      </c>
      <c r="I184">
        <v>2</v>
      </c>
      <c r="J184" s="5">
        <v>1899</v>
      </c>
      <c r="K184" s="2">
        <v>0.15</v>
      </c>
      <c r="L184" t="s">
        <v>46</v>
      </c>
      <c r="M184" t="s">
        <v>23</v>
      </c>
      <c r="N184" s="1">
        <v>46325</v>
      </c>
      <c r="O184" s="1">
        <v>46324</v>
      </c>
      <c r="P184" s="5">
        <f>Orders[[#This Row],[Quantity]]*Orders[[#This Row],[Unit Price]]</f>
        <v>3798</v>
      </c>
      <c r="Q184" s="5">
        <f>Orders[[#This Row],[Gross Sales]]*Orders[[#This Row],[Discount %]]</f>
        <v>569.69999999999993</v>
      </c>
      <c r="R184" s="5">
        <f>Orders[[#This Row],[Gross Sales]]-Orders[[#This Row],[Discount Amount]]</f>
        <v>3228.3</v>
      </c>
      <c r="S184">
        <f>IF(Orders[[#This Row],[Actual Delivery Date]]="","",Orders[[#This Row],[Actual Delivery Date]]-Orders[[#This Row],[Order Date]])</f>
        <v>2</v>
      </c>
      <c r="T184" t="str">
        <f>IF(Orders[[#This Row],[Actual Delivery Date]]="","Pending",IF(Orders[[#This Row],[Actual Delivery Date]]&lt;=Orders[[#This Row],[Expected Delivery Date]],"On Time","Late"))</f>
        <v>On Time</v>
      </c>
      <c r="U184" t="str">
        <f>TEXT(Orders[[#This Row],[Order Date]],"mmm")</f>
        <v>Oct</v>
      </c>
      <c r="V184" s="8">
        <f>DATE(YEAR(Orders[[#This Row],[Order Date]]),MONTH(Orders[[#This Row],[Order Date]]),1)</f>
        <v>46296</v>
      </c>
      <c r="W184" s="5">
        <f>IF(Orders[[#This Row],[Order Status]]="Cancelled",Orders[[#This Row],[Net Sales]],0)</f>
        <v>0</v>
      </c>
    </row>
    <row r="185" spans="1:23" x14ac:dyDescent="0.3">
      <c r="A185" t="s">
        <v>514</v>
      </c>
      <c r="B185" s="7">
        <v>46351</v>
      </c>
      <c r="C185" t="s">
        <v>515</v>
      </c>
      <c r="D185" t="s">
        <v>117</v>
      </c>
      <c r="E185" t="s">
        <v>79</v>
      </c>
      <c r="F185" t="s">
        <v>80</v>
      </c>
      <c r="G185" t="s">
        <v>218</v>
      </c>
      <c r="H185" t="s">
        <v>21</v>
      </c>
      <c r="I185">
        <v>2</v>
      </c>
      <c r="J185" s="5">
        <v>2999</v>
      </c>
      <c r="K185" s="2">
        <v>0.15</v>
      </c>
      <c r="L185" t="s">
        <v>31</v>
      </c>
      <c r="M185" t="s">
        <v>59</v>
      </c>
      <c r="N185" s="1">
        <v>46355</v>
      </c>
      <c r="O185" s="1">
        <v>46355</v>
      </c>
      <c r="P185" s="5">
        <f>Orders[[#This Row],[Quantity]]*Orders[[#This Row],[Unit Price]]</f>
        <v>5998</v>
      </c>
      <c r="Q185" s="5">
        <f>Orders[[#This Row],[Gross Sales]]*Orders[[#This Row],[Discount %]]</f>
        <v>899.69999999999993</v>
      </c>
      <c r="R185" s="5">
        <f>Orders[[#This Row],[Gross Sales]]-Orders[[#This Row],[Discount Amount]]</f>
        <v>5098.3</v>
      </c>
      <c r="S185">
        <f>IF(Orders[[#This Row],[Actual Delivery Date]]="","",Orders[[#This Row],[Actual Delivery Date]]-Orders[[#This Row],[Order Date]])</f>
        <v>4</v>
      </c>
      <c r="T185" t="str">
        <f>IF(Orders[[#This Row],[Actual Delivery Date]]="","Pending",IF(Orders[[#This Row],[Actual Delivery Date]]&lt;=Orders[[#This Row],[Expected Delivery Date]],"On Time","Late"))</f>
        <v>On Time</v>
      </c>
      <c r="U185" t="str">
        <f>TEXT(Orders[[#This Row],[Order Date]],"mmm")</f>
        <v>Nov</v>
      </c>
      <c r="V185" s="8">
        <f>DATE(YEAR(Orders[[#This Row],[Order Date]]),MONTH(Orders[[#This Row],[Order Date]]),1)</f>
        <v>46327</v>
      </c>
      <c r="W185" s="5">
        <f>IF(Orders[[#This Row],[Order Status]]="Cancelled",Orders[[#This Row],[Net Sales]],0)</f>
        <v>5098.3</v>
      </c>
    </row>
    <row r="186" spans="1:23" x14ac:dyDescent="0.3">
      <c r="A186" t="s">
        <v>516</v>
      </c>
      <c r="B186" s="7">
        <v>46026</v>
      </c>
      <c r="C186" t="s">
        <v>172</v>
      </c>
      <c r="D186" t="s">
        <v>85</v>
      </c>
      <c r="E186" t="s">
        <v>18</v>
      </c>
      <c r="F186" t="s">
        <v>19</v>
      </c>
      <c r="G186" t="s">
        <v>75</v>
      </c>
      <c r="H186" t="s">
        <v>45</v>
      </c>
      <c r="I186">
        <v>1</v>
      </c>
      <c r="J186" s="5">
        <v>799</v>
      </c>
      <c r="K186" s="2">
        <v>0.05</v>
      </c>
      <c r="L186" t="s">
        <v>39</v>
      </c>
      <c r="M186" t="s">
        <v>59</v>
      </c>
      <c r="N186" s="1">
        <v>46029</v>
      </c>
      <c r="O186" s="1">
        <v>46029</v>
      </c>
      <c r="P186" s="5">
        <f>Orders[[#This Row],[Quantity]]*Orders[[#This Row],[Unit Price]]</f>
        <v>799</v>
      </c>
      <c r="Q186" s="5">
        <f>Orders[[#This Row],[Gross Sales]]*Orders[[#This Row],[Discount %]]</f>
        <v>39.950000000000003</v>
      </c>
      <c r="R186" s="5">
        <f>Orders[[#This Row],[Gross Sales]]-Orders[[#This Row],[Discount Amount]]</f>
        <v>759.05</v>
      </c>
      <c r="S186">
        <f>IF(Orders[[#This Row],[Actual Delivery Date]]="","",Orders[[#This Row],[Actual Delivery Date]]-Orders[[#This Row],[Order Date]])</f>
        <v>3</v>
      </c>
      <c r="T186" t="str">
        <f>IF(Orders[[#This Row],[Actual Delivery Date]]="","Pending",IF(Orders[[#This Row],[Actual Delivery Date]]&lt;=Orders[[#This Row],[Expected Delivery Date]],"On Time","Late"))</f>
        <v>On Time</v>
      </c>
      <c r="U186" t="str">
        <f>TEXT(Orders[[#This Row],[Order Date]],"mmm")</f>
        <v>Jan</v>
      </c>
      <c r="V186" s="8">
        <f>DATE(YEAR(Orders[[#This Row],[Order Date]]),MONTH(Orders[[#This Row],[Order Date]]),1)</f>
        <v>46023</v>
      </c>
      <c r="W186" s="5">
        <f>IF(Orders[[#This Row],[Order Status]]="Cancelled",Orders[[#This Row],[Net Sales]],0)</f>
        <v>759.05</v>
      </c>
    </row>
    <row r="187" spans="1:23" x14ac:dyDescent="0.3">
      <c r="A187" t="s">
        <v>517</v>
      </c>
      <c r="B187" s="7">
        <v>46026</v>
      </c>
      <c r="C187" t="s">
        <v>419</v>
      </c>
      <c r="D187" t="s">
        <v>518</v>
      </c>
      <c r="E187" t="s">
        <v>18</v>
      </c>
      <c r="F187" t="s">
        <v>43</v>
      </c>
      <c r="G187" t="s">
        <v>147</v>
      </c>
      <c r="H187" t="s">
        <v>58</v>
      </c>
      <c r="I187">
        <v>2</v>
      </c>
      <c r="J187" s="5">
        <v>399</v>
      </c>
      <c r="K187" s="2">
        <v>0.15</v>
      </c>
      <c r="L187" t="s">
        <v>39</v>
      </c>
      <c r="M187" t="s">
        <v>23</v>
      </c>
      <c r="N187" s="1">
        <v>46032</v>
      </c>
      <c r="O187" s="1">
        <v>46031</v>
      </c>
      <c r="P187" s="5">
        <f>Orders[[#This Row],[Quantity]]*Orders[[#This Row],[Unit Price]]</f>
        <v>798</v>
      </c>
      <c r="Q187" s="5">
        <f>Orders[[#This Row],[Gross Sales]]*Orders[[#This Row],[Discount %]]</f>
        <v>119.69999999999999</v>
      </c>
      <c r="R187" s="5">
        <f>Orders[[#This Row],[Gross Sales]]-Orders[[#This Row],[Discount Amount]]</f>
        <v>678.3</v>
      </c>
      <c r="S187">
        <f>IF(Orders[[#This Row],[Actual Delivery Date]]="","",Orders[[#This Row],[Actual Delivery Date]]-Orders[[#This Row],[Order Date]])</f>
        <v>5</v>
      </c>
      <c r="T187" t="str">
        <f>IF(Orders[[#This Row],[Actual Delivery Date]]="","Pending",IF(Orders[[#This Row],[Actual Delivery Date]]&lt;=Orders[[#This Row],[Expected Delivery Date]],"On Time","Late"))</f>
        <v>On Time</v>
      </c>
      <c r="U187" t="str">
        <f>TEXT(Orders[[#This Row],[Order Date]],"mmm")</f>
        <v>Jan</v>
      </c>
      <c r="V187" s="8">
        <f>DATE(YEAR(Orders[[#This Row],[Order Date]]),MONTH(Orders[[#This Row],[Order Date]]),1)</f>
        <v>46023</v>
      </c>
      <c r="W187" s="5">
        <f>IF(Orders[[#This Row],[Order Status]]="Cancelled",Orders[[#This Row],[Net Sales]],0)</f>
        <v>0</v>
      </c>
    </row>
    <row r="188" spans="1:23" x14ac:dyDescent="0.3">
      <c r="A188" t="s">
        <v>519</v>
      </c>
      <c r="B188" s="7">
        <v>46291</v>
      </c>
      <c r="C188" t="s">
        <v>520</v>
      </c>
      <c r="D188" t="s">
        <v>146</v>
      </c>
      <c r="E188" t="s">
        <v>79</v>
      </c>
      <c r="F188" t="s">
        <v>108</v>
      </c>
      <c r="G188" t="s">
        <v>75</v>
      </c>
      <c r="H188" t="s">
        <v>45</v>
      </c>
      <c r="I188">
        <v>1</v>
      </c>
      <c r="J188" s="5">
        <v>799</v>
      </c>
      <c r="K188" s="2">
        <v>0.05</v>
      </c>
      <c r="L188" t="s">
        <v>22</v>
      </c>
      <c r="M188" t="s">
        <v>47</v>
      </c>
      <c r="N188" s="1">
        <v>46295</v>
      </c>
      <c r="O188" s="1"/>
      <c r="P188" s="5">
        <f>Orders[[#This Row],[Quantity]]*Orders[[#This Row],[Unit Price]]</f>
        <v>799</v>
      </c>
      <c r="Q188" s="5">
        <f>Orders[[#This Row],[Gross Sales]]*Orders[[#This Row],[Discount %]]</f>
        <v>39.950000000000003</v>
      </c>
      <c r="R188" s="5">
        <f>Orders[[#This Row],[Gross Sales]]-Orders[[#This Row],[Discount Amount]]</f>
        <v>759.05</v>
      </c>
      <c r="S188" t="str">
        <f>IF(Orders[[#This Row],[Actual Delivery Date]]="","",Orders[[#This Row],[Actual Delivery Date]]-Orders[[#This Row],[Order Date]])</f>
        <v/>
      </c>
      <c r="T188" t="str">
        <f>IF(Orders[[#This Row],[Actual Delivery Date]]="","Pending",IF(Orders[[#This Row],[Actual Delivery Date]]&lt;=Orders[[#This Row],[Expected Delivery Date]],"On Time","Late"))</f>
        <v>Pending</v>
      </c>
      <c r="U188" t="str">
        <f>TEXT(Orders[[#This Row],[Order Date]],"mmm")</f>
        <v>Sep</v>
      </c>
      <c r="V188" s="8">
        <f>DATE(YEAR(Orders[[#This Row],[Order Date]]),MONTH(Orders[[#This Row],[Order Date]]),1)</f>
        <v>46266</v>
      </c>
      <c r="W188" s="5">
        <f>IF(Orders[[#This Row],[Order Status]]="Cancelled",Orders[[#This Row],[Net Sales]],0)</f>
        <v>0</v>
      </c>
    </row>
    <row r="189" spans="1:23" x14ac:dyDescent="0.3">
      <c r="A189" t="s">
        <v>521</v>
      </c>
      <c r="B189" s="7">
        <v>46258</v>
      </c>
      <c r="C189" t="s">
        <v>16</v>
      </c>
      <c r="D189" t="s">
        <v>478</v>
      </c>
      <c r="E189" t="s">
        <v>79</v>
      </c>
      <c r="F189" t="s">
        <v>86</v>
      </c>
      <c r="G189" t="s">
        <v>218</v>
      </c>
      <c r="H189" t="s">
        <v>21</v>
      </c>
      <c r="I189">
        <v>2</v>
      </c>
      <c r="J189" s="5">
        <v>2999</v>
      </c>
      <c r="K189" s="2">
        <v>0.05</v>
      </c>
      <c r="L189" t="s">
        <v>46</v>
      </c>
      <c r="M189" t="s">
        <v>59</v>
      </c>
      <c r="N189" s="1">
        <v>46260</v>
      </c>
      <c r="O189" s="1">
        <v>46259</v>
      </c>
      <c r="P189" s="5">
        <f>Orders[[#This Row],[Quantity]]*Orders[[#This Row],[Unit Price]]</f>
        <v>5998</v>
      </c>
      <c r="Q189" s="5">
        <f>Orders[[#This Row],[Gross Sales]]*Orders[[#This Row],[Discount %]]</f>
        <v>299.90000000000003</v>
      </c>
      <c r="R189" s="5">
        <f>Orders[[#This Row],[Gross Sales]]-Orders[[#This Row],[Discount Amount]]</f>
        <v>5698.1</v>
      </c>
      <c r="S189">
        <f>IF(Orders[[#This Row],[Actual Delivery Date]]="","",Orders[[#This Row],[Actual Delivery Date]]-Orders[[#This Row],[Order Date]])</f>
        <v>1</v>
      </c>
      <c r="T189" t="str">
        <f>IF(Orders[[#This Row],[Actual Delivery Date]]="","Pending",IF(Orders[[#This Row],[Actual Delivery Date]]&lt;=Orders[[#This Row],[Expected Delivery Date]],"On Time","Late"))</f>
        <v>On Time</v>
      </c>
      <c r="U189" t="str">
        <f>TEXT(Orders[[#This Row],[Order Date]],"mmm")</f>
        <v>Aug</v>
      </c>
      <c r="V189" s="8">
        <f>DATE(YEAR(Orders[[#This Row],[Order Date]]),MONTH(Orders[[#This Row],[Order Date]]),1)</f>
        <v>46235</v>
      </c>
      <c r="W189" s="5">
        <f>IF(Orders[[#This Row],[Order Status]]="Cancelled",Orders[[#This Row],[Net Sales]],0)</f>
        <v>5698.1</v>
      </c>
    </row>
    <row r="190" spans="1:23" x14ac:dyDescent="0.3">
      <c r="A190" t="s">
        <v>522</v>
      </c>
      <c r="B190" s="7">
        <v>46051</v>
      </c>
      <c r="C190" t="s">
        <v>208</v>
      </c>
      <c r="D190" t="s">
        <v>523</v>
      </c>
      <c r="E190" t="s">
        <v>79</v>
      </c>
      <c r="F190" t="s">
        <v>170</v>
      </c>
      <c r="G190" t="s">
        <v>100</v>
      </c>
      <c r="H190" t="s">
        <v>30</v>
      </c>
      <c r="I190">
        <v>2</v>
      </c>
      <c r="J190" s="5">
        <v>2499</v>
      </c>
      <c r="K190" s="2">
        <v>0.05</v>
      </c>
      <c r="L190" t="s">
        <v>39</v>
      </c>
      <c r="M190" t="s">
        <v>23</v>
      </c>
      <c r="N190" s="1">
        <v>46056</v>
      </c>
      <c r="O190" s="1">
        <v>46054</v>
      </c>
      <c r="P190" s="5">
        <f>Orders[[#This Row],[Quantity]]*Orders[[#This Row],[Unit Price]]</f>
        <v>4998</v>
      </c>
      <c r="Q190" s="5">
        <f>Orders[[#This Row],[Gross Sales]]*Orders[[#This Row],[Discount %]]</f>
        <v>249.9</v>
      </c>
      <c r="R190" s="5">
        <f>Orders[[#This Row],[Gross Sales]]-Orders[[#This Row],[Discount Amount]]</f>
        <v>4748.1000000000004</v>
      </c>
      <c r="S190">
        <f>IF(Orders[[#This Row],[Actual Delivery Date]]="","",Orders[[#This Row],[Actual Delivery Date]]-Orders[[#This Row],[Order Date]])</f>
        <v>3</v>
      </c>
      <c r="T190" t="str">
        <f>IF(Orders[[#This Row],[Actual Delivery Date]]="","Pending",IF(Orders[[#This Row],[Actual Delivery Date]]&lt;=Orders[[#This Row],[Expected Delivery Date]],"On Time","Late"))</f>
        <v>On Time</v>
      </c>
      <c r="U190" t="str">
        <f>TEXT(Orders[[#This Row],[Order Date]],"mmm")</f>
        <v>Jan</v>
      </c>
      <c r="V190" s="8">
        <f>DATE(YEAR(Orders[[#This Row],[Order Date]]),MONTH(Orders[[#This Row],[Order Date]]),1)</f>
        <v>46023</v>
      </c>
      <c r="W190" s="5">
        <f>IF(Orders[[#This Row],[Order Status]]="Cancelled",Orders[[#This Row],[Net Sales]],0)</f>
        <v>0</v>
      </c>
    </row>
    <row r="191" spans="1:23" x14ac:dyDescent="0.3">
      <c r="A191" t="s">
        <v>524</v>
      </c>
      <c r="B191" s="7">
        <v>46266</v>
      </c>
      <c r="C191" t="s">
        <v>525</v>
      </c>
      <c r="D191" t="s">
        <v>526</v>
      </c>
      <c r="E191" t="s">
        <v>18</v>
      </c>
      <c r="F191" t="s">
        <v>95</v>
      </c>
      <c r="G191" t="s">
        <v>69</v>
      </c>
      <c r="H191" t="s">
        <v>38</v>
      </c>
      <c r="I191">
        <v>1</v>
      </c>
      <c r="J191" s="5">
        <v>3499</v>
      </c>
      <c r="K191" s="2">
        <v>0</v>
      </c>
      <c r="L191" t="s">
        <v>46</v>
      </c>
      <c r="M191" t="s">
        <v>47</v>
      </c>
      <c r="N191" s="1">
        <v>46272</v>
      </c>
      <c r="O191" s="1"/>
      <c r="P191" s="5">
        <f>Orders[[#This Row],[Quantity]]*Orders[[#This Row],[Unit Price]]</f>
        <v>3499</v>
      </c>
      <c r="Q191" s="5">
        <f>Orders[[#This Row],[Gross Sales]]*Orders[[#This Row],[Discount %]]</f>
        <v>0</v>
      </c>
      <c r="R191" s="5">
        <f>Orders[[#This Row],[Gross Sales]]-Orders[[#This Row],[Discount Amount]]</f>
        <v>3499</v>
      </c>
      <c r="S191" t="str">
        <f>IF(Orders[[#This Row],[Actual Delivery Date]]="","",Orders[[#This Row],[Actual Delivery Date]]-Orders[[#This Row],[Order Date]])</f>
        <v/>
      </c>
      <c r="T191" t="str">
        <f>IF(Orders[[#This Row],[Actual Delivery Date]]="","Pending",IF(Orders[[#This Row],[Actual Delivery Date]]&lt;=Orders[[#This Row],[Expected Delivery Date]],"On Time","Late"))</f>
        <v>Pending</v>
      </c>
      <c r="U191" t="str">
        <f>TEXT(Orders[[#This Row],[Order Date]],"mmm")</f>
        <v>Sep</v>
      </c>
      <c r="V191" s="8">
        <f>DATE(YEAR(Orders[[#This Row],[Order Date]]),MONTH(Orders[[#This Row],[Order Date]]),1)</f>
        <v>46266</v>
      </c>
      <c r="W191" s="5">
        <f>IF(Orders[[#This Row],[Order Status]]="Cancelled",Orders[[#This Row],[Net Sales]],0)</f>
        <v>0</v>
      </c>
    </row>
    <row r="192" spans="1:23" x14ac:dyDescent="0.3">
      <c r="A192" t="s">
        <v>527</v>
      </c>
      <c r="B192" s="7">
        <v>46096</v>
      </c>
      <c r="C192" t="s">
        <v>528</v>
      </c>
      <c r="D192" t="s">
        <v>529</v>
      </c>
      <c r="E192" t="s">
        <v>35</v>
      </c>
      <c r="F192" t="s">
        <v>135</v>
      </c>
      <c r="G192" t="s">
        <v>69</v>
      </c>
      <c r="H192" t="s">
        <v>38</v>
      </c>
      <c r="I192">
        <v>3</v>
      </c>
      <c r="J192" s="5">
        <v>3499</v>
      </c>
      <c r="K192" s="2">
        <v>0.15</v>
      </c>
      <c r="L192" t="s">
        <v>39</v>
      </c>
      <c r="M192" t="s">
        <v>23</v>
      </c>
      <c r="N192" s="1">
        <v>46099</v>
      </c>
      <c r="O192" s="1">
        <v>46099</v>
      </c>
      <c r="P192" s="5">
        <f>Orders[[#This Row],[Quantity]]*Orders[[#This Row],[Unit Price]]</f>
        <v>10497</v>
      </c>
      <c r="Q192" s="5">
        <f>Orders[[#This Row],[Gross Sales]]*Orders[[#This Row],[Discount %]]</f>
        <v>1574.55</v>
      </c>
      <c r="R192" s="5">
        <f>Orders[[#This Row],[Gross Sales]]-Orders[[#This Row],[Discount Amount]]</f>
        <v>8922.4500000000007</v>
      </c>
      <c r="S192">
        <f>IF(Orders[[#This Row],[Actual Delivery Date]]="","",Orders[[#This Row],[Actual Delivery Date]]-Orders[[#This Row],[Order Date]])</f>
        <v>3</v>
      </c>
      <c r="T192" t="str">
        <f>IF(Orders[[#This Row],[Actual Delivery Date]]="","Pending",IF(Orders[[#This Row],[Actual Delivery Date]]&lt;=Orders[[#This Row],[Expected Delivery Date]],"On Time","Late"))</f>
        <v>On Time</v>
      </c>
      <c r="U192" t="str">
        <f>TEXT(Orders[[#This Row],[Order Date]],"mmm")</f>
        <v>Mar</v>
      </c>
      <c r="V192" s="8">
        <f>DATE(YEAR(Orders[[#This Row],[Order Date]]),MONTH(Orders[[#This Row],[Order Date]]),1)</f>
        <v>46082</v>
      </c>
      <c r="W192" s="5">
        <f>IF(Orders[[#This Row],[Order Status]]="Cancelled",Orders[[#This Row],[Net Sales]],0)</f>
        <v>0</v>
      </c>
    </row>
    <row r="193" spans="1:23" x14ac:dyDescent="0.3">
      <c r="A193" t="s">
        <v>530</v>
      </c>
      <c r="B193" s="7">
        <v>46279</v>
      </c>
      <c r="C193" t="s">
        <v>531</v>
      </c>
      <c r="D193" t="s">
        <v>532</v>
      </c>
      <c r="E193" t="s">
        <v>35</v>
      </c>
      <c r="F193" t="s">
        <v>63</v>
      </c>
      <c r="G193" t="s">
        <v>104</v>
      </c>
      <c r="H193" t="s">
        <v>38</v>
      </c>
      <c r="I193">
        <v>2</v>
      </c>
      <c r="J193" s="5">
        <v>999</v>
      </c>
      <c r="K193" s="2">
        <v>0.1</v>
      </c>
      <c r="L193" t="s">
        <v>39</v>
      </c>
      <c r="M193" t="s">
        <v>23</v>
      </c>
      <c r="N193" s="1">
        <v>46284</v>
      </c>
      <c r="O193" s="1">
        <v>46280</v>
      </c>
      <c r="P193" s="5">
        <f>Orders[[#This Row],[Quantity]]*Orders[[#This Row],[Unit Price]]</f>
        <v>1998</v>
      </c>
      <c r="Q193" s="5">
        <f>Orders[[#This Row],[Gross Sales]]*Orders[[#This Row],[Discount %]]</f>
        <v>199.8</v>
      </c>
      <c r="R193" s="5">
        <f>Orders[[#This Row],[Gross Sales]]-Orders[[#This Row],[Discount Amount]]</f>
        <v>1798.2</v>
      </c>
      <c r="S193">
        <f>IF(Orders[[#This Row],[Actual Delivery Date]]="","",Orders[[#This Row],[Actual Delivery Date]]-Orders[[#This Row],[Order Date]])</f>
        <v>1</v>
      </c>
      <c r="T193" t="str">
        <f>IF(Orders[[#This Row],[Actual Delivery Date]]="","Pending",IF(Orders[[#This Row],[Actual Delivery Date]]&lt;=Orders[[#This Row],[Expected Delivery Date]],"On Time","Late"))</f>
        <v>On Time</v>
      </c>
      <c r="U193" t="str">
        <f>TEXT(Orders[[#This Row],[Order Date]],"mmm")</f>
        <v>Sep</v>
      </c>
      <c r="V193" s="8">
        <f>DATE(YEAR(Orders[[#This Row],[Order Date]]),MONTH(Orders[[#This Row],[Order Date]]),1)</f>
        <v>46266</v>
      </c>
      <c r="W193" s="5">
        <f>IF(Orders[[#This Row],[Order Status]]="Cancelled",Orders[[#This Row],[Net Sales]],0)</f>
        <v>0</v>
      </c>
    </row>
    <row r="194" spans="1:23" x14ac:dyDescent="0.3">
      <c r="A194" t="s">
        <v>533</v>
      </c>
      <c r="B194" s="7">
        <v>46274</v>
      </c>
      <c r="C194" t="s">
        <v>196</v>
      </c>
      <c r="D194" t="s">
        <v>534</v>
      </c>
      <c r="E194" t="s">
        <v>35</v>
      </c>
      <c r="F194" t="s">
        <v>135</v>
      </c>
      <c r="G194" t="s">
        <v>218</v>
      </c>
      <c r="H194" t="s">
        <v>21</v>
      </c>
      <c r="I194">
        <v>1</v>
      </c>
      <c r="J194" s="5">
        <v>2999</v>
      </c>
      <c r="K194" s="2">
        <v>0.2</v>
      </c>
      <c r="L194" t="s">
        <v>70</v>
      </c>
      <c r="M194" t="s">
        <v>23</v>
      </c>
      <c r="N194" s="1">
        <v>46277</v>
      </c>
      <c r="O194" s="1">
        <v>46277</v>
      </c>
      <c r="P194" s="5">
        <f>Orders[[#This Row],[Quantity]]*Orders[[#This Row],[Unit Price]]</f>
        <v>2999</v>
      </c>
      <c r="Q194" s="5">
        <f>Orders[[#This Row],[Gross Sales]]*Orders[[#This Row],[Discount %]]</f>
        <v>599.80000000000007</v>
      </c>
      <c r="R194" s="5">
        <f>Orders[[#This Row],[Gross Sales]]-Orders[[#This Row],[Discount Amount]]</f>
        <v>2399.1999999999998</v>
      </c>
      <c r="S194">
        <f>IF(Orders[[#This Row],[Actual Delivery Date]]="","",Orders[[#This Row],[Actual Delivery Date]]-Orders[[#This Row],[Order Date]])</f>
        <v>3</v>
      </c>
      <c r="T194" t="str">
        <f>IF(Orders[[#This Row],[Actual Delivery Date]]="","Pending",IF(Orders[[#This Row],[Actual Delivery Date]]&lt;=Orders[[#This Row],[Expected Delivery Date]],"On Time","Late"))</f>
        <v>On Time</v>
      </c>
      <c r="U194" t="str">
        <f>TEXT(Orders[[#This Row],[Order Date]],"mmm")</f>
        <v>Sep</v>
      </c>
      <c r="V194" s="8">
        <f>DATE(YEAR(Orders[[#This Row],[Order Date]]),MONTH(Orders[[#This Row],[Order Date]]),1)</f>
        <v>46266</v>
      </c>
      <c r="W194" s="5">
        <f>IF(Orders[[#This Row],[Order Status]]="Cancelled",Orders[[#This Row],[Net Sales]],0)</f>
        <v>0</v>
      </c>
    </row>
    <row r="195" spans="1:23" x14ac:dyDescent="0.3">
      <c r="A195" t="s">
        <v>535</v>
      </c>
      <c r="B195" s="7">
        <v>46160</v>
      </c>
      <c r="C195" t="s">
        <v>536</v>
      </c>
      <c r="D195" t="s">
        <v>308</v>
      </c>
      <c r="E195" t="s">
        <v>35</v>
      </c>
      <c r="F195" t="s">
        <v>68</v>
      </c>
      <c r="G195" t="s">
        <v>75</v>
      </c>
      <c r="H195" t="s">
        <v>45</v>
      </c>
      <c r="I195">
        <v>1</v>
      </c>
      <c r="J195" s="5">
        <v>799</v>
      </c>
      <c r="K195" s="2">
        <v>0.05</v>
      </c>
      <c r="L195" t="s">
        <v>70</v>
      </c>
      <c r="M195" t="s">
        <v>23</v>
      </c>
      <c r="N195" s="1">
        <v>46164</v>
      </c>
      <c r="O195" s="1">
        <v>46161</v>
      </c>
      <c r="P195" s="5">
        <f>Orders[[#This Row],[Quantity]]*Orders[[#This Row],[Unit Price]]</f>
        <v>799</v>
      </c>
      <c r="Q195" s="5">
        <f>Orders[[#This Row],[Gross Sales]]*Orders[[#This Row],[Discount %]]</f>
        <v>39.950000000000003</v>
      </c>
      <c r="R195" s="5">
        <f>Orders[[#This Row],[Gross Sales]]-Orders[[#This Row],[Discount Amount]]</f>
        <v>759.05</v>
      </c>
      <c r="S195">
        <f>IF(Orders[[#This Row],[Actual Delivery Date]]="","",Orders[[#This Row],[Actual Delivery Date]]-Orders[[#This Row],[Order Date]])</f>
        <v>1</v>
      </c>
      <c r="T195" t="str">
        <f>IF(Orders[[#This Row],[Actual Delivery Date]]="","Pending",IF(Orders[[#This Row],[Actual Delivery Date]]&lt;=Orders[[#This Row],[Expected Delivery Date]],"On Time","Late"))</f>
        <v>On Time</v>
      </c>
      <c r="U195" t="str">
        <f>TEXT(Orders[[#This Row],[Order Date]],"mmm")</f>
        <v>May</v>
      </c>
      <c r="V195" s="8">
        <f>DATE(YEAR(Orders[[#This Row],[Order Date]]),MONTH(Orders[[#This Row],[Order Date]]),1)</f>
        <v>46143</v>
      </c>
      <c r="W195" s="5">
        <f>IF(Orders[[#This Row],[Order Status]]="Cancelled",Orders[[#This Row],[Net Sales]],0)</f>
        <v>0</v>
      </c>
    </row>
    <row r="196" spans="1:23" x14ac:dyDescent="0.3">
      <c r="A196" t="s">
        <v>537</v>
      </c>
      <c r="B196" s="7">
        <v>46067</v>
      </c>
      <c r="C196" t="s">
        <v>538</v>
      </c>
      <c r="D196" t="s">
        <v>539</v>
      </c>
      <c r="E196" t="s">
        <v>35</v>
      </c>
      <c r="F196" t="s">
        <v>36</v>
      </c>
      <c r="G196" t="s">
        <v>52</v>
      </c>
      <c r="H196" t="s">
        <v>45</v>
      </c>
      <c r="I196">
        <v>1</v>
      </c>
      <c r="J196" s="5">
        <v>1299</v>
      </c>
      <c r="K196" s="2">
        <v>0.15</v>
      </c>
      <c r="L196" t="s">
        <v>22</v>
      </c>
      <c r="M196" t="s">
        <v>47</v>
      </c>
      <c r="N196" s="1">
        <v>46073</v>
      </c>
      <c r="O196" s="1"/>
      <c r="P196" s="5">
        <f>Orders[[#This Row],[Quantity]]*Orders[[#This Row],[Unit Price]]</f>
        <v>1299</v>
      </c>
      <c r="Q196" s="5">
        <f>Orders[[#This Row],[Gross Sales]]*Orders[[#This Row],[Discount %]]</f>
        <v>194.85</v>
      </c>
      <c r="R196" s="5">
        <f>Orders[[#This Row],[Gross Sales]]-Orders[[#This Row],[Discount Amount]]</f>
        <v>1104.1500000000001</v>
      </c>
      <c r="S196" t="str">
        <f>IF(Orders[[#This Row],[Actual Delivery Date]]="","",Orders[[#This Row],[Actual Delivery Date]]-Orders[[#This Row],[Order Date]])</f>
        <v/>
      </c>
      <c r="T196" t="str">
        <f>IF(Orders[[#This Row],[Actual Delivery Date]]="","Pending",IF(Orders[[#This Row],[Actual Delivery Date]]&lt;=Orders[[#This Row],[Expected Delivery Date]],"On Time","Late"))</f>
        <v>Pending</v>
      </c>
      <c r="U196" t="str">
        <f>TEXT(Orders[[#This Row],[Order Date]],"mmm")</f>
        <v>Feb</v>
      </c>
      <c r="V196" s="8">
        <f>DATE(YEAR(Orders[[#This Row],[Order Date]]),MONTH(Orders[[#This Row],[Order Date]]),1)</f>
        <v>46054</v>
      </c>
      <c r="W196" s="5">
        <f>IF(Orders[[#This Row],[Order Status]]="Cancelled",Orders[[#This Row],[Net Sales]],0)</f>
        <v>0</v>
      </c>
    </row>
    <row r="197" spans="1:23" x14ac:dyDescent="0.3">
      <c r="A197" t="s">
        <v>540</v>
      </c>
      <c r="B197" s="7">
        <v>46070</v>
      </c>
      <c r="C197" t="s">
        <v>541</v>
      </c>
      <c r="D197" t="s">
        <v>224</v>
      </c>
      <c r="E197" t="s">
        <v>18</v>
      </c>
      <c r="F197" t="s">
        <v>19</v>
      </c>
      <c r="G197" t="s">
        <v>87</v>
      </c>
      <c r="H197" t="s">
        <v>21</v>
      </c>
      <c r="I197">
        <v>2</v>
      </c>
      <c r="J197" s="5">
        <v>1899</v>
      </c>
      <c r="K197" s="2">
        <v>0.1</v>
      </c>
      <c r="L197" t="s">
        <v>70</v>
      </c>
      <c r="M197" t="s">
        <v>23</v>
      </c>
      <c r="N197" s="1">
        <v>46074</v>
      </c>
      <c r="O197" s="1">
        <v>46071</v>
      </c>
      <c r="P197" s="5">
        <f>Orders[[#This Row],[Quantity]]*Orders[[#This Row],[Unit Price]]</f>
        <v>3798</v>
      </c>
      <c r="Q197" s="5">
        <f>Orders[[#This Row],[Gross Sales]]*Orders[[#This Row],[Discount %]]</f>
        <v>379.8</v>
      </c>
      <c r="R197" s="5">
        <f>Orders[[#This Row],[Gross Sales]]-Orders[[#This Row],[Discount Amount]]</f>
        <v>3418.2</v>
      </c>
      <c r="S197">
        <f>IF(Orders[[#This Row],[Actual Delivery Date]]="","",Orders[[#This Row],[Actual Delivery Date]]-Orders[[#This Row],[Order Date]])</f>
        <v>1</v>
      </c>
      <c r="T197" t="str">
        <f>IF(Orders[[#This Row],[Actual Delivery Date]]="","Pending",IF(Orders[[#This Row],[Actual Delivery Date]]&lt;=Orders[[#This Row],[Expected Delivery Date]],"On Time","Late"))</f>
        <v>On Time</v>
      </c>
      <c r="U197" t="str">
        <f>TEXT(Orders[[#This Row],[Order Date]],"mmm")</f>
        <v>Feb</v>
      </c>
      <c r="V197" s="8">
        <f>DATE(YEAR(Orders[[#This Row],[Order Date]]),MONTH(Orders[[#This Row],[Order Date]]),1)</f>
        <v>46054</v>
      </c>
      <c r="W197" s="5">
        <f>IF(Orders[[#This Row],[Order Status]]="Cancelled",Orders[[#This Row],[Net Sales]],0)</f>
        <v>0</v>
      </c>
    </row>
    <row r="198" spans="1:23" x14ac:dyDescent="0.3">
      <c r="A198" t="s">
        <v>542</v>
      </c>
      <c r="B198" s="7">
        <v>46160</v>
      </c>
      <c r="C198" t="s">
        <v>543</v>
      </c>
      <c r="D198" t="s">
        <v>544</v>
      </c>
      <c r="E198" t="s">
        <v>27</v>
      </c>
      <c r="F198" t="s">
        <v>74</v>
      </c>
      <c r="G198" t="s">
        <v>37</v>
      </c>
      <c r="H198" t="s">
        <v>38</v>
      </c>
      <c r="I198">
        <v>1</v>
      </c>
      <c r="J198" s="5">
        <v>699</v>
      </c>
      <c r="K198" s="2">
        <v>0.15</v>
      </c>
      <c r="L198" t="s">
        <v>31</v>
      </c>
      <c r="M198" t="s">
        <v>23</v>
      </c>
      <c r="N198" s="1">
        <v>46163</v>
      </c>
      <c r="O198" s="1">
        <v>46162</v>
      </c>
      <c r="P198" s="5">
        <f>Orders[[#This Row],[Quantity]]*Orders[[#This Row],[Unit Price]]</f>
        <v>699</v>
      </c>
      <c r="Q198" s="5">
        <f>Orders[[#This Row],[Gross Sales]]*Orders[[#This Row],[Discount %]]</f>
        <v>104.85</v>
      </c>
      <c r="R198" s="5">
        <f>Orders[[#This Row],[Gross Sales]]-Orders[[#This Row],[Discount Amount]]</f>
        <v>594.15</v>
      </c>
      <c r="S198">
        <f>IF(Orders[[#This Row],[Actual Delivery Date]]="","",Orders[[#This Row],[Actual Delivery Date]]-Orders[[#This Row],[Order Date]])</f>
        <v>2</v>
      </c>
      <c r="T198" t="str">
        <f>IF(Orders[[#This Row],[Actual Delivery Date]]="","Pending",IF(Orders[[#This Row],[Actual Delivery Date]]&lt;=Orders[[#This Row],[Expected Delivery Date]],"On Time","Late"))</f>
        <v>On Time</v>
      </c>
      <c r="U198" t="str">
        <f>TEXT(Orders[[#This Row],[Order Date]],"mmm")</f>
        <v>May</v>
      </c>
      <c r="V198" s="8">
        <f>DATE(YEAR(Orders[[#This Row],[Order Date]]),MONTH(Orders[[#This Row],[Order Date]]),1)</f>
        <v>46143</v>
      </c>
      <c r="W198" s="5">
        <f>IF(Orders[[#This Row],[Order Status]]="Cancelled",Orders[[#This Row],[Net Sales]],0)</f>
        <v>0</v>
      </c>
    </row>
    <row r="199" spans="1:23" x14ac:dyDescent="0.3">
      <c r="A199" t="s">
        <v>545</v>
      </c>
      <c r="B199" s="7">
        <v>46343</v>
      </c>
      <c r="C199" t="s">
        <v>291</v>
      </c>
      <c r="D199" t="s">
        <v>274</v>
      </c>
      <c r="E199" t="s">
        <v>18</v>
      </c>
      <c r="F199" t="s">
        <v>121</v>
      </c>
      <c r="G199" t="s">
        <v>20</v>
      </c>
      <c r="H199" t="s">
        <v>21</v>
      </c>
      <c r="I199">
        <v>2</v>
      </c>
      <c r="J199" s="5">
        <v>1799</v>
      </c>
      <c r="K199" s="2">
        <v>0.2</v>
      </c>
      <c r="L199" t="s">
        <v>31</v>
      </c>
      <c r="M199" t="s">
        <v>23</v>
      </c>
      <c r="N199" s="1">
        <v>46345</v>
      </c>
      <c r="O199" s="1">
        <v>46344</v>
      </c>
      <c r="P199" s="5">
        <f>Orders[[#This Row],[Quantity]]*Orders[[#This Row],[Unit Price]]</f>
        <v>3598</v>
      </c>
      <c r="Q199" s="5">
        <f>Orders[[#This Row],[Gross Sales]]*Orders[[#This Row],[Discount %]]</f>
        <v>719.6</v>
      </c>
      <c r="R199" s="5">
        <f>Orders[[#This Row],[Gross Sales]]-Orders[[#This Row],[Discount Amount]]</f>
        <v>2878.4</v>
      </c>
      <c r="S199">
        <f>IF(Orders[[#This Row],[Actual Delivery Date]]="","",Orders[[#This Row],[Actual Delivery Date]]-Orders[[#This Row],[Order Date]])</f>
        <v>1</v>
      </c>
      <c r="T199" t="str">
        <f>IF(Orders[[#This Row],[Actual Delivery Date]]="","Pending",IF(Orders[[#This Row],[Actual Delivery Date]]&lt;=Orders[[#This Row],[Expected Delivery Date]],"On Time","Late"))</f>
        <v>On Time</v>
      </c>
      <c r="U199" t="str">
        <f>TEXT(Orders[[#This Row],[Order Date]],"mmm")</f>
        <v>Nov</v>
      </c>
      <c r="V199" s="8">
        <f>DATE(YEAR(Orders[[#This Row],[Order Date]]),MONTH(Orders[[#This Row],[Order Date]]),1)</f>
        <v>46327</v>
      </c>
      <c r="W199" s="5">
        <f>IF(Orders[[#This Row],[Order Status]]="Cancelled",Orders[[#This Row],[Net Sales]],0)</f>
        <v>0</v>
      </c>
    </row>
    <row r="200" spans="1:23" x14ac:dyDescent="0.3">
      <c r="A200" t="s">
        <v>546</v>
      </c>
      <c r="B200" s="7">
        <v>46243</v>
      </c>
      <c r="C200" t="s">
        <v>506</v>
      </c>
      <c r="D200" t="s">
        <v>547</v>
      </c>
      <c r="E200" t="s">
        <v>79</v>
      </c>
      <c r="F200" t="s">
        <v>80</v>
      </c>
      <c r="G200" t="s">
        <v>118</v>
      </c>
      <c r="H200" t="s">
        <v>58</v>
      </c>
      <c r="I200">
        <v>3</v>
      </c>
      <c r="J200" s="5">
        <v>749</v>
      </c>
      <c r="K200" s="2">
        <v>0.2</v>
      </c>
      <c r="L200" t="s">
        <v>31</v>
      </c>
      <c r="M200" t="s">
        <v>23</v>
      </c>
      <c r="N200" s="1">
        <v>46247</v>
      </c>
      <c r="O200" s="1">
        <v>46245</v>
      </c>
      <c r="P200" s="5">
        <f>Orders[[#This Row],[Quantity]]*Orders[[#This Row],[Unit Price]]</f>
        <v>2247</v>
      </c>
      <c r="Q200" s="5">
        <f>Orders[[#This Row],[Gross Sales]]*Orders[[#This Row],[Discount %]]</f>
        <v>449.40000000000003</v>
      </c>
      <c r="R200" s="5">
        <f>Orders[[#This Row],[Gross Sales]]-Orders[[#This Row],[Discount Amount]]</f>
        <v>1797.6</v>
      </c>
      <c r="S200">
        <f>IF(Orders[[#This Row],[Actual Delivery Date]]="","",Orders[[#This Row],[Actual Delivery Date]]-Orders[[#This Row],[Order Date]])</f>
        <v>2</v>
      </c>
      <c r="T200" t="str">
        <f>IF(Orders[[#This Row],[Actual Delivery Date]]="","Pending",IF(Orders[[#This Row],[Actual Delivery Date]]&lt;=Orders[[#This Row],[Expected Delivery Date]],"On Time","Late"))</f>
        <v>On Time</v>
      </c>
      <c r="U200" t="str">
        <f>TEXT(Orders[[#This Row],[Order Date]],"mmm")</f>
        <v>Aug</v>
      </c>
      <c r="V200" s="8">
        <f>DATE(YEAR(Orders[[#This Row],[Order Date]]),MONTH(Orders[[#This Row],[Order Date]]),1)</f>
        <v>46235</v>
      </c>
      <c r="W200" s="5">
        <f>IF(Orders[[#This Row],[Order Status]]="Cancelled",Orders[[#This Row],[Net Sales]],0)</f>
        <v>0</v>
      </c>
    </row>
    <row r="201" spans="1:23" x14ac:dyDescent="0.3">
      <c r="A201" t="s">
        <v>548</v>
      </c>
      <c r="B201" s="7">
        <v>46378</v>
      </c>
      <c r="C201" t="s">
        <v>411</v>
      </c>
      <c r="D201" t="s">
        <v>237</v>
      </c>
      <c r="E201" t="s">
        <v>27</v>
      </c>
      <c r="F201" t="s">
        <v>74</v>
      </c>
      <c r="G201" t="s">
        <v>186</v>
      </c>
      <c r="H201" t="s">
        <v>21</v>
      </c>
      <c r="I201">
        <v>2</v>
      </c>
      <c r="J201" s="5">
        <v>1999</v>
      </c>
      <c r="K201" s="2">
        <v>0.2</v>
      </c>
      <c r="L201" t="s">
        <v>31</v>
      </c>
      <c r="M201" t="s">
        <v>23</v>
      </c>
      <c r="N201" s="1">
        <v>46383</v>
      </c>
      <c r="O201" s="1">
        <v>46382</v>
      </c>
      <c r="P201" s="5">
        <f>Orders[[#This Row],[Quantity]]*Orders[[#This Row],[Unit Price]]</f>
        <v>3998</v>
      </c>
      <c r="Q201" s="5">
        <f>Orders[[#This Row],[Gross Sales]]*Orders[[#This Row],[Discount %]]</f>
        <v>799.6</v>
      </c>
      <c r="R201" s="5">
        <f>Orders[[#This Row],[Gross Sales]]-Orders[[#This Row],[Discount Amount]]</f>
        <v>3198.4</v>
      </c>
      <c r="S201">
        <f>IF(Orders[[#This Row],[Actual Delivery Date]]="","",Orders[[#This Row],[Actual Delivery Date]]-Orders[[#This Row],[Order Date]])</f>
        <v>4</v>
      </c>
      <c r="T201" t="str">
        <f>IF(Orders[[#This Row],[Actual Delivery Date]]="","Pending",IF(Orders[[#This Row],[Actual Delivery Date]]&lt;=Orders[[#This Row],[Expected Delivery Date]],"On Time","Late"))</f>
        <v>On Time</v>
      </c>
      <c r="U201" t="str">
        <f>TEXT(Orders[[#This Row],[Order Date]],"mmm")</f>
        <v>Dec</v>
      </c>
      <c r="V201" s="8">
        <f>DATE(YEAR(Orders[[#This Row],[Order Date]]),MONTH(Orders[[#This Row],[Order Date]]),1)</f>
        <v>46357</v>
      </c>
      <c r="W201" s="5">
        <f>IF(Orders[[#This Row],[Order Status]]="Cancelled",Orders[[#This Row],[Net Sales]],0)</f>
        <v>0</v>
      </c>
    </row>
    <row r="202" spans="1:23" x14ac:dyDescent="0.3">
      <c r="A202" t="s">
        <v>549</v>
      </c>
      <c r="B202" s="7">
        <v>46259</v>
      </c>
      <c r="C202" t="s">
        <v>367</v>
      </c>
      <c r="D202" t="s">
        <v>550</v>
      </c>
      <c r="E202" t="s">
        <v>27</v>
      </c>
      <c r="F202" t="s">
        <v>56</v>
      </c>
      <c r="G202" t="s">
        <v>81</v>
      </c>
      <c r="H202" t="s">
        <v>30</v>
      </c>
      <c r="I202">
        <v>4</v>
      </c>
      <c r="J202" s="5">
        <v>899</v>
      </c>
      <c r="K202" s="2">
        <v>0.05</v>
      </c>
      <c r="L202" t="s">
        <v>70</v>
      </c>
      <c r="M202" t="s">
        <v>82</v>
      </c>
      <c r="N202" s="1">
        <v>46263</v>
      </c>
      <c r="O202" s="1">
        <v>46260</v>
      </c>
      <c r="P202" s="5">
        <f>Orders[[#This Row],[Quantity]]*Orders[[#This Row],[Unit Price]]</f>
        <v>3596</v>
      </c>
      <c r="Q202" s="5">
        <f>Orders[[#This Row],[Gross Sales]]*Orders[[#This Row],[Discount %]]</f>
        <v>179.8</v>
      </c>
      <c r="R202" s="5">
        <f>Orders[[#This Row],[Gross Sales]]-Orders[[#This Row],[Discount Amount]]</f>
        <v>3416.2</v>
      </c>
      <c r="S202">
        <f>IF(Orders[[#This Row],[Actual Delivery Date]]="","",Orders[[#This Row],[Actual Delivery Date]]-Orders[[#This Row],[Order Date]])</f>
        <v>1</v>
      </c>
      <c r="T202" t="str">
        <f>IF(Orders[[#This Row],[Actual Delivery Date]]="","Pending",IF(Orders[[#This Row],[Actual Delivery Date]]&lt;=Orders[[#This Row],[Expected Delivery Date]],"On Time","Late"))</f>
        <v>On Time</v>
      </c>
      <c r="U202" t="str">
        <f>TEXT(Orders[[#This Row],[Order Date]],"mmm")</f>
        <v>Aug</v>
      </c>
      <c r="V202" s="8">
        <f>DATE(YEAR(Orders[[#This Row],[Order Date]]),MONTH(Orders[[#This Row],[Order Date]]),1)</f>
        <v>46235</v>
      </c>
      <c r="W202" s="5">
        <f>IF(Orders[[#This Row],[Order Status]]="Cancelled",Orders[[#This Row],[Net Sales]],0)</f>
        <v>0</v>
      </c>
    </row>
    <row r="203" spans="1:23" x14ac:dyDescent="0.3">
      <c r="A203" t="s">
        <v>551</v>
      </c>
      <c r="B203" s="7">
        <v>46360</v>
      </c>
      <c r="C203" t="s">
        <v>552</v>
      </c>
      <c r="D203" t="s">
        <v>337</v>
      </c>
      <c r="E203" t="s">
        <v>27</v>
      </c>
      <c r="F203" t="s">
        <v>51</v>
      </c>
      <c r="G203" t="s">
        <v>131</v>
      </c>
      <c r="H203" t="s">
        <v>38</v>
      </c>
      <c r="I203">
        <v>1</v>
      </c>
      <c r="J203" s="5">
        <v>899</v>
      </c>
      <c r="K203" s="2">
        <v>0.15</v>
      </c>
      <c r="L203" t="s">
        <v>70</v>
      </c>
      <c r="M203" t="s">
        <v>23</v>
      </c>
      <c r="N203" s="1">
        <v>46365</v>
      </c>
      <c r="O203" s="1">
        <v>46369</v>
      </c>
      <c r="P203" s="5">
        <f>Orders[[#This Row],[Quantity]]*Orders[[#This Row],[Unit Price]]</f>
        <v>899</v>
      </c>
      <c r="Q203" s="5">
        <f>Orders[[#This Row],[Gross Sales]]*Orders[[#This Row],[Discount %]]</f>
        <v>134.85</v>
      </c>
      <c r="R203" s="5">
        <f>Orders[[#This Row],[Gross Sales]]-Orders[[#This Row],[Discount Amount]]</f>
        <v>764.15</v>
      </c>
      <c r="S203">
        <f>IF(Orders[[#This Row],[Actual Delivery Date]]="","",Orders[[#This Row],[Actual Delivery Date]]-Orders[[#This Row],[Order Date]])</f>
        <v>9</v>
      </c>
      <c r="T203" t="str">
        <f>IF(Orders[[#This Row],[Actual Delivery Date]]="","Pending",IF(Orders[[#This Row],[Actual Delivery Date]]&lt;=Orders[[#This Row],[Expected Delivery Date]],"On Time","Late"))</f>
        <v>Late</v>
      </c>
      <c r="U203" t="str">
        <f>TEXT(Orders[[#This Row],[Order Date]],"mmm")</f>
        <v>Dec</v>
      </c>
      <c r="V203" s="8">
        <f>DATE(YEAR(Orders[[#This Row],[Order Date]]),MONTH(Orders[[#This Row],[Order Date]]),1)</f>
        <v>46357</v>
      </c>
      <c r="W203" s="5">
        <f>IF(Orders[[#This Row],[Order Status]]="Cancelled",Orders[[#This Row],[Net Sales]],0)</f>
        <v>0</v>
      </c>
    </row>
    <row r="204" spans="1:23" x14ac:dyDescent="0.3">
      <c r="A204" t="s">
        <v>553</v>
      </c>
      <c r="B204" s="7">
        <v>46327</v>
      </c>
      <c r="C204" t="s">
        <v>554</v>
      </c>
      <c r="D204" t="s">
        <v>555</v>
      </c>
      <c r="E204" t="s">
        <v>79</v>
      </c>
      <c r="F204" t="s">
        <v>86</v>
      </c>
      <c r="G204" t="s">
        <v>87</v>
      </c>
      <c r="H204" t="s">
        <v>21</v>
      </c>
      <c r="I204">
        <v>2</v>
      </c>
      <c r="J204" s="5">
        <v>1899</v>
      </c>
      <c r="K204" s="2">
        <v>0</v>
      </c>
      <c r="L204" t="s">
        <v>39</v>
      </c>
      <c r="M204" t="s">
        <v>82</v>
      </c>
      <c r="N204" s="1">
        <v>46330</v>
      </c>
      <c r="O204" s="1">
        <v>46329</v>
      </c>
      <c r="P204" s="5">
        <f>Orders[[#This Row],[Quantity]]*Orders[[#This Row],[Unit Price]]</f>
        <v>3798</v>
      </c>
      <c r="Q204" s="5">
        <f>Orders[[#This Row],[Gross Sales]]*Orders[[#This Row],[Discount %]]</f>
        <v>0</v>
      </c>
      <c r="R204" s="5">
        <f>Orders[[#This Row],[Gross Sales]]-Orders[[#This Row],[Discount Amount]]</f>
        <v>3798</v>
      </c>
      <c r="S204">
        <f>IF(Orders[[#This Row],[Actual Delivery Date]]="","",Orders[[#This Row],[Actual Delivery Date]]-Orders[[#This Row],[Order Date]])</f>
        <v>2</v>
      </c>
      <c r="T204" t="str">
        <f>IF(Orders[[#This Row],[Actual Delivery Date]]="","Pending",IF(Orders[[#This Row],[Actual Delivery Date]]&lt;=Orders[[#This Row],[Expected Delivery Date]],"On Time","Late"))</f>
        <v>On Time</v>
      </c>
      <c r="U204" t="str">
        <f>TEXT(Orders[[#This Row],[Order Date]],"mmm")</f>
        <v>Nov</v>
      </c>
      <c r="V204" s="8">
        <f>DATE(YEAR(Orders[[#This Row],[Order Date]]),MONTH(Orders[[#This Row],[Order Date]]),1)</f>
        <v>46327</v>
      </c>
      <c r="W204" s="5">
        <f>IF(Orders[[#This Row],[Order Status]]="Cancelled",Orders[[#This Row],[Net Sales]],0)</f>
        <v>0</v>
      </c>
    </row>
    <row r="205" spans="1:23" x14ac:dyDescent="0.3">
      <c r="A205" t="s">
        <v>556</v>
      </c>
      <c r="B205" s="7">
        <v>46028</v>
      </c>
      <c r="C205" t="s">
        <v>188</v>
      </c>
      <c r="D205" t="s">
        <v>511</v>
      </c>
      <c r="E205" t="s">
        <v>79</v>
      </c>
      <c r="F205" t="s">
        <v>80</v>
      </c>
      <c r="G205" t="s">
        <v>147</v>
      </c>
      <c r="H205" t="s">
        <v>58</v>
      </c>
      <c r="I205">
        <v>1</v>
      </c>
      <c r="J205" s="5">
        <v>399</v>
      </c>
      <c r="K205" s="2">
        <v>0.05</v>
      </c>
      <c r="L205" t="s">
        <v>22</v>
      </c>
      <c r="M205" t="s">
        <v>59</v>
      </c>
      <c r="N205" s="1">
        <v>46034</v>
      </c>
      <c r="O205" s="1">
        <v>46034</v>
      </c>
      <c r="P205" s="5">
        <f>Orders[[#This Row],[Quantity]]*Orders[[#This Row],[Unit Price]]</f>
        <v>399</v>
      </c>
      <c r="Q205" s="5">
        <f>Orders[[#This Row],[Gross Sales]]*Orders[[#This Row],[Discount %]]</f>
        <v>19.950000000000003</v>
      </c>
      <c r="R205" s="5">
        <f>Orders[[#This Row],[Gross Sales]]-Orders[[#This Row],[Discount Amount]]</f>
        <v>379.05</v>
      </c>
      <c r="S205">
        <f>IF(Orders[[#This Row],[Actual Delivery Date]]="","",Orders[[#This Row],[Actual Delivery Date]]-Orders[[#This Row],[Order Date]])</f>
        <v>6</v>
      </c>
      <c r="T205" t="str">
        <f>IF(Orders[[#This Row],[Actual Delivery Date]]="","Pending",IF(Orders[[#This Row],[Actual Delivery Date]]&lt;=Orders[[#This Row],[Expected Delivery Date]],"On Time","Late"))</f>
        <v>On Time</v>
      </c>
      <c r="U205" t="str">
        <f>TEXT(Orders[[#This Row],[Order Date]],"mmm")</f>
        <v>Jan</v>
      </c>
      <c r="V205" s="8">
        <f>DATE(YEAR(Orders[[#This Row],[Order Date]]),MONTH(Orders[[#This Row],[Order Date]]),1)</f>
        <v>46023</v>
      </c>
      <c r="W205" s="5">
        <f>IF(Orders[[#This Row],[Order Status]]="Cancelled",Orders[[#This Row],[Net Sales]],0)</f>
        <v>379.05</v>
      </c>
    </row>
    <row r="206" spans="1:23" x14ac:dyDescent="0.3">
      <c r="A206" t="s">
        <v>557</v>
      </c>
      <c r="B206" s="7">
        <v>46370</v>
      </c>
      <c r="C206" t="s">
        <v>558</v>
      </c>
      <c r="D206" t="s">
        <v>534</v>
      </c>
      <c r="E206" t="s">
        <v>79</v>
      </c>
      <c r="F206" t="s">
        <v>80</v>
      </c>
      <c r="G206" t="s">
        <v>57</v>
      </c>
      <c r="H206" t="s">
        <v>58</v>
      </c>
      <c r="I206">
        <v>2</v>
      </c>
      <c r="J206" s="5">
        <v>499</v>
      </c>
      <c r="K206" s="2">
        <v>0.2</v>
      </c>
      <c r="L206" t="s">
        <v>31</v>
      </c>
      <c r="M206" t="s">
        <v>23</v>
      </c>
      <c r="N206" s="1">
        <v>46372</v>
      </c>
      <c r="O206" s="1">
        <v>46372</v>
      </c>
      <c r="P206" s="5">
        <f>Orders[[#This Row],[Quantity]]*Orders[[#This Row],[Unit Price]]</f>
        <v>998</v>
      </c>
      <c r="Q206" s="5">
        <f>Orders[[#This Row],[Gross Sales]]*Orders[[#This Row],[Discount %]]</f>
        <v>199.60000000000002</v>
      </c>
      <c r="R206" s="5">
        <f>Orders[[#This Row],[Gross Sales]]-Orders[[#This Row],[Discount Amount]]</f>
        <v>798.4</v>
      </c>
      <c r="S206">
        <f>IF(Orders[[#This Row],[Actual Delivery Date]]="","",Orders[[#This Row],[Actual Delivery Date]]-Orders[[#This Row],[Order Date]])</f>
        <v>2</v>
      </c>
      <c r="T206" t="str">
        <f>IF(Orders[[#This Row],[Actual Delivery Date]]="","Pending",IF(Orders[[#This Row],[Actual Delivery Date]]&lt;=Orders[[#This Row],[Expected Delivery Date]],"On Time","Late"))</f>
        <v>On Time</v>
      </c>
      <c r="U206" t="str">
        <f>TEXT(Orders[[#This Row],[Order Date]],"mmm")</f>
        <v>Dec</v>
      </c>
      <c r="V206" s="8">
        <f>DATE(YEAR(Orders[[#This Row],[Order Date]]),MONTH(Orders[[#This Row],[Order Date]]),1)</f>
        <v>46357</v>
      </c>
      <c r="W206" s="5">
        <f>IF(Orders[[#This Row],[Order Status]]="Cancelled",Orders[[#This Row],[Net Sales]],0)</f>
        <v>0</v>
      </c>
    </row>
    <row r="207" spans="1:23" x14ac:dyDescent="0.3">
      <c r="A207" t="s">
        <v>559</v>
      </c>
      <c r="B207" s="7">
        <v>46198</v>
      </c>
      <c r="C207" t="s">
        <v>560</v>
      </c>
      <c r="D207" t="s">
        <v>561</v>
      </c>
      <c r="E207" t="s">
        <v>18</v>
      </c>
      <c r="F207" t="s">
        <v>95</v>
      </c>
      <c r="G207" t="s">
        <v>186</v>
      </c>
      <c r="H207" t="s">
        <v>21</v>
      </c>
      <c r="I207">
        <v>2</v>
      </c>
      <c r="J207" s="5">
        <v>1999</v>
      </c>
      <c r="K207" s="2">
        <v>0.05</v>
      </c>
      <c r="L207" t="s">
        <v>22</v>
      </c>
      <c r="M207" t="s">
        <v>23</v>
      </c>
      <c r="N207" s="1">
        <v>46202</v>
      </c>
      <c r="O207" s="1">
        <v>46202</v>
      </c>
      <c r="P207" s="5">
        <f>Orders[[#This Row],[Quantity]]*Orders[[#This Row],[Unit Price]]</f>
        <v>3998</v>
      </c>
      <c r="Q207" s="5">
        <f>Orders[[#This Row],[Gross Sales]]*Orders[[#This Row],[Discount %]]</f>
        <v>199.9</v>
      </c>
      <c r="R207" s="5">
        <f>Orders[[#This Row],[Gross Sales]]-Orders[[#This Row],[Discount Amount]]</f>
        <v>3798.1</v>
      </c>
      <c r="S207">
        <f>IF(Orders[[#This Row],[Actual Delivery Date]]="","",Orders[[#This Row],[Actual Delivery Date]]-Orders[[#This Row],[Order Date]])</f>
        <v>4</v>
      </c>
      <c r="T207" t="str">
        <f>IF(Orders[[#This Row],[Actual Delivery Date]]="","Pending",IF(Orders[[#This Row],[Actual Delivery Date]]&lt;=Orders[[#This Row],[Expected Delivery Date]],"On Time","Late"))</f>
        <v>On Time</v>
      </c>
      <c r="U207" t="str">
        <f>TEXT(Orders[[#This Row],[Order Date]],"mmm")</f>
        <v>Jun</v>
      </c>
      <c r="V207" s="8">
        <f>DATE(YEAR(Orders[[#This Row],[Order Date]]),MONTH(Orders[[#This Row],[Order Date]]),1)</f>
        <v>46174</v>
      </c>
      <c r="W207" s="5">
        <f>IF(Orders[[#This Row],[Order Status]]="Cancelled",Orders[[#This Row],[Net Sales]],0)</f>
        <v>0</v>
      </c>
    </row>
    <row r="208" spans="1:23" x14ac:dyDescent="0.3">
      <c r="A208" t="s">
        <v>562</v>
      </c>
      <c r="B208" s="7">
        <v>46034</v>
      </c>
      <c r="C208" t="s">
        <v>25</v>
      </c>
      <c r="D208" t="s">
        <v>563</v>
      </c>
      <c r="E208" t="s">
        <v>18</v>
      </c>
      <c r="F208" t="s">
        <v>121</v>
      </c>
      <c r="G208" t="s">
        <v>75</v>
      </c>
      <c r="H208" t="s">
        <v>45</v>
      </c>
      <c r="I208">
        <v>3</v>
      </c>
      <c r="J208" s="5">
        <v>799</v>
      </c>
      <c r="K208" s="2">
        <v>0</v>
      </c>
      <c r="L208" t="s">
        <v>31</v>
      </c>
      <c r="M208" t="s">
        <v>59</v>
      </c>
      <c r="N208" s="1">
        <v>46037</v>
      </c>
      <c r="O208" s="1">
        <v>46037</v>
      </c>
      <c r="P208" s="5">
        <f>Orders[[#This Row],[Quantity]]*Orders[[#This Row],[Unit Price]]</f>
        <v>2397</v>
      </c>
      <c r="Q208" s="5">
        <f>Orders[[#This Row],[Gross Sales]]*Orders[[#This Row],[Discount %]]</f>
        <v>0</v>
      </c>
      <c r="R208" s="5">
        <f>Orders[[#This Row],[Gross Sales]]-Orders[[#This Row],[Discount Amount]]</f>
        <v>2397</v>
      </c>
      <c r="S208">
        <f>IF(Orders[[#This Row],[Actual Delivery Date]]="","",Orders[[#This Row],[Actual Delivery Date]]-Orders[[#This Row],[Order Date]])</f>
        <v>3</v>
      </c>
      <c r="T208" t="str">
        <f>IF(Orders[[#This Row],[Actual Delivery Date]]="","Pending",IF(Orders[[#This Row],[Actual Delivery Date]]&lt;=Orders[[#This Row],[Expected Delivery Date]],"On Time","Late"))</f>
        <v>On Time</v>
      </c>
      <c r="U208" t="str">
        <f>TEXT(Orders[[#This Row],[Order Date]],"mmm")</f>
        <v>Jan</v>
      </c>
      <c r="V208" s="8">
        <f>DATE(YEAR(Orders[[#This Row],[Order Date]]),MONTH(Orders[[#This Row],[Order Date]]),1)</f>
        <v>46023</v>
      </c>
      <c r="W208" s="5">
        <f>IF(Orders[[#This Row],[Order Status]]="Cancelled",Orders[[#This Row],[Net Sales]],0)</f>
        <v>2397</v>
      </c>
    </row>
    <row r="209" spans="1:23" x14ac:dyDescent="0.3">
      <c r="A209" t="s">
        <v>564</v>
      </c>
      <c r="B209" s="7">
        <v>46345</v>
      </c>
      <c r="C209" t="s">
        <v>384</v>
      </c>
      <c r="D209" t="s">
        <v>565</v>
      </c>
      <c r="E209" t="s">
        <v>79</v>
      </c>
      <c r="F209" t="s">
        <v>170</v>
      </c>
      <c r="G209" t="s">
        <v>96</v>
      </c>
      <c r="H209" t="s">
        <v>38</v>
      </c>
      <c r="I209">
        <v>1</v>
      </c>
      <c r="J209" s="5">
        <v>1599</v>
      </c>
      <c r="K209" s="2">
        <v>0.15</v>
      </c>
      <c r="L209" t="s">
        <v>70</v>
      </c>
      <c r="M209" t="s">
        <v>23</v>
      </c>
      <c r="N209" s="1">
        <v>46352</v>
      </c>
      <c r="O209" s="1">
        <v>46347</v>
      </c>
      <c r="P209" s="5">
        <f>Orders[[#This Row],[Quantity]]*Orders[[#This Row],[Unit Price]]</f>
        <v>1599</v>
      </c>
      <c r="Q209" s="5">
        <f>Orders[[#This Row],[Gross Sales]]*Orders[[#This Row],[Discount %]]</f>
        <v>239.85</v>
      </c>
      <c r="R209" s="5">
        <f>Orders[[#This Row],[Gross Sales]]-Orders[[#This Row],[Discount Amount]]</f>
        <v>1359.15</v>
      </c>
      <c r="S209">
        <f>IF(Orders[[#This Row],[Actual Delivery Date]]="","",Orders[[#This Row],[Actual Delivery Date]]-Orders[[#This Row],[Order Date]])</f>
        <v>2</v>
      </c>
      <c r="T209" t="str">
        <f>IF(Orders[[#This Row],[Actual Delivery Date]]="","Pending",IF(Orders[[#This Row],[Actual Delivery Date]]&lt;=Orders[[#This Row],[Expected Delivery Date]],"On Time","Late"))</f>
        <v>On Time</v>
      </c>
      <c r="U209" t="str">
        <f>TEXT(Orders[[#This Row],[Order Date]],"mmm")</f>
        <v>Nov</v>
      </c>
      <c r="V209" s="8">
        <f>DATE(YEAR(Orders[[#This Row],[Order Date]]),MONTH(Orders[[#This Row],[Order Date]]),1)</f>
        <v>46327</v>
      </c>
      <c r="W209" s="5">
        <f>IF(Orders[[#This Row],[Order Status]]="Cancelled",Orders[[#This Row],[Net Sales]],0)</f>
        <v>0</v>
      </c>
    </row>
    <row r="210" spans="1:23" x14ac:dyDescent="0.3">
      <c r="A210" t="s">
        <v>566</v>
      </c>
      <c r="B210" s="7">
        <v>46165</v>
      </c>
      <c r="C210" t="s">
        <v>567</v>
      </c>
      <c r="D210" t="s">
        <v>392</v>
      </c>
      <c r="E210" t="s">
        <v>79</v>
      </c>
      <c r="F210" t="s">
        <v>86</v>
      </c>
      <c r="G210" t="s">
        <v>37</v>
      </c>
      <c r="H210" t="s">
        <v>38</v>
      </c>
      <c r="I210">
        <v>3</v>
      </c>
      <c r="J210" s="5">
        <v>699</v>
      </c>
      <c r="K210" s="2">
        <v>0</v>
      </c>
      <c r="L210" t="s">
        <v>22</v>
      </c>
      <c r="M210" t="s">
        <v>23</v>
      </c>
      <c r="N210" s="1">
        <v>46171</v>
      </c>
      <c r="O210" s="1">
        <v>46168</v>
      </c>
      <c r="P210" s="5">
        <f>Orders[[#This Row],[Quantity]]*Orders[[#This Row],[Unit Price]]</f>
        <v>2097</v>
      </c>
      <c r="Q210" s="5">
        <f>Orders[[#This Row],[Gross Sales]]*Orders[[#This Row],[Discount %]]</f>
        <v>0</v>
      </c>
      <c r="R210" s="5">
        <f>Orders[[#This Row],[Gross Sales]]-Orders[[#This Row],[Discount Amount]]</f>
        <v>2097</v>
      </c>
      <c r="S210">
        <f>IF(Orders[[#This Row],[Actual Delivery Date]]="","",Orders[[#This Row],[Actual Delivery Date]]-Orders[[#This Row],[Order Date]])</f>
        <v>3</v>
      </c>
      <c r="T210" t="str">
        <f>IF(Orders[[#This Row],[Actual Delivery Date]]="","Pending",IF(Orders[[#This Row],[Actual Delivery Date]]&lt;=Orders[[#This Row],[Expected Delivery Date]],"On Time","Late"))</f>
        <v>On Time</v>
      </c>
      <c r="U210" t="str">
        <f>TEXT(Orders[[#This Row],[Order Date]],"mmm")</f>
        <v>May</v>
      </c>
      <c r="V210" s="8">
        <f>DATE(YEAR(Orders[[#This Row],[Order Date]]),MONTH(Orders[[#This Row],[Order Date]]),1)</f>
        <v>46143</v>
      </c>
      <c r="W210" s="5">
        <f>IF(Orders[[#This Row],[Order Status]]="Cancelled",Orders[[#This Row],[Net Sales]],0)</f>
        <v>0</v>
      </c>
    </row>
    <row r="211" spans="1:23" x14ac:dyDescent="0.3">
      <c r="A211" t="s">
        <v>568</v>
      </c>
      <c r="B211" s="7">
        <v>46350</v>
      </c>
      <c r="C211" t="s">
        <v>61</v>
      </c>
      <c r="D211" t="s">
        <v>569</v>
      </c>
      <c r="E211" t="s">
        <v>18</v>
      </c>
      <c r="F211" t="s">
        <v>121</v>
      </c>
      <c r="G211" t="s">
        <v>228</v>
      </c>
      <c r="H211" t="s">
        <v>58</v>
      </c>
      <c r="I211">
        <v>1</v>
      </c>
      <c r="J211" s="5">
        <v>1499</v>
      </c>
      <c r="K211" s="2">
        <v>0.15</v>
      </c>
      <c r="L211" t="s">
        <v>22</v>
      </c>
      <c r="M211" t="s">
        <v>23</v>
      </c>
      <c r="N211" s="1">
        <v>46356</v>
      </c>
      <c r="O211" s="1">
        <v>46353</v>
      </c>
      <c r="P211" s="5">
        <f>Orders[[#This Row],[Quantity]]*Orders[[#This Row],[Unit Price]]</f>
        <v>1499</v>
      </c>
      <c r="Q211" s="5">
        <f>Orders[[#This Row],[Gross Sales]]*Orders[[#This Row],[Discount %]]</f>
        <v>224.85</v>
      </c>
      <c r="R211" s="5">
        <f>Orders[[#This Row],[Gross Sales]]-Orders[[#This Row],[Discount Amount]]</f>
        <v>1274.1500000000001</v>
      </c>
      <c r="S211">
        <f>IF(Orders[[#This Row],[Actual Delivery Date]]="","",Orders[[#This Row],[Actual Delivery Date]]-Orders[[#This Row],[Order Date]])</f>
        <v>3</v>
      </c>
      <c r="T211" t="str">
        <f>IF(Orders[[#This Row],[Actual Delivery Date]]="","Pending",IF(Orders[[#This Row],[Actual Delivery Date]]&lt;=Orders[[#This Row],[Expected Delivery Date]],"On Time","Late"))</f>
        <v>On Time</v>
      </c>
      <c r="U211" t="str">
        <f>TEXT(Orders[[#This Row],[Order Date]],"mmm")</f>
        <v>Nov</v>
      </c>
      <c r="V211" s="8">
        <f>DATE(YEAR(Orders[[#This Row],[Order Date]]),MONTH(Orders[[#This Row],[Order Date]]),1)</f>
        <v>46327</v>
      </c>
      <c r="W211" s="5">
        <f>IF(Orders[[#This Row],[Order Status]]="Cancelled",Orders[[#This Row],[Net Sales]],0)</f>
        <v>0</v>
      </c>
    </row>
    <row r="212" spans="1:23" x14ac:dyDescent="0.3">
      <c r="A212" t="s">
        <v>570</v>
      </c>
      <c r="B212" s="7">
        <v>46083</v>
      </c>
      <c r="C212" t="s">
        <v>391</v>
      </c>
      <c r="D212" t="s">
        <v>294</v>
      </c>
      <c r="E212" t="s">
        <v>35</v>
      </c>
      <c r="F212" t="s">
        <v>135</v>
      </c>
      <c r="G212" t="s">
        <v>131</v>
      </c>
      <c r="H212" t="s">
        <v>38</v>
      </c>
      <c r="I212">
        <v>1</v>
      </c>
      <c r="J212" s="5">
        <v>899</v>
      </c>
      <c r="K212" s="2">
        <v>0</v>
      </c>
      <c r="L212" t="s">
        <v>31</v>
      </c>
      <c r="M212" t="s">
        <v>23</v>
      </c>
      <c r="N212" s="1">
        <v>46090</v>
      </c>
      <c r="O212" s="1">
        <v>46087</v>
      </c>
      <c r="P212" s="5">
        <f>Orders[[#This Row],[Quantity]]*Orders[[#This Row],[Unit Price]]</f>
        <v>899</v>
      </c>
      <c r="Q212" s="5">
        <f>Orders[[#This Row],[Gross Sales]]*Orders[[#This Row],[Discount %]]</f>
        <v>0</v>
      </c>
      <c r="R212" s="5">
        <f>Orders[[#This Row],[Gross Sales]]-Orders[[#This Row],[Discount Amount]]</f>
        <v>899</v>
      </c>
      <c r="S212">
        <f>IF(Orders[[#This Row],[Actual Delivery Date]]="","",Orders[[#This Row],[Actual Delivery Date]]-Orders[[#This Row],[Order Date]])</f>
        <v>4</v>
      </c>
      <c r="T212" t="str">
        <f>IF(Orders[[#This Row],[Actual Delivery Date]]="","Pending",IF(Orders[[#This Row],[Actual Delivery Date]]&lt;=Orders[[#This Row],[Expected Delivery Date]],"On Time","Late"))</f>
        <v>On Time</v>
      </c>
      <c r="U212" t="str">
        <f>TEXT(Orders[[#This Row],[Order Date]],"mmm")</f>
        <v>Mar</v>
      </c>
      <c r="V212" s="8">
        <f>DATE(YEAR(Orders[[#This Row],[Order Date]]),MONTH(Orders[[#This Row],[Order Date]]),1)</f>
        <v>46082</v>
      </c>
      <c r="W212" s="5">
        <f>IF(Orders[[#This Row],[Order Status]]="Cancelled",Orders[[#This Row],[Net Sales]],0)</f>
        <v>0</v>
      </c>
    </row>
    <row r="213" spans="1:23" x14ac:dyDescent="0.3">
      <c r="A213" t="s">
        <v>571</v>
      </c>
      <c r="B213" s="7">
        <v>46348</v>
      </c>
      <c r="C213" t="s">
        <v>572</v>
      </c>
      <c r="D213" t="s">
        <v>573</v>
      </c>
      <c r="E213" t="s">
        <v>79</v>
      </c>
      <c r="F213" t="s">
        <v>170</v>
      </c>
      <c r="G213" t="s">
        <v>96</v>
      </c>
      <c r="H213" t="s">
        <v>38</v>
      </c>
      <c r="I213">
        <v>2</v>
      </c>
      <c r="J213" s="5">
        <v>1599</v>
      </c>
      <c r="K213" s="2">
        <v>0.05</v>
      </c>
      <c r="L213" t="s">
        <v>22</v>
      </c>
      <c r="M213" t="s">
        <v>23</v>
      </c>
      <c r="N213" s="1">
        <v>46353</v>
      </c>
      <c r="O213" s="1">
        <v>46350</v>
      </c>
      <c r="P213" s="5">
        <f>Orders[[#This Row],[Quantity]]*Orders[[#This Row],[Unit Price]]</f>
        <v>3198</v>
      </c>
      <c r="Q213" s="5">
        <f>Orders[[#This Row],[Gross Sales]]*Orders[[#This Row],[Discount %]]</f>
        <v>159.9</v>
      </c>
      <c r="R213" s="5">
        <f>Orders[[#This Row],[Gross Sales]]-Orders[[#This Row],[Discount Amount]]</f>
        <v>3038.1</v>
      </c>
      <c r="S213">
        <f>IF(Orders[[#This Row],[Actual Delivery Date]]="","",Orders[[#This Row],[Actual Delivery Date]]-Orders[[#This Row],[Order Date]])</f>
        <v>2</v>
      </c>
      <c r="T213" t="str">
        <f>IF(Orders[[#This Row],[Actual Delivery Date]]="","Pending",IF(Orders[[#This Row],[Actual Delivery Date]]&lt;=Orders[[#This Row],[Expected Delivery Date]],"On Time","Late"))</f>
        <v>On Time</v>
      </c>
      <c r="U213" t="str">
        <f>TEXT(Orders[[#This Row],[Order Date]],"mmm")</f>
        <v>Nov</v>
      </c>
      <c r="V213" s="8">
        <f>DATE(YEAR(Orders[[#This Row],[Order Date]]),MONTH(Orders[[#This Row],[Order Date]]),1)</f>
        <v>46327</v>
      </c>
      <c r="W213" s="5">
        <f>IF(Orders[[#This Row],[Order Status]]="Cancelled",Orders[[#This Row],[Net Sales]],0)</f>
        <v>0</v>
      </c>
    </row>
    <row r="214" spans="1:23" x14ac:dyDescent="0.3">
      <c r="A214" t="s">
        <v>574</v>
      </c>
      <c r="B214" s="7">
        <v>46092</v>
      </c>
      <c r="C214" t="s">
        <v>575</v>
      </c>
      <c r="D214" t="s">
        <v>428</v>
      </c>
      <c r="E214" t="s">
        <v>18</v>
      </c>
      <c r="F214" t="s">
        <v>121</v>
      </c>
      <c r="G214" t="s">
        <v>160</v>
      </c>
      <c r="H214" t="s">
        <v>45</v>
      </c>
      <c r="I214">
        <v>1</v>
      </c>
      <c r="J214" s="5">
        <v>1499</v>
      </c>
      <c r="K214" s="2">
        <v>0.15</v>
      </c>
      <c r="L214" t="s">
        <v>22</v>
      </c>
      <c r="M214" t="s">
        <v>47</v>
      </c>
      <c r="N214" s="1">
        <v>46099</v>
      </c>
      <c r="O214" s="1"/>
      <c r="P214" s="5">
        <f>Orders[[#This Row],[Quantity]]*Orders[[#This Row],[Unit Price]]</f>
        <v>1499</v>
      </c>
      <c r="Q214" s="5">
        <f>Orders[[#This Row],[Gross Sales]]*Orders[[#This Row],[Discount %]]</f>
        <v>224.85</v>
      </c>
      <c r="R214" s="5">
        <f>Orders[[#This Row],[Gross Sales]]-Orders[[#This Row],[Discount Amount]]</f>
        <v>1274.1500000000001</v>
      </c>
      <c r="S214" t="str">
        <f>IF(Orders[[#This Row],[Actual Delivery Date]]="","",Orders[[#This Row],[Actual Delivery Date]]-Orders[[#This Row],[Order Date]])</f>
        <v/>
      </c>
      <c r="T214" t="str">
        <f>IF(Orders[[#This Row],[Actual Delivery Date]]="","Pending",IF(Orders[[#This Row],[Actual Delivery Date]]&lt;=Orders[[#This Row],[Expected Delivery Date]],"On Time","Late"))</f>
        <v>Pending</v>
      </c>
      <c r="U214" t="str">
        <f>TEXT(Orders[[#This Row],[Order Date]],"mmm")</f>
        <v>Mar</v>
      </c>
      <c r="V214" s="8">
        <f>DATE(YEAR(Orders[[#This Row],[Order Date]]),MONTH(Orders[[#This Row],[Order Date]]),1)</f>
        <v>46082</v>
      </c>
      <c r="W214" s="5">
        <f>IF(Orders[[#This Row],[Order Status]]="Cancelled",Orders[[#This Row],[Net Sales]],0)</f>
        <v>0</v>
      </c>
    </row>
    <row r="215" spans="1:23" x14ac:dyDescent="0.3">
      <c r="A215" t="s">
        <v>576</v>
      </c>
      <c r="B215" s="7">
        <v>46108</v>
      </c>
      <c r="C215" t="s">
        <v>577</v>
      </c>
      <c r="D215" t="s">
        <v>392</v>
      </c>
      <c r="E215" t="s">
        <v>79</v>
      </c>
      <c r="F215" t="s">
        <v>170</v>
      </c>
      <c r="G215" t="s">
        <v>57</v>
      </c>
      <c r="H215" t="s">
        <v>58</v>
      </c>
      <c r="I215">
        <v>1</v>
      </c>
      <c r="J215" s="5">
        <v>499</v>
      </c>
      <c r="K215" s="2">
        <v>0</v>
      </c>
      <c r="L215" t="s">
        <v>31</v>
      </c>
      <c r="M215" t="s">
        <v>23</v>
      </c>
      <c r="N215" s="1">
        <v>46110</v>
      </c>
      <c r="O215" s="1">
        <v>46110</v>
      </c>
      <c r="P215" s="5">
        <f>Orders[[#This Row],[Quantity]]*Orders[[#This Row],[Unit Price]]</f>
        <v>499</v>
      </c>
      <c r="Q215" s="5">
        <f>Orders[[#This Row],[Gross Sales]]*Orders[[#This Row],[Discount %]]</f>
        <v>0</v>
      </c>
      <c r="R215" s="5">
        <f>Orders[[#This Row],[Gross Sales]]-Orders[[#This Row],[Discount Amount]]</f>
        <v>499</v>
      </c>
      <c r="S215">
        <f>IF(Orders[[#This Row],[Actual Delivery Date]]="","",Orders[[#This Row],[Actual Delivery Date]]-Orders[[#This Row],[Order Date]])</f>
        <v>2</v>
      </c>
      <c r="T215" t="str">
        <f>IF(Orders[[#This Row],[Actual Delivery Date]]="","Pending",IF(Orders[[#This Row],[Actual Delivery Date]]&lt;=Orders[[#This Row],[Expected Delivery Date]],"On Time","Late"))</f>
        <v>On Time</v>
      </c>
      <c r="U215" t="str">
        <f>TEXT(Orders[[#This Row],[Order Date]],"mmm")</f>
        <v>Mar</v>
      </c>
      <c r="V215" s="8">
        <f>DATE(YEAR(Orders[[#This Row],[Order Date]]),MONTH(Orders[[#This Row],[Order Date]]),1)</f>
        <v>46082</v>
      </c>
      <c r="W215" s="5">
        <f>IF(Orders[[#This Row],[Order Status]]="Cancelled",Orders[[#This Row],[Net Sales]],0)</f>
        <v>0</v>
      </c>
    </row>
    <row r="216" spans="1:23" x14ac:dyDescent="0.3">
      <c r="A216" t="s">
        <v>578</v>
      </c>
      <c r="B216" s="7">
        <v>46160</v>
      </c>
      <c r="C216" t="s">
        <v>461</v>
      </c>
      <c r="D216" t="s">
        <v>17</v>
      </c>
      <c r="E216" t="s">
        <v>79</v>
      </c>
      <c r="F216" t="s">
        <v>86</v>
      </c>
      <c r="G216" t="s">
        <v>81</v>
      </c>
      <c r="H216" t="s">
        <v>30</v>
      </c>
      <c r="I216">
        <v>3</v>
      </c>
      <c r="J216" s="5">
        <v>899</v>
      </c>
      <c r="K216" s="2">
        <v>0.1</v>
      </c>
      <c r="L216" t="s">
        <v>22</v>
      </c>
      <c r="M216" t="s">
        <v>82</v>
      </c>
      <c r="N216" s="1">
        <v>46162</v>
      </c>
      <c r="O216" s="1">
        <v>46162</v>
      </c>
      <c r="P216" s="5">
        <f>Orders[[#This Row],[Quantity]]*Orders[[#This Row],[Unit Price]]</f>
        <v>2697</v>
      </c>
      <c r="Q216" s="5">
        <f>Orders[[#This Row],[Gross Sales]]*Orders[[#This Row],[Discount %]]</f>
        <v>269.7</v>
      </c>
      <c r="R216" s="5">
        <f>Orders[[#This Row],[Gross Sales]]-Orders[[#This Row],[Discount Amount]]</f>
        <v>2427.3000000000002</v>
      </c>
      <c r="S216">
        <f>IF(Orders[[#This Row],[Actual Delivery Date]]="","",Orders[[#This Row],[Actual Delivery Date]]-Orders[[#This Row],[Order Date]])</f>
        <v>2</v>
      </c>
      <c r="T216" t="str">
        <f>IF(Orders[[#This Row],[Actual Delivery Date]]="","Pending",IF(Orders[[#This Row],[Actual Delivery Date]]&lt;=Orders[[#This Row],[Expected Delivery Date]],"On Time","Late"))</f>
        <v>On Time</v>
      </c>
      <c r="U216" t="str">
        <f>TEXT(Orders[[#This Row],[Order Date]],"mmm")</f>
        <v>May</v>
      </c>
      <c r="V216" s="8">
        <f>DATE(YEAR(Orders[[#This Row],[Order Date]]),MONTH(Orders[[#This Row],[Order Date]]),1)</f>
        <v>46143</v>
      </c>
      <c r="W216" s="5">
        <f>IF(Orders[[#This Row],[Order Status]]="Cancelled",Orders[[#This Row],[Net Sales]],0)</f>
        <v>0</v>
      </c>
    </row>
    <row r="217" spans="1:23" x14ac:dyDescent="0.3">
      <c r="A217" t="s">
        <v>579</v>
      </c>
      <c r="B217" s="7">
        <v>46039</v>
      </c>
      <c r="C217" t="s">
        <v>580</v>
      </c>
      <c r="D217" t="s">
        <v>581</v>
      </c>
      <c r="E217" t="s">
        <v>79</v>
      </c>
      <c r="F217" t="s">
        <v>86</v>
      </c>
      <c r="G217" t="s">
        <v>131</v>
      </c>
      <c r="H217" t="s">
        <v>38</v>
      </c>
      <c r="I217">
        <v>1</v>
      </c>
      <c r="J217" s="5">
        <v>899</v>
      </c>
      <c r="K217" s="2">
        <v>0.1</v>
      </c>
      <c r="L217" t="s">
        <v>39</v>
      </c>
      <c r="M217" t="s">
        <v>23</v>
      </c>
      <c r="N217" s="1">
        <v>46041</v>
      </c>
      <c r="O217" s="1">
        <v>46040</v>
      </c>
      <c r="P217" s="5">
        <f>Orders[[#This Row],[Quantity]]*Orders[[#This Row],[Unit Price]]</f>
        <v>899</v>
      </c>
      <c r="Q217" s="5">
        <f>Orders[[#This Row],[Gross Sales]]*Orders[[#This Row],[Discount %]]</f>
        <v>89.9</v>
      </c>
      <c r="R217" s="5">
        <f>Orders[[#This Row],[Gross Sales]]-Orders[[#This Row],[Discount Amount]]</f>
        <v>809.1</v>
      </c>
      <c r="S217">
        <f>IF(Orders[[#This Row],[Actual Delivery Date]]="","",Orders[[#This Row],[Actual Delivery Date]]-Orders[[#This Row],[Order Date]])</f>
        <v>1</v>
      </c>
      <c r="T217" t="str">
        <f>IF(Orders[[#This Row],[Actual Delivery Date]]="","Pending",IF(Orders[[#This Row],[Actual Delivery Date]]&lt;=Orders[[#This Row],[Expected Delivery Date]],"On Time","Late"))</f>
        <v>On Time</v>
      </c>
      <c r="U217" t="str">
        <f>TEXT(Orders[[#This Row],[Order Date]],"mmm")</f>
        <v>Jan</v>
      </c>
      <c r="V217" s="8">
        <f>DATE(YEAR(Orders[[#This Row],[Order Date]]),MONTH(Orders[[#This Row],[Order Date]]),1)</f>
        <v>46023</v>
      </c>
      <c r="W217" s="5">
        <f>IF(Orders[[#This Row],[Order Status]]="Cancelled",Orders[[#This Row],[Net Sales]],0)</f>
        <v>0</v>
      </c>
    </row>
    <row r="218" spans="1:23" x14ac:dyDescent="0.3">
      <c r="A218" t="s">
        <v>582</v>
      </c>
      <c r="B218" s="7">
        <v>46128</v>
      </c>
      <c r="C218" t="s">
        <v>577</v>
      </c>
      <c r="D218" t="s">
        <v>214</v>
      </c>
      <c r="E218" t="s">
        <v>79</v>
      </c>
      <c r="F218" t="s">
        <v>108</v>
      </c>
      <c r="G218" t="s">
        <v>29</v>
      </c>
      <c r="H218" t="s">
        <v>30</v>
      </c>
      <c r="I218">
        <v>3</v>
      </c>
      <c r="J218" s="5">
        <v>599</v>
      </c>
      <c r="K218" s="2">
        <v>0</v>
      </c>
      <c r="L218" t="s">
        <v>22</v>
      </c>
      <c r="M218" t="s">
        <v>23</v>
      </c>
      <c r="N218" s="1">
        <v>46134</v>
      </c>
      <c r="O218" s="1">
        <v>46133</v>
      </c>
      <c r="P218" s="5">
        <f>Orders[[#This Row],[Quantity]]*Orders[[#This Row],[Unit Price]]</f>
        <v>1797</v>
      </c>
      <c r="Q218" s="5">
        <f>Orders[[#This Row],[Gross Sales]]*Orders[[#This Row],[Discount %]]</f>
        <v>0</v>
      </c>
      <c r="R218" s="5">
        <f>Orders[[#This Row],[Gross Sales]]-Orders[[#This Row],[Discount Amount]]</f>
        <v>1797</v>
      </c>
      <c r="S218">
        <f>IF(Orders[[#This Row],[Actual Delivery Date]]="","",Orders[[#This Row],[Actual Delivery Date]]-Orders[[#This Row],[Order Date]])</f>
        <v>5</v>
      </c>
      <c r="T218" t="str">
        <f>IF(Orders[[#This Row],[Actual Delivery Date]]="","Pending",IF(Orders[[#This Row],[Actual Delivery Date]]&lt;=Orders[[#This Row],[Expected Delivery Date]],"On Time","Late"))</f>
        <v>On Time</v>
      </c>
      <c r="U218" t="str">
        <f>TEXT(Orders[[#This Row],[Order Date]],"mmm")</f>
        <v>Apr</v>
      </c>
      <c r="V218" s="8">
        <f>DATE(YEAR(Orders[[#This Row],[Order Date]]),MONTH(Orders[[#This Row],[Order Date]]),1)</f>
        <v>46113</v>
      </c>
      <c r="W218" s="5">
        <f>IF(Orders[[#This Row],[Order Status]]="Cancelled",Orders[[#This Row],[Net Sales]],0)</f>
        <v>0</v>
      </c>
    </row>
    <row r="219" spans="1:23" x14ac:dyDescent="0.3">
      <c r="A219" t="s">
        <v>583</v>
      </c>
      <c r="B219" s="7">
        <v>46286</v>
      </c>
      <c r="C219" t="s">
        <v>584</v>
      </c>
      <c r="D219" t="s">
        <v>103</v>
      </c>
      <c r="E219" t="s">
        <v>35</v>
      </c>
      <c r="F219" t="s">
        <v>36</v>
      </c>
      <c r="G219" t="s">
        <v>91</v>
      </c>
      <c r="H219" t="s">
        <v>30</v>
      </c>
      <c r="I219">
        <v>5</v>
      </c>
      <c r="J219" s="5">
        <v>3299</v>
      </c>
      <c r="K219" s="2">
        <v>0</v>
      </c>
      <c r="L219" t="s">
        <v>31</v>
      </c>
      <c r="M219" t="s">
        <v>82</v>
      </c>
      <c r="N219" s="1">
        <v>46291</v>
      </c>
      <c r="O219" s="1">
        <v>46294</v>
      </c>
      <c r="P219" s="5">
        <f>Orders[[#This Row],[Quantity]]*Orders[[#This Row],[Unit Price]]</f>
        <v>16495</v>
      </c>
      <c r="Q219" s="5">
        <f>Orders[[#This Row],[Gross Sales]]*Orders[[#This Row],[Discount %]]</f>
        <v>0</v>
      </c>
      <c r="R219" s="5">
        <f>Orders[[#This Row],[Gross Sales]]-Orders[[#This Row],[Discount Amount]]</f>
        <v>16495</v>
      </c>
      <c r="S219">
        <f>IF(Orders[[#This Row],[Actual Delivery Date]]="","",Orders[[#This Row],[Actual Delivery Date]]-Orders[[#This Row],[Order Date]])</f>
        <v>8</v>
      </c>
      <c r="T219" t="str">
        <f>IF(Orders[[#This Row],[Actual Delivery Date]]="","Pending",IF(Orders[[#This Row],[Actual Delivery Date]]&lt;=Orders[[#This Row],[Expected Delivery Date]],"On Time","Late"))</f>
        <v>Late</v>
      </c>
      <c r="U219" t="str">
        <f>TEXT(Orders[[#This Row],[Order Date]],"mmm")</f>
        <v>Sep</v>
      </c>
      <c r="V219" s="8">
        <f>DATE(YEAR(Orders[[#This Row],[Order Date]]),MONTH(Orders[[#This Row],[Order Date]]),1)</f>
        <v>46266</v>
      </c>
      <c r="W219" s="5">
        <f>IF(Orders[[#This Row],[Order Status]]="Cancelled",Orders[[#This Row],[Net Sales]],0)</f>
        <v>0</v>
      </c>
    </row>
    <row r="220" spans="1:23" x14ac:dyDescent="0.3">
      <c r="A220" t="s">
        <v>585</v>
      </c>
      <c r="B220" s="7">
        <v>46369</v>
      </c>
      <c r="C220" t="s">
        <v>560</v>
      </c>
      <c r="D220" t="s">
        <v>586</v>
      </c>
      <c r="E220" t="s">
        <v>27</v>
      </c>
      <c r="F220" t="s">
        <v>56</v>
      </c>
      <c r="G220" t="s">
        <v>20</v>
      </c>
      <c r="H220" t="s">
        <v>21</v>
      </c>
      <c r="I220">
        <v>1</v>
      </c>
      <c r="J220" s="5">
        <v>1799</v>
      </c>
      <c r="K220" s="2">
        <v>0.05</v>
      </c>
      <c r="L220" t="s">
        <v>22</v>
      </c>
      <c r="M220" t="s">
        <v>59</v>
      </c>
      <c r="N220" s="1">
        <v>46373</v>
      </c>
      <c r="O220" s="1">
        <v>46373</v>
      </c>
      <c r="P220" s="5">
        <f>Orders[[#This Row],[Quantity]]*Orders[[#This Row],[Unit Price]]</f>
        <v>1799</v>
      </c>
      <c r="Q220" s="5">
        <f>Orders[[#This Row],[Gross Sales]]*Orders[[#This Row],[Discount %]]</f>
        <v>89.95</v>
      </c>
      <c r="R220" s="5">
        <f>Orders[[#This Row],[Gross Sales]]-Orders[[#This Row],[Discount Amount]]</f>
        <v>1709.05</v>
      </c>
      <c r="S220">
        <f>IF(Orders[[#This Row],[Actual Delivery Date]]="","",Orders[[#This Row],[Actual Delivery Date]]-Orders[[#This Row],[Order Date]])</f>
        <v>4</v>
      </c>
      <c r="T220" t="str">
        <f>IF(Orders[[#This Row],[Actual Delivery Date]]="","Pending",IF(Orders[[#This Row],[Actual Delivery Date]]&lt;=Orders[[#This Row],[Expected Delivery Date]],"On Time","Late"))</f>
        <v>On Time</v>
      </c>
      <c r="U220" t="str">
        <f>TEXT(Orders[[#This Row],[Order Date]],"mmm")</f>
        <v>Dec</v>
      </c>
      <c r="V220" s="8">
        <f>DATE(YEAR(Orders[[#This Row],[Order Date]]),MONTH(Orders[[#This Row],[Order Date]]),1)</f>
        <v>46357</v>
      </c>
      <c r="W220" s="5">
        <f>IF(Orders[[#This Row],[Order Status]]="Cancelled",Orders[[#This Row],[Net Sales]],0)</f>
        <v>1709.05</v>
      </c>
    </row>
    <row r="221" spans="1:23" x14ac:dyDescent="0.3">
      <c r="A221" t="s">
        <v>587</v>
      </c>
      <c r="B221" s="7">
        <v>46378</v>
      </c>
      <c r="C221" t="s">
        <v>61</v>
      </c>
      <c r="D221" t="s">
        <v>588</v>
      </c>
      <c r="E221" t="s">
        <v>18</v>
      </c>
      <c r="F221" t="s">
        <v>43</v>
      </c>
      <c r="G221" t="s">
        <v>91</v>
      </c>
      <c r="H221" t="s">
        <v>30</v>
      </c>
      <c r="I221">
        <v>4</v>
      </c>
      <c r="J221" s="5">
        <v>3299</v>
      </c>
      <c r="K221" s="2">
        <v>0.1</v>
      </c>
      <c r="L221" t="s">
        <v>70</v>
      </c>
      <c r="M221" t="s">
        <v>23</v>
      </c>
      <c r="N221" s="1">
        <v>46382</v>
      </c>
      <c r="O221" s="1">
        <v>46379</v>
      </c>
      <c r="P221" s="5">
        <f>Orders[[#This Row],[Quantity]]*Orders[[#This Row],[Unit Price]]</f>
        <v>13196</v>
      </c>
      <c r="Q221" s="5">
        <f>Orders[[#This Row],[Gross Sales]]*Orders[[#This Row],[Discount %]]</f>
        <v>1319.6000000000001</v>
      </c>
      <c r="R221" s="5">
        <f>Orders[[#This Row],[Gross Sales]]-Orders[[#This Row],[Discount Amount]]</f>
        <v>11876.4</v>
      </c>
      <c r="S221">
        <f>IF(Orders[[#This Row],[Actual Delivery Date]]="","",Orders[[#This Row],[Actual Delivery Date]]-Orders[[#This Row],[Order Date]])</f>
        <v>1</v>
      </c>
      <c r="T221" t="str">
        <f>IF(Orders[[#This Row],[Actual Delivery Date]]="","Pending",IF(Orders[[#This Row],[Actual Delivery Date]]&lt;=Orders[[#This Row],[Expected Delivery Date]],"On Time","Late"))</f>
        <v>On Time</v>
      </c>
      <c r="U221" t="str">
        <f>TEXT(Orders[[#This Row],[Order Date]],"mmm")</f>
        <v>Dec</v>
      </c>
      <c r="V221" s="8">
        <f>DATE(YEAR(Orders[[#This Row],[Order Date]]),MONTH(Orders[[#This Row],[Order Date]]),1)</f>
        <v>46357</v>
      </c>
      <c r="W221" s="5">
        <f>IF(Orders[[#This Row],[Order Status]]="Cancelled",Orders[[#This Row],[Net Sales]],0)</f>
        <v>0</v>
      </c>
    </row>
    <row r="222" spans="1:23" x14ac:dyDescent="0.3">
      <c r="A222" t="s">
        <v>589</v>
      </c>
      <c r="B222" s="7">
        <v>46131</v>
      </c>
      <c r="C222" t="s">
        <v>590</v>
      </c>
      <c r="D222" t="s">
        <v>591</v>
      </c>
      <c r="E222" t="s">
        <v>18</v>
      </c>
      <c r="F222" t="s">
        <v>43</v>
      </c>
      <c r="G222" t="s">
        <v>96</v>
      </c>
      <c r="H222" t="s">
        <v>38</v>
      </c>
      <c r="I222">
        <v>2</v>
      </c>
      <c r="J222" s="5">
        <v>1599</v>
      </c>
      <c r="K222" s="2">
        <v>0.1</v>
      </c>
      <c r="L222" t="s">
        <v>46</v>
      </c>
      <c r="M222" t="s">
        <v>23</v>
      </c>
      <c r="N222" s="1">
        <v>46137</v>
      </c>
      <c r="O222" s="1">
        <v>46136</v>
      </c>
      <c r="P222" s="5">
        <f>Orders[[#This Row],[Quantity]]*Orders[[#This Row],[Unit Price]]</f>
        <v>3198</v>
      </c>
      <c r="Q222" s="5">
        <f>Orders[[#This Row],[Gross Sales]]*Orders[[#This Row],[Discount %]]</f>
        <v>319.8</v>
      </c>
      <c r="R222" s="5">
        <f>Orders[[#This Row],[Gross Sales]]-Orders[[#This Row],[Discount Amount]]</f>
        <v>2878.2</v>
      </c>
      <c r="S222">
        <f>IF(Orders[[#This Row],[Actual Delivery Date]]="","",Orders[[#This Row],[Actual Delivery Date]]-Orders[[#This Row],[Order Date]])</f>
        <v>5</v>
      </c>
      <c r="T222" t="str">
        <f>IF(Orders[[#This Row],[Actual Delivery Date]]="","Pending",IF(Orders[[#This Row],[Actual Delivery Date]]&lt;=Orders[[#This Row],[Expected Delivery Date]],"On Time","Late"))</f>
        <v>On Time</v>
      </c>
      <c r="U222" t="str">
        <f>TEXT(Orders[[#This Row],[Order Date]],"mmm")</f>
        <v>Apr</v>
      </c>
      <c r="V222" s="8">
        <f>DATE(YEAR(Orders[[#This Row],[Order Date]]),MONTH(Orders[[#This Row],[Order Date]]),1)</f>
        <v>46113</v>
      </c>
      <c r="W222" s="5">
        <f>IF(Orders[[#This Row],[Order Status]]="Cancelled",Orders[[#This Row],[Net Sales]],0)</f>
        <v>0</v>
      </c>
    </row>
    <row r="223" spans="1:23" x14ac:dyDescent="0.3">
      <c r="A223" t="s">
        <v>592</v>
      </c>
      <c r="B223" s="7">
        <v>46031</v>
      </c>
      <c r="C223" t="s">
        <v>593</v>
      </c>
      <c r="D223" t="s">
        <v>103</v>
      </c>
      <c r="E223" t="s">
        <v>18</v>
      </c>
      <c r="F223" t="s">
        <v>19</v>
      </c>
      <c r="G223" t="s">
        <v>160</v>
      </c>
      <c r="H223" t="s">
        <v>45</v>
      </c>
      <c r="I223">
        <v>1</v>
      </c>
      <c r="J223" s="5">
        <v>1499</v>
      </c>
      <c r="K223" s="2">
        <v>0.05</v>
      </c>
      <c r="L223" t="s">
        <v>70</v>
      </c>
      <c r="M223" t="s">
        <v>23</v>
      </c>
      <c r="N223" s="1">
        <v>46033</v>
      </c>
      <c r="O223" s="1">
        <v>46037</v>
      </c>
      <c r="P223" s="5">
        <f>Orders[[#This Row],[Quantity]]*Orders[[#This Row],[Unit Price]]</f>
        <v>1499</v>
      </c>
      <c r="Q223" s="5">
        <f>Orders[[#This Row],[Gross Sales]]*Orders[[#This Row],[Discount %]]</f>
        <v>74.95</v>
      </c>
      <c r="R223" s="5">
        <f>Orders[[#This Row],[Gross Sales]]-Orders[[#This Row],[Discount Amount]]</f>
        <v>1424.05</v>
      </c>
      <c r="S223">
        <f>IF(Orders[[#This Row],[Actual Delivery Date]]="","",Orders[[#This Row],[Actual Delivery Date]]-Orders[[#This Row],[Order Date]])</f>
        <v>6</v>
      </c>
      <c r="T223" t="str">
        <f>IF(Orders[[#This Row],[Actual Delivery Date]]="","Pending",IF(Orders[[#This Row],[Actual Delivery Date]]&lt;=Orders[[#This Row],[Expected Delivery Date]],"On Time","Late"))</f>
        <v>Late</v>
      </c>
      <c r="U223" t="str">
        <f>TEXT(Orders[[#This Row],[Order Date]],"mmm")</f>
        <v>Jan</v>
      </c>
      <c r="V223" s="8">
        <f>DATE(YEAR(Orders[[#This Row],[Order Date]]),MONTH(Orders[[#This Row],[Order Date]]),1)</f>
        <v>46023</v>
      </c>
      <c r="W223" s="5">
        <f>IF(Orders[[#This Row],[Order Status]]="Cancelled",Orders[[#This Row],[Net Sales]],0)</f>
        <v>0</v>
      </c>
    </row>
    <row r="224" spans="1:23" x14ac:dyDescent="0.3">
      <c r="A224" t="s">
        <v>594</v>
      </c>
      <c r="B224" s="7">
        <v>46358</v>
      </c>
      <c r="C224" t="s">
        <v>595</v>
      </c>
      <c r="D224" t="s">
        <v>596</v>
      </c>
      <c r="E224" t="s">
        <v>35</v>
      </c>
      <c r="F224" t="s">
        <v>68</v>
      </c>
      <c r="G224" t="s">
        <v>64</v>
      </c>
      <c r="H224" t="s">
        <v>21</v>
      </c>
      <c r="I224">
        <v>1</v>
      </c>
      <c r="J224" s="5">
        <v>699</v>
      </c>
      <c r="K224" s="2">
        <v>0</v>
      </c>
      <c r="L224" t="s">
        <v>46</v>
      </c>
      <c r="M224" t="s">
        <v>59</v>
      </c>
      <c r="N224" s="1">
        <v>46365</v>
      </c>
      <c r="O224" s="1">
        <v>46362</v>
      </c>
      <c r="P224" s="5">
        <f>Orders[[#This Row],[Quantity]]*Orders[[#This Row],[Unit Price]]</f>
        <v>699</v>
      </c>
      <c r="Q224" s="5">
        <f>Orders[[#This Row],[Gross Sales]]*Orders[[#This Row],[Discount %]]</f>
        <v>0</v>
      </c>
      <c r="R224" s="5">
        <f>Orders[[#This Row],[Gross Sales]]-Orders[[#This Row],[Discount Amount]]</f>
        <v>699</v>
      </c>
      <c r="S224">
        <f>IF(Orders[[#This Row],[Actual Delivery Date]]="","",Orders[[#This Row],[Actual Delivery Date]]-Orders[[#This Row],[Order Date]])</f>
        <v>4</v>
      </c>
      <c r="T224" t="str">
        <f>IF(Orders[[#This Row],[Actual Delivery Date]]="","Pending",IF(Orders[[#This Row],[Actual Delivery Date]]&lt;=Orders[[#This Row],[Expected Delivery Date]],"On Time","Late"))</f>
        <v>On Time</v>
      </c>
      <c r="U224" t="str">
        <f>TEXT(Orders[[#This Row],[Order Date]],"mmm")</f>
        <v>Dec</v>
      </c>
      <c r="V224" s="8">
        <f>DATE(YEAR(Orders[[#This Row],[Order Date]]),MONTH(Orders[[#This Row],[Order Date]]),1)</f>
        <v>46357</v>
      </c>
      <c r="W224" s="5">
        <f>IF(Orders[[#This Row],[Order Status]]="Cancelled",Orders[[#This Row],[Net Sales]],0)</f>
        <v>699</v>
      </c>
    </row>
    <row r="225" spans="1:23" x14ac:dyDescent="0.3">
      <c r="A225" t="s">
        <v>597</v>
      </c>
      <c r="B225" s="7">
        <v>46132</v>
      </c>
      <c r="C225" t="s">
        <v>598</v>
      </c>
      <c r="D225" t="s">
        <v>591</v>
      </c>
      <c r="E225" t="s">
        <v>79</v>
      </c>
      <c r="F225" t="s">
        <v>86</v>
      </c>
      <c r="G225" t="s">
        <v>75</v>
      </c>
      <c r="H225" t="s">
        <v>45</v>
      </c>
      <c r="I225">
        <v>2</v>
      </c>
      <c r="J225" s="5">
        <v>799</v>
      </c>
      <c r="K225" s="2">
        <v>0.05</v>
      </c>
      <c r="L225" t="s">
        <v>22</v>
      </c>
      <c r="M225" t="s">
        <v>23</v>
      </c>
      <c r="N225" s="1">
        <v>46138</v>
      </c>
      <c r="O225" s="1">
        <v>46133</v>
      </c>
      <c r="P225" s="5">
        <f>Orders[[#This Row],[Quantity]]*Orders[[#This Row],[Unit Price]]</f>
        <v>1598</v>
      </c>
      <c r="Q225" s="5">
        <f>Orders[[#This Row],[Gross Sales]]*Orders[[#This Row],[Discount %]]</f>
        <v>79.900000000000006</v>
      </c>
      <c r="R225" s="5">
        <f>Orders[[#This Row],[Gross Sales]]-Orders[[#This Row],[Discount Amount]]</f>
        <v>1518.1</v>
      </c>
      <c r="S225">
        <f>IF(Orders[[#This Row],[Actual Delivery Date]]="","",Orders[[#This Row],[Actual Delivery Date]]-Orders[[#This Row],[Order Date]])</f>
        <v>1</v>
      </c>
      <c r="T225" t="str">
        <f>IF(Orders[[#This Row],[Actual Delivery Date]]="","Pending",IF(Orders[[#This Row],[Actual Delivery Date]]&lt;=Orders[[#This Row],[Expected Delivery Date]],"On Time","Late"))</f>
        <v>On Time</v>
      </c>
      <c r="U225" t="str">
        <f>TEXT(Orders[[#This Row],[Order Date]],"mmm")</f>
        <v>Apr</v>
      </c>
      <c r="V225" s="8">
        <f>DATE(YEAR(Orders[[#This Row],[Order Date]]),MONTH(Orders[[#This Row],[Order Date]]),1)</f>
        <v>46113</v>
      </c>
      <c r="W225" s="5">
        <f>IF(Orders[[#This Row],[Order Status]]="Cancelled",Orders[[#This Row],[Net Sales]],0)</f>
        <v>0</v>
      </c>
    </row>
    <row r="226" spans="1:23" x14ac:dyDescent="0.3">
      <c r="A226" t="s">
        <v>599</v>
      </c>
      <c r="B226" s="7">
        <v>46059</v>
      </c>
      <c r="C226" t="s">
        <v>600</v>
      </c>
      <c r="D226" t="s">
        <v>73</v>
      </c>
      <c r="E226" t="s">
        <v>18</v>
      </c>
      <c r="F226" t="s">
        <v>43</v>
      </c>
      <c r="G226" t="s">
        <v>96</v>
      </c>
      <c r="H226" t="s">
        <v>38</v>
      </c>
      <c r="I226">
        <v>1</v>
      </c>
      <c r="J226" s="5">
        <v>1599</v>
      </c>
      <c r="K226" s="2">
        <v>0</v>
      </c>
      <c r="L226" t="s">
        <v>39</v>
      </c>
      <c r="M226" t="s">
        <v>23</v>
      </c>
      <c r="N226" s="1">
        <v>46063</v>
      </c>
      <c r="O226" s="1">
        <v>46062</v>
      </c>
      <c r="P226" s="5">
        <f>Orders[[#This Row],[Quantity]]*Orders[[#This Row],[Unit Price]]</f>
        <v>1599</v>
      </c>
      <c r="Q226" s="5">
        <f>Orders[[#This Row],[Gross Sales]]*Orders[[#This Row],[Discount %]]</f>
        <v>0</v>
      </c>
      <c r="R226" s="5">
        <f>Orders[[#This Row],[Gross Sales]]-Orders[[#This Row],[Discount Amount]]</f>
        <v>1599</v>
      </c>
      <c r="S226">
        <f>IF(Orders[[#This Row],[Actual Delivery Date]]="","",Orders[[#This Row],[Actual Delivery Date]]-Orders[[#This Row],[Order Date]])</f>
        <v>3</v>
      </c>
      <c r="T226" t="str">
        <f>IF(Orders[[#This Row],[Actual Delivery Date]]="","Pending",IF(Orders[[#This Row],[Actual Delivery Date]]&lt;=Orders[[#This Row],[Expected Delivery Date]],"On Time","Late"))</f>
        <v>On Time</v>
      </c>
      <c r="U226" t="str">
        <f>TEXT(Orders[[#This Row],[Order Date]],"mmm")</f>
        <v>Feb</v>
      </c>
      <c r="V226" s="8">
        <f>DATE(YEAR(Orders[[#This Row],[Order Date]]),MONTH(Orders[[#This Row],[Order Date]]),1)</f>
        <v>46054</v>
      </c>
      <c r="W226" s="5">
        <f>IF(Orders[[#This Row],[Order Status]]="Cancelled",Orders[[#This Row],[Net Sales]],0)</f>
        <v>0</v>
      </c>
    </row>
    <row r="227" spans="1:23" x14ac:dyDescent="0.3">
      <c r="A227" t="s">
        <v>601</v>
      </c>
      <c r="B227" s="7">
        <v>46311</v>
      </c>
      <c r="C227" t="s">
        <v>602</v>
      </c>
      <c r="D227" t="s">
        <v>603</v>
      </c>
      <c r="E227" t="s">
        <v>27</v>
      </c>
      <c r="F227" t="s">
        <v>56</v>
      </c>
      <c r="G227" t="s">
        <v>44</v>
      </c>
      <c r="H227" t="s">
        <v>45</v>
      </c>
      <c r="I227">
        <v>1</v>
      </c>
      <c r="J227" s="5">
        <v>1799</v>
      </c>
      <c r="K227" s="2">
        <v>0.05</v>
      </c>
      <c r="L227" t="s">
        <v>70</v>
      </c>
      <c r="M227" t="s">
        <v>23</v>
      </c>
      <c r="N227" s="1">
        <v>46318</v>
      </c>
      <c r="O227" s="1">
        <v>46317</v>
      </c>
      <c r="P227" s="5">
        <f>Orders[[#This Row],[Quantity]]*Orders[[#This Row],[Unit Price]]</f>
        <v>1799</v>
      </c>
      <c r="Q227" s="5">
        <f>Orders[[#This Row],[Gross Sales]]*Orders[[#This Row],[Discount %]]</f>
        <v>89.95</v>
      </c>
      <c r="R227" s="5">
        <f>Orders[[#This Row],[Gross Sales]]-Orders[[#This Row],[Discount Amount]]</f>
        <v>1709.05</v>
      </c>
      <c r="S227">
        <f>IF(Orders[[#This Row],[Actual Delivery Date]]="","",Orders[[#This Row],[Actual Delivery Date]]-Orders[[#This Row],[Order Date]])</f>
        <v>6</v>
      </c>
      <c r="T227" t="str">
        <f>IF(Orders[[#This Row],[Actual Delivery Date]]="","Pending",IF(Orders[[#This Row],[Actual Delivery Date]]&lt;=Orders[[#This Row],[Expected Delivery Date]],"On Time","Late"))</f>
        <v>On Time</v>
      </c>
      <c r="U227" t="str">
        <f>TEXT(Orders[[#This Row],[Order Date]],"mmm")</f>
        <v>Oct</v>
      </c>
      <c r="V227" s="8">
        <f>DATE(YEAR(Orders[[#This Row],[Order Date]]),MONTH(Orders[[#This Row],[Order Date]]),1)</f>
        <v>46296</v>
      </c>
      <c r="W227" s="5">
        <f>IF(Orders[[#This Row],[Order Status]]="Cancelled",Orders[[#This Row],[Net Sales]],0)</f>
        <v>0</v>
      </c>
    </row>
    <row r="228" spans="1:23" x14ac:dyDescent="0.3">
      <c r="A228" t="s">
        <v>604</v>
      </c>
      <c r="B228" s="7">
        <v>46094</v>
      </c>
      <c r="C228" t="s">
        <v>605</v>
      </c>
      <c r="D228" t="s">
        <v>606</v>
      </c>
      <c r="E228" t="s">
        <v>79</v>
      </c>
      <c r="F228" t="s">
        <v>108</v>
      </c>
      <c r="G228" t="s">
        <v>75</v>
      </c>
      <c r="H228" t="s">
        <v>45</v>
      </c>
      <c r="I228">
        <v>3</v>
      </c>
      <c r="J228" s="5">
        <v>799</v>
      </c>
      <c r="K228" s="2">
        <v>0.2</v>
      </c>
      <c r="L228" t="s">
        <v>70</v>
      </c>
      <c r="M228" t="s">
        <v>23</v>
      </c>
      <c r="N228" s="1">
        <v>46099</v>
      </c>
      <c r="O228" s="1">
        <v>46096</v>
      </c>
      <c r="P228" s="5">
        <f>Orders[[#This Row],[Quantity]]*Orders[[#This Row],[Unit Price]]</f>
        <v>2397</v>
      </c>
      <c r="Q228" s="5">
        <f>Orders[[#This Row],[Gross Sales]]*Orders[[#This Row],[Discount %]]</f>
        <v>479.40000000000003</v>
      </c>
      <c r="R228" s="5">
        <f>Orders[[#This Row],[Gross Sales]]-Orders[[#This Row],[Discount Amount]]</f>
        <v>1917.6</v>
      </c>
      <c r="S228">
        <f>IF(Orders[[#This Row],[Actual Delivery Date]]="","",Orders[[#This Row],[Actual Delivery Date]]-Orders[[#This Row],[Order Date]])</f>
        <v>2</v>
      </c>
      <c r="T228" t="str">
        <f>IF(Orders[[#This Row],[Actual Delivery Date]]="","Pending",IF(Orders[[#This Row],[Actual Delivery Date]]&lt;=Orders[[#This Row],[Expected Delivery Date]],"On Time","Late"))</f>
        <v>On Time</v>
      </c>
      <c r="U228" t="str">
        <f>TEXT(Orders[[#This Row],[Order Date]],"mmm")</f>
        <v>Mar</v>
      </c>
      <c r="V228" s="8">
        <f>DATE(YEAR(Orders[[#This Row],[Order Date]]),MONTH(Orders[[#This Row],[Order Date]]),1)</f>
        <v>46082</v>
      </c>
      <c r="W228" s="5">
        <f>IF(Orders[[#This Row],[Order Status]]="Cancelled",Orders[[#This Row],[Net Sales]],0)</f>
        <v>0</v>
      </c>
    </row>
    <row r="229" spans="1:23" x14ac:dyDescent="0.3">
      <c r="A229" t="s">
        <v>607</v>
      </c>
      <c r="B229" s="7">
        <v>46330</v>
      </c>
      <c r="C229" t="s">
        <v>608</v>
      </c>
      <c r="D229" t="s">
        <v>609</v>
      </c>
      <c r="E229" t="s">
        <v>18</v>
      </c>
      <c r="F229" t="s">
        <v>95</v>
      </c>
      <c r="G229" t="s">
        <v>206</v>
      </c>
      <c r="H229" t="s">
        <v>30</v>
      </c>
      <c r="I229">
        <v>2</v>
      </c>
      <c r="J229" s="5">
        <v>1199</v>
      </c>
      <c r="K229" s="2">
        <v>0.1</v>
      </c>
      <c r="L229" t="s">
        <v>39</v>
      </c>
      <c r="M229" t="s">
        <v>82</v>
      </c>
      <c r="N229" s="1">
        <v>46337</v>
      </c>
      <c r="O229" s="1">
        <v>46332</v>
      </c>
      <c r="P229" s="5">
        <f>Orders[[#This Row],[Quantity]]*Orders[[#This Row],[Unit Price]]</f>
        <v>2398</v>
      </c>
      <c r="Q229" s="5">
        <f>Orders[[#This Row],[Gross Sales]]*Orders[[#This Row],[Discount %]]</f>
        <v>239.8</v>
      </c>
      <c r="R229" s="5">
        <f>Orders[[#This Row],[Gross Sales]]-Orders[[#This Row],[Discount Amount]]</f>
        <v>2158.1999999999998</v>
      </c>
      <c r="S229">
        <f>IF(Orders[[#This Row],[Actual Delivery Date]]="","",Orders[[#This Row],[Actual Delivery Date]]-Orders[[#This Row],[Order Date]])</f>
        <v>2</v>
      </c>
      <c r="T229" t="str">
        <f>IF(Orders[[#This Row],[Actual Delivery Date]]="","Pending",IF(Orders[[#This Row],[Actual Delivery Date]]&lt;=Orders[[#This Row],[Expected Delivery Date]],"On Time","Late"))</f>
        <v>On Time</v>
      </c>
      <c r="U229" t="str">
        <f>TEXT(Orders[[#This Row],[Order Date]],"mmm")</f>
        <v>Nov</v>
      </c>
      <c r="V229" s="8">
        <f>DATE(YEAR(Orders[[#This Row],[Order Date]]),MONTH(Orders[[#This Row],[Order Date]]),1)</f>
        <v>46327</v>
      </c>
      <c r="W229" s="5">
        <f>IF(Orders[[#This Row],[Order Status]]="Cancelled",Orders[[#This Row],[Net Sales]],0)</f>
        <v>0</v>
      </c>
    </row>
    <row r="230" spans="1:23" x14ac:dyDescent="0.3">
      <c r="A230" t="s">
        <v>610</v>
      </c>
      <c r="B230" s="7">
        <v>46145</v>
      </c>
      <c r="C230" t="s">
        <v>611</v>
      </c>
      <c r="D230" t="s">
        <v>425</v>
      </c>
      <c r="E230" t="s">
        <v>27</v>
      </c>
      <c r="F230" t="s">
        <v>74</v>
      </c>
      <c r="G230" t="s">
        <v>64</v>
      </c>
      <c r="H230" t="s">
        <v>21</v>
      </c>
      <c r="I230">
        <v>2</v>
      </c>
      <c r="J230" s="5">
        <v>699</v>
      </c>
      <c r="K230" s="2">
        <v>0</v>
      </c>
      <c r="L230" t="s">
        <v>31</v>
      </c>
      <c r="M230" t="s">
        <v>23</v>
      </c>
      <c r="N230" s="1">
        <v>46152</v>
      </c>
      <c r="O230" s="1">
        <v>46150</v>
      </c>
      <c r="P230" s="5">
        <f>Orders[[#This Row],[Quantity]]*Orders[[#This Row],[Unit Price]]</f>
        <v>1398</v>
      </c>
      <c r="Q230" s="5">
        <f>Orders[[#This Row],[Gross Sales]]*Orders[[#This Row],[Discount %]]</f>
        <v>0</v>
      </c>
      <c r="R230" s="5">
        <f>Orders[[#This Row],[Gross Sales]]-Orders[[#This Row],[Discount Amount]]</f>
        <v>1398</v>
      </c>
      <c r="S230">
        <f>IF(Orders[[#This Row],[Actual Delivery Date]]="","",Orders[[#This Row],[Actual Delivery Date]]-Orders[[#This Row],[Order Date]])</f>
        <v>5</v>
      </c>
      <c r="T230" t="str">
        <f>IF(Orders[[#This Row],[Actual Delivery Date]]="","Pending",IF(Orders[[#This Row],[Actual Delivery Date]]&lt;=Orders[[#This Row],[Expected Delivery Date]],"On Time","Late"))</f>
        <v>On Time</v>
      </c>
      <c r="U230" t="str">
        <f>TEXT(Orders[[#This Row],[Order Date]],"mmm")</f>
        <v>May</v>
      </c>
      <c r="V230" s="8">
        <f>DATE(YEAR(Orders[[#This Row],[Order Date]]),MONTH(Orders[[#This Row],[Order Date]]),1)</f>
        <v>46143</v>
      </c>
      <c r="W230" s="5">
        <f>IF(Orders[[#This Row],[Order Status]]="Cancelled",Orders[[#This Row],[Net Sales]],0)</f>
        <v>0</v>
      </c>
    </row>
    <row r="231" spans="1:23" x14ac:dyDescent="0.3">
      <c r="A231" t="s">
        <v>612</v>
      </c>
      <c r="B231" s="7">
        <v>46238</v>
      </c>
      <c r="C231" t="s">
        <v>278</v>
      </c>
      <c r="D231" t="s">
        <v>613</v>
      </c>
      <c r="E231" t="s">
        <v>35</v>
      </c>
      <c r="F231" t="s">
        <v>68</v>
      </c>
      <c r="G231" t="s">
        <v>228</v>
      </c>
      <c r="H231" t="s">
        <v>58</v>
      </c>
      <c r="I231">
        <v>1</v>
      </c>
      <c r="J231" s="5">
        <v>1499</v>
      </c>
      <c r="K231" s="2">
        <v>0.05</v>
      </c>
      <c r="L231" t="s">
        <v>70</v>
      </c>
      <c r="M231" t="s">
        <v>82</v>
      </c>
      <c r="N231" s="1">
        <v>46240</v>
      </c>
      <c r="O231" s="1">
        <v>46239</v>
      </c>
      <c r="P231" s="5">
        <f>Orders[[#This Row],[Quantity]]*Orders[[#This Row],[Unit Price]]</f>
        <v>1499</v>
      </c>
      <c r="Q231" s="5">
        <f>Orders[[#This Row],[Gross Sales]]*Orders[[#This Row],[Discount %]]</f>
        <v>74.95</v>
      </c>
      <c r="R231" s="5">
        <f>Orders[[#This Row],[Gross Sales]]-Orders[[#This Row],[Discount Amount]]</f>
        <v>1424.05</v>
      </c>
      <c r="S231">
        <f>IF(Orders[[#This Row],[Actual Delivery Date]]="","",Orders[[#This Row],[Actual Delivery Date]]-Orders[[#This Row],[Order Date]])</f>
        <v>1</v>
      </c>
      <c r="T231" t="str">
        <f>IF(Orders[[#This Row],[Actual Delivery Date]]="","Pending",IF(Orders[[#This Row],[Actual Delivery Date]]&lt;=Orders[[#This Row],[Expected Delivery Date]],"On Time","Late"))</f>
        <v>On Time</v>
      </c>
      <c r="U231" t="str">
        <f>TEXT(Orders[[#This Row],[Order Date]],"mmm")</f>
        <v>Aug</v>
      </c>
      <c r="V231" s="8">
        <f>DATE(YEAR(Orders[[#This Row],[Order Date]]),MONTH(Orders[[#This Row],[Order Date]]),1)</f>
        <v>46235</v>
      </c>
      <c r="W231" s="5">
        <f>IF(Orders[[#This Row],[Order Status]]="Cancelled",Orders[[#This Row],[Net Sales]],0)</f>
        <v>0</v>
      </c>
    </row>
    <row r="232" spans="1:23" x14ac:dyDescent="0.3">
      <c r="A232" t="s">
        <v>614</v>
      </c>
      <c r="B232" s="7">
        <v>46282</v>
      </c>
      <c r="C232" t="s">
        <v>448</v>
      </c>
      <c r="D232" t="s">
        <v>127</v>
      </c>
      <c r="E232" t="s">
        <v>27</v>
      </c>
      <c r="F232" t="s">
        <v>28</v>
      </c>
      <c r="G232" t="s">
        <v>160</v>
      </c>
      <c r="H232" t="s">
        <v>45</v>
      </c>
      <c r="I232">
        <v>1</v>
      </c>
      <c r="J232" s="5">
        <v>1499</v>
      </c>
      <c r="K232" s="2">
        <v>0.2</v>
      </c>
      <c r="L232" t="s">
        <v>70</v>
      </c>
      <c r="M232" t="s">
        <v>23</v>
      </c>
      <c r="N232" s="1">
        <v>46289</v>
      </c>
      <c r="O232" s="1">
        <v>46288</v>
      </c>
      <c r="P232" s="5">
        <f>Orders[[#This Row],[Quantity]]*Orders[[#This Row],[Unit Price]]</f>
        <v>1499</v>
      </c>
      <c r="Q232" s="5">
        <f>Orders[[#This Row],[Gross Sales]]*Orders[[#This Row],[Discount %]]</f>
        <v>299.8</v>
      </c>
      <c r="R232" s="5">
        <f>Orders[[#This Row],[Gross Sales]]-Orders[[#This Row],[Discount Amount]]</f>
        <v>1199.2</v>
      </c>
      <c r="S232">
        <f>IF(Orders[[#This Row],[Actual Delivery Date]]="","",Orders[[#This Row],[Actual Delivery Date]]-Orders[[#This Row],[Order Date]])</f>
        <v>6</v>
      </c>
      <c r="T232" t="str">
        <f>IF(Orders[[#This Row],[Actual Delivery Date]]="","Pending",IF(Orders[[#This Row],[Actual Delivery Date]]&lt;=Orders[[#This Row],[Expected Delivery Date]],"On Time","Late"))</f>
        <v>On Time</v>
      </c>
      <c r="U232" t="str">
        <f>TEXT(Orders[[#This Row],[Order Date]],"mmm")</f>
        <v>Sep</v>
      </c>
      <c r="V232" s="8">
        <f>DATE(YEAR(Orders[[#This Row],[Order Date]]),MONTH(Orders[[#This Row],[Order Date]]),1)</f>
        <v>46266</v>
      </c>
      <c r="W232" s="5">
        <f>IF(Orders[[#This Row],[Order Status]]="Cancelled",Orders[[#This Row],[Net Sales]],0)</f>
        <v>0</v>
      </c>
    </row>
    <row r="233" spans="1:23" x14ac:dyDescent="0.3">
      <c r="A233" t="s">
        <v>615</v>
      </c>
      <c r="B233" s="7">
        <v>46063</v>
      </c>
      <c r="C233" t="s">
        <v>616</v>
      </c>
      <c r="D233" t="s">
        <v>422</v>
      </c>
      <c r="E233" t="s">
        <v>27</v>
      </c>
      <c r="F233" t="s">
        <v>51</v>
      </c>
      <c r="G233" t="s">
        <v>153</v>
      </c>
      <c r="H233" t="s">
        <v>45</v>
      </c>
      <c r="I233">
        <v>2</v>
      </c>
      <c r="J233" s="5">
        <v>1999</v>
      </c>
      <c r="K233" s="2">
        <v>0.05</v>
      </c>
      <c r="L233" t="s">
        <v>31</v>
      </c>
      <c r="M233" t="s">
        <v>47</v>
      </c>
      <c r="N233" s="1">
        <v>46067</v>
      </c>
      <c r="O233" s="1"/>
      <c r="P233" s="5">
        <f>Orders[[#This Row],[Quantity]]*Orders[[#This Row],[Unit Price]]</f>
        <v>3998</v>
      </c>
      <c r="Q233" s="5">
        <f>Orders[[#This Row],[Gross Sales]]*Orders[[#This Row],[Discount %]]</f>
        <v>199.9</v>
      </c>
      <c r="R233" s="5">
        <f>Orders[[#This Row],[Gross Sales]]-Orders[[#This Row],[Discount Amount]]</f>
        <v>3798.1</v>
      </c>
      <c r="S233" t="str">
        <f>IF(Orders[[#This Row],[Actual Delivery Date]]="","",Orders[[#This Row],[Actual Delivery Date]]-Orders[[#This Row],[Order Date]])</f>
        <v/>
      </c>
      <c r="T233" t="str">
        <f>IF(Orders[[#This Row],[Actual Delivery Date]]="","Pending",IF(Orders[[#This Row],[Actual Delivery Date]]&lt;=Orders[[#This Row],[Expected Delivery Date]],"On Time","Late"))</f>
        <v>Pending</v>
      </c>
      <c r="U233" t="str">
        <f>TEXT(Orders[[#This Row],[Order Date]],"mmm")</f>
        <v>Feb</v>
      </c>
      <c r="V233" s="8">
        <f>DATE(YEAR(Orders[[#This Row],[Order Date]]),MONTH(Orders[[#This Row],[Order Date]]),1)</f>
        <v>46054</v>
      </c>
      <c r="W233" s="5">
        <f>IF(Orders[[#This Row],[Order Status]]="Cancelled",Orders[[#This Row],[Net Sales]],0)</f>
        <v>0</v>
      </c>
    </row>
    <row r="234" spans="1:23" x14ac:dyDescent="0.3">
      <c r="A234" t="s">
        <v>617</v>
      </c>
      <c r="B234" s="7">
        <v>46148</v>
      </c>
      <c r="C234" t="s">
        <v>162</v>
      </c>
      <c r="D234" t="s">
        <v>618</v>
      </c>
      <c r="E234" t="s">
        <v>35</v>
      </c>
      <c r="F234" t="s">
        <v>63</v>
      </c>
      <c r="G234" t="s">
        <v>104</v>
      </c>
      <c r="H234" t="s">
        <v>38</v>
      </c>
      <c r="I234">
        <v>1</v>
      </c>
      <c r="J234" s="5">
        <v>999</v>
      </c>
      <c r="K234" s="2">
        <v>0.15</v>
      </c>
      <c r="L234" t="s">
        <v>39</v>
      </c>
      <c r="M234" t="s">
        <v>23</v>
      </c>
      <c r="N234" s="1">
        <v>46154</v>
      </c>
      <c r="O234" s="1">
        <v>46151</v>
      </c>
      <c r="P234" s="5">
        <f>Orders[[#This Row],[Quantity]]*Orders[[#This Row],[Unit Price]]</f>
        <v>999</v>
      </c>
      <c r="Q234" s="5">
        <f>Orders[[#This Row],[Gross Sales]]*Orders[[#This Row],[Discount %]]</f>
        <v>149.85</v>
      </c>
      <c r="R234" s="5">
        <f>Orders[[#This Row],[Gross Sales]]-Orders[[#This Row],[Discount Amount]]</f>
        <v>849.15</v>
      </c>
      <c r="S234">
        <f>IF(Orders[[#This Row],[Actual Delivery Date]]="","",Orders[[#This Row],[Actual Delivery Date]]-Orders[[#This Row],[Order Date]])</f>
        <v>3</v>
      </c>
      <c r="T234" t="str">
        <f>IF(Orders[[#This Row],[Actual Delivery Date]]="","Pending",IF(Orders[[#This Row],[Actual Delivery Date]]&lt;=Orders[[#This Row],[Expected Delivery Date]],"On Time","Late"))</f>
        <v>On Time</v>
      </c>
      <c r="U234" t="str">
        <f>TEXT(Orders[[#This Row],[Order Date]],"mmm")</f>
        <v>May</v>
      </c>
      <c r="V234" s="8">
        <f>DATE(YEAR(Orders[[#This Row],[Order Date]]),MONTH(Orders[[#This Row],[Order Date]]),1)</f>
        <v>46143</v>
      </c>
      <c r="W234" s="5">
        <f>IF(Orders[[#This Row],[Order Status]]="Cancelled",Orders[[#This Row],[Net Sales]],0)</f>
        <v>0</v>
      </c>
    </row>
    <row r="235" spans="1:23" x14ac:dyDescent="0.3">
      <c r="A235" t="s">
        <v>619</v>
      </c>
      <c r="B235" s="7">
        <v>46277</v>
      </c>
      <c r="C235" t="s">
        <v>584</v>
      </c>
      <c r="D235" t="s">
        <v>620</v>
      </c>
      <c r="E235" t="s">
        <v>18</v>
      </c>
      <c r="F235" t="s">
        <v>95</v>
      </c>
      <c r="G235" t="s">
        <v>52</v>
      </c>
      <c r="H235" t="s">
        <v>45</v>
      </c>
      <c r="I235">
        <v>4</v>
      </c>
      <c r="J235" s="5">
        <v>1299</v>
      </c>
      <c r="K235" s="2">
        <v>0.2</v>
      </c>
      <c r="L235" t="s">
        <v>22</v>
      </c>
      <c r="M235" t="s">
        <v>82</v>
      </c>
      <c r="N235" s="1">
        <v>46284</v>
      </c>
      <c r="O235" s="1">
        <v>46280</v>
      </c>
      <c r="P235" s="5">
        <f>Orders[[#This Row],[Quantity]]*Orders[[#This Row],[Unit Price]]</f>
        <v>5196</v>
      </c>
      <c r="Q235" s="5">
        <f>Orders[[#This Row],[Gross Sales]]*Orders[[#This Row],[Discount %]]</f>
        <v>1039.2</v>
      </c>
      <c r="R235" s="5">
        <f>Orders[[#This Row],[Gross Sales]]-Orders[[#This Row],[Discount Amount]]</f>
        <v>4156.8</v>
      </c>
      <c r="S235">
        <f>IF(Orders[[#This Row],[Actual Delivery Date]]="","",Orders[[#This Row],[Actual Delivery Date]]-Orders[[#This Row],[Order Date]])</f>
        <v>3</v>
      </c>
      <c r="T235" t="str">
        <f>IF(Orders[[#This Row],[Actual Delivery Date]]="","Pending",IF(Orders[[#This Row],[Actual Delivery Date]]&lt;=Orders[[#This Row],[Expected Delivery Date]],"On Time","Late"))</f>
        <v>On Time</v>
      </c>
      <c r="U235" t="str">
        <f>TEXT(Orders[[#This Row],[Order Date]],"mmm")</f>
        <v>Sep</v>
      </c>
      <c r="V235" s="8">
        <f>DATE(YEAR(Orders[[#This Row],[Order Date]]),MONTH(Orders[[#This Row],[Order Date]]),1)</f>
        <v>46266</v>
      </c>
      <c r="W235" s="5">
        <f>IF(Orders[[#This Row],[Order Status]]="Cancelled",Orders[[#This Row],[Net Sales]],0)</f>
        <v>0</v>
      </c>
    </row>
    <row r="236" spans="1:23" x14ac:dyDescent="0.3">
      <c r="A236" t="s">
        <v>621</v>
      </c>
      <c r="B236" s="7">
        <v>46162</v>
      </c>
      <c r="C236" t="s">
        <v>488</v>
      </c>
      <c r="D236" t="s">
        <v>550</v>
      </c>
      <c r="E236" t="s">
        <v>18</v>
      </c>
      <c r="F236" t="s">
        <v>19</v>
      </c>
      <c r="G236" t="s">
        <v>218</v>
      </c>
      <c r="H236" t="s">
        <v>21</v>
      </c>
      <c r="I236">
        <v>2</v>
      </c>
      <c r="J236" s="5">
        <v>2999</v>
      </c>
      <c r="K236" s="2">
        <v>0.1</v>
      </c>
      <c r="L236" t="s">
        <v>22</v>
      </c>
      <c r="M236" t="s">
        <v>59</v>
      </c>
      <c r="N236" s="1">
        <v>46164</v>
      </c>
      <c r="O236" s="1">
        <v>46164</v>
      </c>
      <c r="P236" s="5">
        <f>Orders[[#This Row],[Quantity]]*Orders[[#This Row],[Unit Price]]</f>
        <v>5998</v>
      </c>
      <c r="Q236" s="5">
        <f>Orders[[#This Row],[Gross Sales]]*Orders[[#This Row],[Discount %]]</f>
        <v>599.80000000000007</v>
      </c>
      <c r="R236" s="5">
        <f>Orders[[#This Row],[Gross Sales]]-Orders[[#This Row],[Discount Amount]]</f>
        <v>5398.2</v>
      </c>
      <c r="S236">
        <f>IF(Orders[[#This Row],[Actual Delivery Date]]="","",Orders[[#This Row],[Actual Delivery Date]]-Orders[[#This Row],[Order Date]])</f>
        <v>2</v>
      </c>
      <c r="T236" t="str">
        <f>IF(Orders[[#This Row],[Actual Delivery Date]]="","Pending",IF(Orders[[#This Row],[Actual Delivery Date]]&lt;=Orders[[#This Row],[Expected Delivery Date]],"On Time","Late"))</f>
        <v>On Time</v>
      </c>
      <c r="U236" t="str">
        <f>TEXT(Orders[[#This Row],[Order Date]],"mmm")</f>
        <v>May</v>
      </c>
      <c r="V236" s="8">
        <f>DATE(YEAR(Orders[[#This Row],[Order Date]]),MONTH(Orders[[#This Row],[Order Date]]),1)</f>
        <v>46143</v>
      </c>
      <c r="W236" s="5">
        <f>IF(Orders[[#This Row],[Order Status]]="Cancelled",Orders[[#This Row],[Net Sales]],0)</f>
        <v>5398.2</v>
      </c>
    </row>
    <row r="237" spans="1:23" x14ac:dyDescent="0.3">
      <c r="A237" t="s">
        <v>622</v>
      </c>
      <c r="B237" s="7">
        <v>46075</v>
      </c>
      <c r="C237" t="s">
        <v>623</v>
      </c>
      <c r="D237" t="s">
        <v>42</v>
      </c>
      <c r="E237" t="s">
        <v>27</v>
      </c>
      <c r="F237" t="s">
        <v>51</v>
      </c>
      <c r="G237" t="s">
        <v>131</v>
      </c>
      <c r="H237" t="s">
        <v>38</v>
      </c>
      <c r="I237">
        <v>3</v>
      </c>
      <c r="J237" s="5">
        <v>899</v>
      </c>
      <c r="K237" s="2">
        <v>0</v>
      </c>
      <c r="L237" t="s">
        <v>31</v>
      </c>
      <c r="M237" t="s">
        <v>59</v>
      </c>
      <c r="N237" s="1">
        <v>46081</v>
      </c>
      <c r="O237" s="1">
        <v>46076</v>
      </c>
      <c r="P237" s="5">
        <f>Orders[[#This Row],[Quantity]]*Orders[[#This Row],[Unit Price]]</f>
        <v>2697</v>
      </c>
      <c r="Q237" s="5">
        <f>Orders[[#This Row],[Gross Sales]]*Orders[[#This Row],[Discount %]]</f>
        <v>0</v>
      </c>
      <c r="R237" s="5">
        <f>Orders[[#This Row],[Gross Sales]]-Orders[[#This Row],[Discount Amount]]</f>
        <v>2697</v>
      </c>
      <c r="S237">
        <f>IF(Orders[[#This Row],[Actual Delivery Date]]="","",Orders[[#This Row],[Actual Delivery Date]]-Orders[[#This Row],[Order Date]])</f>
        <v>1</v>
      </c>
      <c r="T237" t="str">
        <f>IF(Orders[[#This Row],[Actual Delivery Date]]="","Pending",IF(Orders[[#This Row],[Actual Delivery Date]]&lt;=Orders[[#This Row],[Expected Delivery Date]],"On Time","Late"))</f>
        <v>On Time</v>
      </c>
      <c r="U237" t="str">
        <f>TEXT(Orders[[#This Row],[Order Date]],"mmm")</f>
        <v>Feb</v>
      </c>
      <c r="V237" s="8">
        <f>DATE(YEAR(Orders[[#This Row],[Order Date]]),MONTH(Orders[[#This Row],[Order Date]]),1)</f>
        <v>46054</v>
      </c>
      <c r="W237" s="5">
        <f>IF(Orders[[#This Row],[Order Status]]="Cancelled",Orders[[#This Row],[Net Sales]],0)</f>
        <v>2697</v>
      </c>
    </row>
    <row r="238" spans="1:23" x14ac:dyDescent="0.3">
      <c r="A238" t="s">
        <v>624</v>
      </c>
      <c r="B238" s="7">
        <v>46114</v>
      </c>
      <c r="C238" t="s">
        <v>625</v>
      </c>
      <c r="D238" t="s">
        <v>626</v>
      </c>
      <c r="E238" t="s">
        <v>79</v>
      </c>
      <c r="F238" t="s">
        <v>80</v>
      </c>
      <c r="G238" t="s">
        <v>180</v>
      </c>
      <c r="H238" t="s">
        <v>58</v>
      </c>
      <c r="I238">
        <v>4</v>
      </c>
      <c r="J238" s="5">
        <v>599</v>
      </c>
      <c r="K238" s="2">
        <v>0</v>
      </c>
      <c r="L238" t="s">
        <v>22</v>
      </c>
      <c r="M238" t="s">
        <v>82</v>
      </c>
      <c r="N238" s="1">
        <v>46121</v>
      </c>
      <c r="O238" s="1">
        <v>46118</v>
      </c>
      <c r="P238" s="5">
        <f>Orders[[#This Row],[Quantity]]*Orders[[#This Row],[Unit Price]]</f>
        <v>2396</v>
      </c>
      <c r="Q238" s="5">
        <f>Orders[[#This Row],[Gross Sales]]*Orders[[#This Row],[Discount %]]</f>
        <v>0</v>
      </c>
      <c r="R238" s="5">
        <f>Orders[[#This Row],[Gross Sales]]-Orders[[#This Row],[Discount Amount]]</f>
        <v>2396</v>
      </c>
      <c r="S238">
        <f>IF(Orders[[#This Row],[Actual Delivery Date]]="","",Orders[[#This Row],[Actual Delivery Date]]-Orders[[#This Row],[Order Date]])</f>
        <v>4</v>
      </c>
      <c r="T238" t="str">
        <f>IF(Orders[[#This Row],[Actual Delivery Date]]="","Pending",IF(Orders[[#This Row],[Actual Delivery Date]]&lt;=Orders[[#This Row],[Expected Delivery Date]],"On Time","Late"))</f>
        <v>On Time</v>
      </c>
      <c r="U238" t="str">
        <f>TEXT(Orders[[#This Row],[Order Date]],"mmm")</f>
        <v>Apr</v>
      </c>
      <c r="V238" s="8">
        <f>DATE(YEAR(Orders[[#This Row],[Order Date]]),MONTH(Orders[[#This Row],[Order Date]]),1)</f>
        <v>46113</v>
      </c>
      <c r="W238" s="5">
        <f>IF(Orders[[#This Row],[Order Status]]="Cancelled",Orders[[#This Row],[Net Sales]],0)</f>
        <v>0</v>
      </c>
    </row>
    <row r="239" spans="1:23" x14ac:dyDescent="0.3">
      <c r="A239" t="s">
        <v>627</v>
      </c>
      <c r="B239" s="7">
        <v>46062</v>
      </c>
      <c r="C239" t="s">
        <v>259</v>
      </c>
      <c r="D239" t="s">
        <v>628</v>
      </c>
      <c r="E239" t="s">
        <v>27</v>
      </c>
      <c r="F239" t="s">
        <v>74</v>
      </c>
      <c r="G239" t="s">
        <v>186</v>
      </c>
      <c r="H239" t="s">
        <v>21</v>
      </c>
      <c r="I239">
        <v>2</v>
      </c>
      <c r="J239" s="5">
        <v>1999</v>
      </c>
      <c r="K239" s="2">
        <v>0</v>
      </c>
      <c r="L239" t="s">
        <v>22</v>
      </c>
      <c r="M239" t="s">
        <v>59</v>
      </c>
      <c r="N239" s="1">
        <v>46064</v>
      </c>
      <c r="O239" s="1">
        <v>46063</v>
      </c>
      <c r="P239" s="5">
        <f>Orders[[#This Row],[Quantity]]*Orders[[#This Row],[Unit Price]]</f>
        <v>3998</v>
      </c>
      <c r="Q239" s="5">
        <f>Orders[[#This Row],[Gross Sales]]*Orders[[#This Row],[Discount %]]</f>
        <v>0</v>
      </c>
      <c r="R239" s="5">
        <f>Orders[[#This Row],[Gross Sales]]-Orders[[#This Row],[Discount Amount]]</f>
        <v>3998</v>
      </c>
      <c r="S239">
        <f>IF(Orders[[#This Row],[Actual Delivery Date]]="","",Orders[[#This Row],[Actual Delivery Date]]-Orders[[#This Row],[Order Date]])</f>
        <v>1</v>
      </c>
      <c r="T239" t="str">
        <f>IF(Orders[[#This Row],[Actual Delivery Date]]="","Pending",IF(Orders[[#This Row],[Actual Delivery Date]]&lt;=Orders[[#This Row],[Expected Delivery Date]],"On Time","Late"))</f>
        <v>On Time</v>
      </c>
      <c r="U239" t="str">
        <f>TEXT(Orders[[#This Row],[Order Date]],"mmm")</f>
        <v>Feb</v>
      </c>
      <c r="V239" s="8">
        <f>DATE(YEAR(Orders[[#This Row],[Order Date]]),MONTH(Orders[[#This Row],[Order Date]]),1)</f>
        <v>46054</v>
      </c>
      <c r="W239" s="5">
        <f>IF(Orders[[#This Row],[Order Status]]="Cancelled",Orders[[#This Row],[Net Sales]],0)</f>
        <v>3998</v>
      </c>
    </row>
    <row r="240" spans="1:23" x14ac:dyDescent="0.3">
      <c r="A240" t="s">
        <v>629</v>
      </c>
      <c r="B240" s="7">
        <v>46067</v>
      </c>
      <c r="C240" t="s">
        <v>630</v>
      </c>
      <c r="D240" t="s">
        <v>302</v>
      </c>
      <c r="E240" t="s">
        <v>79</v>
      </c>
      <c r="F240" t="s">
        <v>80</v>
      </c>
      <c r="G240" t="s">
        <v>186</v>
      </c>
      <c r="H240" t="s">
        <v>21</v>
      </c>
      <c r="I240">
        <v>2</v>
      </c>
      <c r="J240" s="5">
        <v>1999</v>
      </c>
      <c r="K240" s="2">
        <v>0</v>
      </c>
      <c r="L240" t="s">
        <v>46</v>
      </c>
      <c r="M240" t="s">
        <v>23</v>
      </c>
      <c r="N240" s="1">
        <v>46071</v>
      </c>
      <c r="O240" s="1">
        <v>46070</v>
      </c>
      <c r="P240" s="5">
        <f>Orders[[#This Row],[Quantity]]*Orders[[#This Row],[Unit Price]]</f>
        <v>3998</v>
      </c>
      <c r="Q240" s="5">
        <f>Orders[[#This Row],[Gross Sales]]*Orders[[#This Row],[Discount %]]</f>
        <v>0</v>
      </c>
      <c r="R240" s="5">
        <f>Orders[[#This Row],[Gross Sales]]-Orders[[#This Row],[Discount Amount]]</f>
        <v>3998</v>
      </c>
      <c r="S240">
        <f>IF(Orders[[#This Row],[Actual Delivery Date]]="","",Orders[[#This Row],[Actual Delivery Date]]-Orders[[#This Row],[Order Date]])</f>
        <v>3</v>
      </c>
      <c r="T240" t="str">
        <f>IF(Orders[[#This Row],[Actual Delivery Date]]="","Pending",IF(Orders[[#This Row],[Actual Delivery Date]]&lt;=Orders[[#This Row],[Expected Delivery Date]],"On Time","Late"))</f>
        <v>On Time</v>
      </c>
      <c r="U240" t="str">
        <f>TEXT(Orders[[#This Row],[Order Date]],"mmm")</f>
        <v>Feb</v>
      </c>
      <c r="V240" s="8">
        <f>DATE(YEAR(Orders[[#This Row],[Order Date]]),MONTH(Orders[[#This Row],[Order Date]]),1)</f>
        <v>46054</v>
      </c>
      <c r="W240" s="5">
        <f>IF(Orders[[#This Row],[Order Status]]="Cancelled",Orders[[#This Row],[Net Sales]],0)</f>
        <v>0</v>
      </c>
    </row>
    <row r="241" spans="1:23" x14ac:dyDescent="0.3">
      <c r="A241" t="s">
        <v>631</v>
      </c>
      <c r="B241" s="7">
        <v>46148</v>
      </c>
      <c r="C241" t="s">
        <v>598</v>
      </c>
      <c r="D241" t="s">
        <v>632</v>
      </c>
      <c r="E241" t="s">
        <v>35</v>
      </c>
      <c r="F241" t="s">
        <v>63</v>
      </c>
      <c r="G241" t="s">
        <v>69</v>
      </c>
      <c r="H241" t="s">
        <v>38</v>
      </c>
      <c r="I241">
        <v>1</v>
      </c>
      <c r="J241" s="5">
        <v>3499</v>
      </c>
      <c r="K241" s="2">
        <v>0.15</v>
      </c>
      <c r="L241" t="s">
        <v>39</v>
      </c>
      <c r="M241" t="s">
        <v>23</v>
      </c>
      <c r="N241" s="1">
        <v>46154</v>
      </c>
      <c r="O241" s="1">
        <v>46154</v>
      </c>
      <c r="P241" s="5">
        <f>Orders[[#This Row],[Quantity]]*Orders[[#This Row],[Unit Price]]</f>
        <v>3499</v>
      </c>
      <c r="Q241" s="5">
        <f>Orders[[#This Row],[Gross Sales]]*Orders[[#This Row],[Discount %]]</f>
        <v>524.85</v>
      </c>
      <c r="R241" s="5">
        <f>Orders[[#This Row],[Gross Sales]]-Orders[[#This Row],[Discount Amount]]</f>
        <v>2974.15</v>
      </c>
      <c r="S241">
        <f>IF(Orders[[#This Row],[Actual Delivery Date]]="","",Orders[[#This Row],[Actual Delivery Date]]-Orders[[#This Row],[Order Date]])</f>
        <v>6</v>
      </c>
      <c r="T241" t="str">
        <f>IF(Orders[[#This Row],[Actual Delivery Date]]="","Pending",IF(Orders[[#This Row],[Actual Delivery Date]]&lt;=Orders[[#This Row],[Expected Delivery Date]],"On Time","Late"))</f>
        <v>On Time</v>
      </c>
      <c r="U241" t="str">
        <f>TEXT(Orders[[#This Row],[Order Date]],"mmm")</f>
        <v>May</v>
      </c>
      <c r="V241" s="8">
        <f>DATE(YEAR(Orders[[#This Row],[Order Date]]),MONTH(Orders[[#This Row],[Order Date]]),1)</f>
        <v>46143</v>
      </c>
      <c r="W241" s="5">
        <f>IF(Orders[[#This Row],[Order Status]]="Cancelled",Orders[[#This Row],[Net Sales]],0)</f>
        <v>0</v>
      </c>
    </row>
    <row r="242" spans="1:23" x14ac:dyDescent="0.3">
      <c r="A242" t="s">
        <v>633</v>
      </c>
      <c r="B242" s="7">
        <v>46128</v>
      </c>
      <c r="C242" t="s">
        <v>634</v>
      </c>
      <c r="D242" t="s">
        <v>169</v>
      </c>
      <c r="E242" t="s">
        <v>18</v>
      </c>
      <c r="F242" t="s">
        <v>43</v>
      </c>
      <c r="G242" t="s">
        <v>64</v>
      </c>
      <c r="H242" t="s">
        <v>21</v>
      </c>
      <c r="I242">
        <v>2</v>
      </c>
      <c r="J242" s="5">
        <v>699</v>
      </c>
      <c r="K242" s="2">
        <v>0.05</v>
      </c>
      <c r="L242" t="s">
        <v>70</v>
      </c>
      <c r="M242" t="s">
        <v>23</v>
      </c>
      <c r="N242" s="1">
        <v>46130</v>
      </c>
      <c r="O242" s="1">
        <v>46132</v>
      </c>
      <c r="P242" s="5">
        <f>Orders[[#This Row],[Quantity]]*Orders[[#This Row],[Unit Price]]</f>
        <v>1398</v>
      </c>
      <c r="Q242" s="5">
        <f>Orders[[#This Row],[Gross Sales]]*Orders[[#This Row],[Discount %]]</f>
        <v>69.900000000000006</v>
      </c>
      <c r="R242" s="5">
        <f>Orders[[#This Row],[Gross Sales]]-Orders[[#This Row],[Discount Amount]]</f>
        <v>1328.1</v>
      </c>
      <c r="S242">
        <f>IF(Orders[[#This Row],[Actual Delivery Date]]="","",Orders[[#This Row],[Actual Delivery Date]]-Orders[[#This Row],[Order Date]])</f>
        <v>4</v>
      </c>
      <c r="T242" t="str">
        <f>IF(Orders[[#This Row],[Actual Delivery Date]]="","Pending",IF(Orders[[#This Row],[Actual Delivery Date]]&lt;=Orders[[#This Row],[Expected Delivery Date]],"On Time","Late"))</f>
        <v>Late</v>
      </c>
      <c r="U242" t="str">
        <f>TEXT(Orders[[#This Row],[Order Date]],"mmm")</f>
        <v>Apr</v>
      </c>
      <c r="V242" s="8">
        <f>DATE(YEAR(Orders[[#This Row],[Order Date]]),MONTH(Orders[[#This Row],[Order Date]]),1)</f>
        <v>46113</v>
      </c>
      <c r="W242" s="5">
        <f>IF(Orders[[#This Row],[Order Status]]="Cancelled",Orders[[#This Row],[Net Sales]],0)</f>
        <v>0</v>
      </c>
    </row>
    <row r="243" spans="1:23" x14ac:dyDescent="0.3">
      <c r="A243" t="s">
        <v>635</v>
      </c>
      <c r="B243" s="7">
        <v>46381</v>
      </c>
      <c r="C243" t="s">
        <v>446</v>
      </c>
      <c r="D243" t="s">
        <v>636</v>
      </c>
      <c r="E243" t="s">
        <v>18</v>
      </c>
      <c r="F243" t="s">
        <v>95</v>
      </c>
      <c r="G243" t="s">
        <v>100</v>
      </c>
      <c r="H243" t="s">
        <v>30</v>
      </c>
      <c r="I243">
        <v>3</v>
      </c>
      <c r="J243" s="5">
        <v>2499</v>
      </c>
      <c r="K243" s="2">
        <v>0.15</v>
      </c>
      <c r="L243" t="s">
        <v>39</v>
      </c>
      <c r="M243" t="s">
        <v>47</v>
      </c>
      <c r="N243" s="1">
        <v>46383</v>
      </c>
      <c r="O243" s="1"/>
      <c r="P243" s="5">
        <f>Orders[[#This Row],[Quantity]]*Orders[[#This Row],[Unit Price]]</f>
        <v>7497</v>
      </c>
      <c r="Q243" s="5">
        <f>Orders[[#This Row],[Gross Sales]]*Orders[[#This Row],[Discount %]]</f>
        <v>1124.55</v>
      </c>
      <c r="R243" s="5">
        <f>Orders[[#This Row],[Gross Sales]]-Orders[[#This Row],[Discount Amount]]</f>
        <v>6372.45</v>
      </c>
      <c r="S243" t="str">
        <f>IF(Orders[[#This Row],[Actual Delivery Date]]="","",Orders[[#This Row],[Actual Delivery Date]]-Orders[[#This Row],[Order Date]])</f>
        <v/>
      </c>
      <c r="T243" t="str">
        <f>IF(Orders[[#This Row],[Actual Delivery Date]]="","Pending",IF(Orders[[#This Row],[Actual Delivery Date]]&lt;=Orders[[#This Row],[Expected Delivery Date]],"On Time","Late"))</f>
        <v>Pending</v>
      </c>
      <c r="U243" t="str">
        <f>TEXT(Orders[[#This Row],[Order Date]],"mmm")</f>
        <v>Dec</v>
      </c>
      <c r="V243" s="8">
        <f>DATE(YEAR(Orders[[#This Row],[Order Date]]),MONTH(Orders[[#This Row],[Order Date]]),1)</f>
        <v>46357</v>
      </c>
      <c r="W243" s="5">
        <f>IF(Orders[[#This Row],[Order Status]]="Cancelled",Orders[[#This Row],[Net Sales]],0)</f>
        <v>0</v>
      </c>
    </row>
    <row r="244" spans="1:23" x14ac:dyDescent="0.3">
      <c r="A244" t="s">
        <v>637</v>
      </c>
      <c r="B244" s="7">
        <v>46054</v>
      </c>
      <c r="C244" t="s">
        <v>638</v>
      </c>
      <c r="D244" t="s">
        <v>639</v>
      </c>
      <c r="E244" t="s">
        <v>79</v>
      </c>
      <c r="F244" t="s">
        <v>86</v>
      </c>
      <c r="G244" t="s">
        <v>206</v>
      </c>
      <c r="H244" t="s">
        <v>30</v>
      </c>
      <c r="I244">
        <v>1</v>
      </c>
      <c r="J244" s="5">
        <v>1199</v>
      </c>
      <c r="K244" s="2">
        <v>0.05</v>
      </c>
      <c r="L244" t="s">
        <v>31</v>
      </c>
      <c r="M244" t="s">
        <v>23</v>
      </c>
      <c r="N244" s="1">
        <v>46058</v>
      </c>
      <c r="O244" s="1">
        <v>46058</v>
      </c>
      <c r="P244" s="5">
        <f>Orders[[#This Row],[Quantity]]*Orders[[#This Row],[Unit Price]]</f>
        <v>1199</v>
      </c>
      <c r="Q244" s="5">
        <f>Orders[[#This Row],[Gross Sales]]*Orders[[#This Row],[Discount %]]</f>
        <v>59.95</v>
      </c>
      <c r="R244" s="5">
        <f>Orders[[#This Row],[Gross Sales]]-Orders[[#This Row],[Discount Amount]]</f>
        <v>1139.05</v>
      </c>
      <c r="S244">
        <f>IF(Orders[[#This Row],[Actual Delivery Date]]="","",Orders[[#This Row],[Actual Delivery Date]]-Orders[[#This Row],[Order Date]])</f>
        <v>4</v>
      </c>
      <c r="T244" t="str">
        <f>IF(Orders[[#This Row],[Actual Delivery Date]]="","Pending",IF(Orders[[#This Row],[Actual Delivery Date]]&lt;=Orders[[#This Row],[Expected Delivery Date]],"On Time","Late"))</f>
        <v>On Time</v>
      </c>
      <c r="U244" t="str">
        <f>TEXT(Orders[[#This Row],[Order Date]],"mmm")</f>
        <v>Feb</v>
      </c>
      <c r="V244" s="8">
        <f>DATE(YEAR(Orders[[#This Row],[Order Date]]),MONTH(Orders[[#This Row],[Order Date]]),1)</f>
        <v>46054</v>
      </c>
      <c r="W244" s="5">
        <f>IF(Orders[[#This Row],[Order Status]]="Cancelled",Orders[[#This Row],[Net Sales]],0)</f>
        <v>0</v>
      </c>
    </row>
    <row r="245" spans="1:23" x14ac:dyDescent="0.3">
      <c r="A245" t="s">
        <v>640</v>
      </c>
      <c r="B245" s="7">
        <v>46126</v>
      </c>
      <c r="C245" t="s">
        <v>158</v>
      </c>
      <c r="D245" t="s">
        <v>641</v>
      </c>
      <c r="E245" t="s">
        <v>79</v>
      </c>
      <c r="F245" t="s">
        <v>80</v>
      </c>
      <c r="G245" t="s">
        <v>104</v>
      </c>
      <c r="H245" t="s">
        <v>38</v>
      </c>
      <c r="I245">
        <v>1</v>
      </c>
      <c r="J245" s="5">
        <v>999</v>
      </c>
      <c r="K245" s="2">
        <v>0.2</v>
      </c>
      <c r="L245" t="s">
        <v>39</v>
      </c>
      <c r="M245" t="s">
        <v>23</v>
      </c>
      <c r="N245" s="1">
        <v>46128</v>
      </c>
      <c r="O245" s="1">
        <v>46128</v>
      </c>
      <c r="P245" s="5">
        <f>Orders[[#This Row],[Quantity]]*Orders[[#This Row],[Unit Price]]</f>
        <v>999</v>
      </c>
      <c r="Q245" s="5">
        <f>Orders[[#This Row],[Gross Sales]]*Orders[[#This Row],[Discount %]]</f>
        <v>199.8</v>
      </c>
      <c r="R245" s="5">
        <f>Orders[[#This Row],[Gross Sales]]-Orders[[#This Row],[Discount Amount]]</f>
        <v>799.2</v>
      </c>
      <c r="S245">
        <f>IF(Orders[[#This Row],[Actual Delivery Date]]="","",Orders[[#This Row],[Actual Delivery Date]]-Orders[[#This Row],[Order Date]])</f>
        <v>2</v>
      </c>
      <c r="T245" t="str">
        <f>IF(Orders[[#This Row],[Actual Delivery Date]]="","Pending",IF(Orders[[#This Row],[Actual Delivery Date]]&lt;=Orders[[#This Row],[Expected Delivery Date]],"On Time","Late"))</f>
        <v>On Time</v>
      </c>
      <c r="U245" t="str">
        <f>TEXT(Orders[[#This Row],[Order Date]],"mmm")</f>
        <v>Apr</v>
      </c>
      <c r="V245" s="8">
        <f>DATE(YEAR(Orders[[#This Row],[Order Date]]),MONTH(Orders[[#This Row],[Order Date]]),1)</f>
        <v>46113</v>
      </c>
      <c r="W245" s="5">
        <f>IF(Orders[[#This Row],[Order Status]]="Cancelled",Orders[[#This Row],[Net Sales]],0)</f>
        <v>0</v>
      </c>
    </row>
    <row r="246" spans="1:23" x14ac:dyDescent="0.3">
      <c r="A246" t="s">
        <v>642</v>
      </c>
      <c r="B246" s="7">
        <v>46180</v>
      </c>
      <c r="C246" t="s">
        <v>199</v>
      </c>
      <c r="D246" t="s">
        <v>325</v>
      </c>
      <c r="E246" t="s">
        <v>18</v>
      </c>
      <c r="F246" t="s">
        <v>121</v>
      </c>
      <c r="G246" t="s">
        <v>96</v>
      </c>
      <c r="H246" t="s">
        <v>38</v>
      </c>
      <c r="I246">
        <v>2</v>
      </c>
      <c r="J246" s="5">
        <v>1599</v>
      </c>
      <c r="K246" s="2">
        <v>0</v>
      </c>
      <c r="L246" t="s">
        <v>39</v>
      </c>
      <c r="M246" t="s">
        <v>23</v>
      </c>
      <c r="N246" s="1">
        <v>46187</v>
      </c>
      <c r="O246" s="1">
        <v>46186</v>
      </c>
      <c r="P246" s="5">
        <f>Orders[[#This Row],[Quantity]]*Orders[[#This Row],[Unit Price]]</f>
        <v>3198</v>
      </c>
      <c r="Q246" s="5">
        <f>Orders[[#This Row],[Gross Sales]]*Orders[[#This Row],[Discount %]]</f>
        <v>0</v>
      </c>
      <c r="R246" s="5">
        <f>Orders[[#This Row],[Gross Sales]]-Orders[[#This Row],[Discount Amount]]</f>
        <v>3198</v>
      </c>
      <c r="S246">
        <f>IF(Orders[[#This Row],[Actual Delivery Date]]="","",Orders[[#This Row],[Actual Delivery Date]]-Orders[[#This Row],[Order Date]])</f>
        <v>6</v>
      </c>
      <c r="T246" t="str">
        <f>IF(Orders[[#This Row],[Actual Delivery Date]]="","Pending",IF(Orders[[#This Row],[Actual Delivery Date]]&lt;=Orders[[#This Row],[Expected Delivery Date]],"On Time","Late"))</f>
        <v>On Time</v>
      </c>
      <c r="U246" t="str">
        <f>TEXT(Orders[[#This Row],[Order Date]],"mmm")</f>
        <v>Jun</v>
      </c>
      <c r="V246" s="8">
        <f>DATE(YEAR(Orders[[#This Row],[Order Date]]),MONTH(Orders[[#This Row],[Order Date]]),1)</f>
        <v>46174</v>
      </c>
      <c r="W246" s="5">
        <f>IF(Orders[[#This Row],[Order Status]]="Cancelled",Orders[[#This Row],[Net Sales]],0)</f>
        <v>0</v>
      </c>
    </row>
    <row r="247" spans="1:23" x14ac:dyDescent="0.3">
      <c r="A247" t="s">
        <v>643</v>
      </c>
      <c r="B247" s="7">
        <v>46205</v>
      </c>
      <c r="C247" t="s">
        <v>560</v>
      </c>
      <c r="D247" t="s">
        <v>644</v>
      </c>
      <c r="E247" t="s">
        <v>35</v>
      </c>
      <c r="F247" t="s">
        <v>68</v>
      </c>
      <c r="G247" t="s">
        <v>52</v>
      </c>
      <c r="H247" t="s">
        <v>45</v>
      </c>
      <c r="I247">
        <v>1</v>
      </c>
      <c r="J247" s="5">
        <v>1299</v>
      </c>
      <c r="K247" s="2">
        <v>0</v>
      </c>
      <c r="L247" t="s">
        <v>46</v>
      </c>
      <c r="M247" t="s">
        <v>23</v>
      </c>
      <c r="N247" s="1">
        <v>46208</v>
      </c>
      <c r="O247" s="1">
        <v>46207</v>
      </c>
      <c r="P247" s="5">
        <f>Orders[[#This Row],[Quantity]]*Orders[[#This Row],[Unit Price]]</f>
        <v>1299</v>
      </c>
      <c r="Q247" s="5">
        <f>Orders[[#This Row],[Gross Sales]]*Orders[[#This Row],[Discount %]]</f>
        <v>0</v>
      </c>
      <c r="R247" s="5">
        <f>Orders[[#This Row],[Gross Sales]]-Orders[[#This Row],[Discount Amount]]</f>
        <v>1299</v>
      </c>
      <c r="S247">
        <f>IF(Orders[[#This Row],[Actual Delivery Date]]="","",Orders[[#This Row],[Actual Delivery Date]]-Orders[[#This Row],[Order Date]])</f>
        <v>2</v>
      </c>
      <c r="T247" t="str">
        <f>IF(Orders[[#This Row],[Actual Delivery Date]]="","Pending",IF(Orders[[#This Row],[Actual Delivery Date]]&lt;=Orders[[#This Row],[Expected Delivery Date]],"On Time","Late"))</f>
        <v>On Time</v>
      </c>
      <c r="U247" t="str">
        <f>TEXT(Orders[[#This Row],[Order Date]],"mmm")</f>
        <v>Jul</v>
      </c>
      <c r="V247" s="8">
        <f>DATE(YEAR(Orders[[#This Row],[Order Date]]),MONTH(Orders[[#This Row],[Order Date]]),1)</f>
        <v>46204</v>
      </c>
      <c r="W247" s="5">
        <f>IF(Orders[[#This Row],[Order Status]]="Cancelled",Orders[[#This Row],[Net Sales]],0)</f>
        <v>0</v>
      </c>
    </row>
    <row r="248" spans="1:23" x14ac:dyDescent="0.3">
      <c r="A248" t="s">
        <v>645</v>
      </c>
      <c r="B248" s="7">
        <v>46094</v>
      </c>
      <c r="C248" t="s">
        <v>89</v>
      </c>
      <c r="D248" t="s">
        <v>646</v>
      </c>
      <c r="E248" t="s">
        <v>27</v>
      </c>
      <c r="F248" t="s">
        <v>28</v>
      </c>
      <c r="G248" t="s">
        <v>147</v>
      </c>
      <c r="H248" t="s">
        <v>58</v>
      </c>
      <c r="I248">
        <v>1</v>
      </c>
      <c r="J248" s="5">
        <v>399</v>
      </c>
      <c r="K248" s="2">
        <v>0</v>
      </c>
      <c r="L248" t="s">
        <v>31</v>
      </c>
      <c r="M248" t="s">
        <v>23</v>
      </c>
      <c r="N248" s="1">
        <v>46097</v>
      </c>
      <c r="O248" s="1">
        <v>46096</v>
      </c>
      <c r="P248" s="5">
        <f>Orders[[#This Row],[Quantity]]*Orders[[#This Row],[Unit Price]]</f>
        <v>399</v>
      </c>
      <c r="Q248" s="5">
        <f>Orders[[#This Row],[Gross Sales]]*Orders[[#This Row],[Discount %]]</f>
        <v>0</v>
      </c>
      <c r="R248" s="5">
        <f>Orders[[#This Row],[Gross Sales]]-Orders[[#This Row],[Discount Amount]]</f>
        <v>399</v>
      </c>
      <c r="S248">
        <f>IF(Orders[[#This Row],[Actual Delivery Date]]="","",Orders[[#This Row],[Actual Delivery Date]]-Orders[[#This Row],[Order Date]])</f>
        <v>2</v>
      </c>
      <c r="T248" t="str">
        <f>IF(Orders[[#This Row],[Actual Delivery Date]]="","Pending",IF(Orders[[#This Row],[Actual Delivery Date]]&lt;=Orders[[#This Row],[Expected Delivery Date]],"On Time","Late"))</f>
        <v>On Time</v>
      </c>
      <c r="U248" t="str">
        <f>TEXT(Orders[[#This Row],[Order Date]],"mmm")</f>
        <v>Mar</v>
      </c>
      <c r="V248" s="8">
        <f>DATE(YEAR(Orders[[#This Row],[Order Date]]),MONTH(Orders[[#This Row],[Order Date]]),1)</f>
        <v>46082</v>
      </c>
      <c r="W248" s="5">
        <f>IF(Orders[[#This Row],[Order Status]]="Cancelled",Orders[[#This Row],[Net Sales]],0)</f>
        <v>0</v>
      </c>
    </row>
    <row r="249" spans="1:23" x14ac:dyDescent="0.3">
      <c r="A249" t="s">
        <v>647</v>
      </c>
      <c r="B249" s="7">
        <v>46124</v>
      </c>
      <c r="C249" t="s">
        <v>648</v>
      </c>
      <c r="D249" t="s">
        <v>352</v>
      </c>
      <c r="E249" t="s">
        <v>35</v>
      </c>
      <c r="F249" t="s">
        <v>135</v>
      </c>
      <c r="G249" t="s">
        <v>75</v>
      </c>
      <c r="H249" t="s">
        <v>45</v>
      </c>
      <c r="I249">
        <v>4</v>
      </c>
      <c r="J249" s="5">
        <v>799</v>
      </c>
      <c r="K249" s="2">
        <v>0.15</v>
      </c>
      <c r="L249" t="s">
        <v>31</v>
      </c>
      <c r="M249" t="s">
        <v>23</v>
      </c>
      <c r="N249" s="1">
        <v>46128</v>
      </c>
      <c r="O249" s="1">
        <v>46128</v>
      </c>
      <c r="P249" s="5">
        <f>Orders[[#This Row],[Quantity]]*Orders[[#This Row],[Unit Price]]</f>
        <v>3196</v>
      </c>
      <c r="Q249" s="5">
        <f>Orders[[#This Row],[Gross Sales]]*Orders[[#This Row],[Discount %]]</f>
        <v>479.4</v>
      </c>
      <c r="R249" s="5">
        <f>Orders[[#This Row],[Gross Sales]]-Orders[[#This Row],[Discount Amount]]</f>
        <v>2716.6</v>
      </c>
      <c r="S249">
        <f>IF(Orders[[#This Row],[Actual Delivery Date]]="","",Orders[[#This Row],[Actual Delivery Date]]-Orders[[#This Row],[Order Date]])</f>
        <v>4</v>
      </c>
      <c r="T249" t="str">
        <f>IF(Orders[[#This Row],[Actual Delivery Date]]="","Pending",IF(Orders[[#This Row],[Actual Delivery Date]]&lt;=Orders[[#This Row],[Expected Delivery Date]],"On Time","Late"))</f>
        <v>On Time</v>
      </c>
      <c r="U249" t="str">
        <f>TEXT(Orders[[#This Row],[Order Date]],"mmm")</f>
        <v>Apr</v>
      </c>
      <c r="V249" s="8">
        <f>DATE(YEAR(Orders[[#This Row],[Order Date]]),MONTH(Orders[[#This Row],[Order Date]]),1)</f>
        <v>46113</v>
      </c>
      <c r="W249" s="5">
        <f>IF(Orders[[#This Row],[Order Status]]="Cancelled",Orders[[#This Row],[Net Sales]],0)</f>
        <v>0</v>
      </c>
    </row>
    <row r="250" spans="1:23" x14ac:dyDescent="0.3">
      <c r="A250" t="s">
        <v>649</v>
      </c>
      <c r="B250" s="7">
        <v>46218</v>
      </c>
      <c r="C250" t="s">
        <v>370</v>
      </c>
      <c r="D250" t="s">
        <v>650</v>
      </c>
      <c r="E250" t="s">
        <v>79</v>
      </c>
      <c r="F250" t="s">
        <v>170</v>
      </c>
      <c r="G250" t="s">
        <v>147</v>
      </c>
      <c r="H250" t="s">
        <v>58</v>
      </c>
      <c r="I250">
        <v>2</v>
      </c>
      <c r="J250" s="5">
        <v>399</v>
      </c>
      <c r="K250" s="2">
        <v>0.05</v>
      </c>
      <c r="L250" t="s">
        <v>46</v>
      </c>
      <c r="M250" t="s">
        <v>23</v>
      </c>
      <c r="N250" s="1">
        <v>46221</v>
      </c>
      <c r="O250" s="1">
        <v>46220</v>
      </c>
      <c r="P250" s="5">
        <f>Orders[[#This Row],[Quantity]]*Orders[[#This Row],[Unit Price]]</f>
        <v>798</v>
      </c>
      <c r="Q250" s="5">
        <f>Orders[[#This Row],[Gross Sales]]*Orders[[#This Row],[Discount %]]</f>
        <v>39.900000000000006</v>
      </c>
      <c r="R250" s="5">
        <f>Orders[[#This Row],[Gross Sales]]-Orders[[#This Row],[Discount Amount]]</f>
        <v>758.1</v>
      </c>
      <c r="S250">
        <f>IF(Orders[[#This Row],[Actual Delivery Date]]="","",Orders[[#This Row],[Actual Delivery Date]]-Orders[[#This Row],[Order Date]])</f>
        <v>2</v>
      </c>
      <c r="T250" t="str">
        <f>IF(Orders[[#This Row],[Actual Delivery Date]]="","Pending",IF(Orders[[#This Row],[Actual Delivery Date]]&lt;=Orders[[#This Row],[Expected Delivery Date]],"On Time","Late"))</f>
        <v>On Time</v>
      </c>
      <c r="U250" t="str">
        <f>TEXT(Orders[[#This Row],[Order Date]],"mmm")</f>
        <v>Jul</v>
      </c>
      <c r="V250" s="8">
        <f>DATE(YEAR(Orders[[#This Row],[Order Date]]),MONTH(Orders[[#This Row],[Order Date]]),1)</f>
        <v>46204</v>
      </c>
      <c r="W250" s="5">
        <f>IF(Orders[[#This Row],[Order Status]]="Cancelled",Orders[[#This Row],[Net Sales]],0)</f>
        <v>0</v>
      </c>
    </row>
    <row r="251" spans="1:23" x14ac:dyDescent="0.3">
      <c r="A251" t="s">
        <v>651</v>
      </c>
      <c r="B251" s="7">
        <v>46304</v>
      </c>
      <c r="C251" t="s">
        <v>652</v>
      </c>
      <c r="D251" t="s">
        <v>417</v>
      </c>
      <c r="E251" t="s">
        <v>27</v>
      </c>
      <c r="F251" t="s">
        <v>51</v>
      </c>
      <c r="G251" t="s">
        <v>57</v>
      </c>
      <c r="H251" t="s">
        <v>58</v>
      </c>
      <c r="I251">
        <v>2</v>
      </c>
      <c r="J251" s="5">
        <v>499</v>
      </c>
      <c r="K251" s="2">
        <v>0</v>
      </c>
      <c r="L251" t="s">
        <v>46</v>
      </c>
      <c r="M251" t="s">
        <v>23</v>
      </c>
      <c r="N251" s="1">
        <v>46307</v>
      </c>
      <c r="O251" s="1">
        <v>46307</v>
      </c>
      <c r="P251" s="5">
        <f>Orders[[#This Row],[Quantity]]*Orders[[#This Row],[Unit Price]]</f>
        <v>998</v>
      </c>
      <c r="Q251" s="5">
        <f>Orders[[#This Row],[Gross Sales]]*Orders[[#This Row],[Discount %]]</f>
        <v>0</v>
      </c>
      <c r="R251" s="5">
        <f>Orders[[#This Row],[Gross Sales]]-Orders[[#This Row],[Discount Amount]]</f>
        <v>998</v>
      </c>
      <c r="S251">
        <f>IF(Orders[[#This Row],[Actual Delivery Date]]="","",Orders[[#This Row],[Actual Delivery Date]]-Orders[[#This Row],[Order Date]])</f>
        <v>3</v>
      </c>
      <c r="T251" t="str">
        <f>IF(Orders[[#This Row],[Actual Delivery Date]]="","Pending",IF(Orders[[#This Row],[Actual Delivery Date]]&lt;=Orders[[#This Row],[Expected Delivery Date]],"On Time","Late"))</f>
        <v>On Time</v>
      </c>
      <c r="U251" t="str">
        <f>TEXT(Orders[[#This Row],[Order Date]],"mmm")</f>
        <v>Oct</v>
      </c>
      <c r="V251" s="8">
        <f>DATE(YEAR(Orders[[#This Row],[Order Date]]),MONTH(Orders[[#This Row],[Order Date]]),1)</f>
        <v>46296</v>
      </c>
      <c r="W251" s="5">
        <f>IF(Orders[[#This Row],[Order Status]]="Cancelled",Orders[[#This Row],[Net Sales]],0)</f>
        <v>0</v>
      </c>
    </row>
    <row r="252" spans="1:23" x14ac:dyDescent="0.3">
      <c r="A252" t="s">
        <v>653</v>
      </c>
      <c r="B252" s="7">
        <v>46301</v>
      </c>
      <c r="C252" t="s">
        <v>304</v>
      </c>
      <c r="D252" t="s">
        <v>654</v>
      </c>
      <c r="E252" t="s">
        <v>18</v>
      </c>
      <c r="F252" t="s">
        <v>43</v>
      </c>
      <c r="G252" t="s">
        <v>218</v>
      </c>
      <c r="H252" t="s">
        <v>21</v>
      </c>
      <c r="I252">
        <v>3</v>
      </c>
      <c r="J252" s="5">
        <v>2999</v>
      </c>
      <c r="K252" s="2">
        <v>0.1</v>
      </c>
      <c r="L252" t="s">
        <v>22</v>
      </c>
      <c r="M252" t="s">
        <v>47</v>
      </c>
      <c r="N252" s="1">
        <v>46305</v>
      </c>
      <c r="O252" s="1"/>
      <c r="P252" s="5">
        <f>Orders[[#This Row],[Quantity]]*Orders[[#This Row],[Unit Price]]</f>
        <v>8997</v>
      </c>
      <c r="Q252" s="5">
        <f>Orders[[#This Row],[Gross Sales]]*Orders[[#This Row],[Discount %]]</f>
        <v>899.7</v>
      </c>
      <c r="R252" s="5">
        <f>Orders[[#This Row],[Gross Sales]]-Orders[[#This Row],[Discount Amount]]</f>
        <v>8097.3</v>
      </c>
      <c r="S252" t="str">
        <f>IF(Orders[[#This Row],[Actual Delivery Date]]="","",Orders[[#This Row],[Actual Delivery Date]]-Orders[[#This Row],[Order Date]])</f>
        <v/>
      </c>
      <c r="T252" t="str">
        <f>IF(Orders[[#This Row],[Actual Delivery Date]]="","Pending",IF(Orders[[#This Row],[Actual Delivery Date]]&lt;=Orders[[#This Row],[Expected Delivery Date]],"On Time","Late"))</f>
        <v>Pending</v>
      </c>
      <c r="U252" t="str">
        <f>TEXT(Orders[[#This Row],[Order Date]],"mmm")</f>
        <v>Oct</v>
      </c>
      <c r="V252" s="8">
        <f>DATE(YEAR(Orders[[#This Row],[Order Date]]),MONTH(Orders[[#This Row],[Order Date]]),1)</f>
        <v>46296</v>
      </c>
      <c r="W252" s="5">
        <f>IF(Orders[[#This Row],[Order Status]]="Cancelled",Orders[[#This Row],[Net Sales]],0)</f>
        <v>0</v>
      </c>
    </row>
    <row r="253" spans="1:23" x14ac:dyDescent="0.3">
      <c r="A253" t="s">
        <v>655</v>
      </c>
      <c r="B253" s="7">
        <v>46135</v>
      </c>
      <c r="C253" t="s">
        <v>312</v>
      </c>
      <c r="D253" t="s">
        <v>444</v>
      </c>
      <c r="E253" t="s">
        <v>27</v>
      </c>
      <c r="F253" t="s">
        <v>28</v>
      </c>
      <c r="G253" t="s">
        <v>87</v>
      </c>
      <c r="H253" t="s">
        <v>21</v>
      </c>
      <c r="I253">
        <v>1</v>
      </c>
      <c r="J253" s="5">
        <v>1899</v>
      </c>
      <c r="K253" s="2">
        <v>0.1</v>
      </c>
      <c r="L253" t="s">
        <v>39</v>
      </c>
      <c r="M253" t="s">
        <v>82</v>
      </c>
      <c r="N253" s="1">
        <v>46140</v>
      </c>
      <c r="O253" s="1">
        <v>46140</v>
      </c>
      <c r="P253" s="5">
        <f>Orders[[#This Row],[Quantity]]*Orders[[#This Row],[Unit Price]]</f>
        <v>1899</v>
      </c>
      <c r="Q253" s="5">
        <f>Orders[[#This Row],[Gross Sales]]*Orders[[#This Row],[Discount %]]</f>
        <v>189.9</v>
      </c>
      <c r="R253" s="5">
        <f>Orders[[#This Row],[Gross Sales]]-Orders[[#This Row],[Discount Amount]]</f>
        <v>1709.1</v>
      </c>
      <c r="S253">
        <f>IF(Orders[[#This Row],[Actual Delivery Date]]="","",Orders[[#This Row],[Actual Delivery Date]]-Orders[[#This Row],[Order Date]])</f>
        <v>5</v>
      </c>
      <c r="T253" t="str">
        <f>IF(Orders[[#This Row],[Actual Delivery Date]]="","Pending",IF(Orders[[#This Row],[Actual Delivery Date]]&lt;=Orders[[#This Row],[Expected Delivery Date]],"On Time","Late"))</f>
        <v>On Time</v>
      </c>
      <c r="U253" t="str">
        <f>TEXT(Orders[[#This Row],[Order Date]],"mmm")</f>
        <v>Apr</v>
      </c>
      <c r="V253" s="8">
        <f>DATE(YEAR(Orders[[#This Row],[Order Date]]),MONTH(Orders[[#This Row],[Order Date]]),1)</f>
        <v>46113</v>
      </c>
      <c r="W253" s="5">
        <f>IF(Orders[[#This Row],[Order Status]]="Cancelled",Orders[[#This Row],[Net Sales]],0)</f>
        <v>0</v>
      </c>
    </row>
    <row r="254" spans="1:23" x14ac:dyDescent="0.3">
      <c r="A254" t="s">
        <v>656</v>
      </c>
      <c r="B254" s="7">
        <v>46296</v>
      </c>
      <c r="C254" t="s">
        <v>520</v>
      </c>
      <c r="D254" t="s">
        <v>569</v>
      </c>
      <c r="E254" t="s">
        <v>18</v>
      </c>
      <c r="F254" t="s">
        <v>95</v>
      </c>
      <c r="G254" t="s">
        <v>131</v>
      </c>
      <c r="H254" t="s">
        <v>38</v>
      </c>
      <c r="I254">
        <v>3</v>
      </c>
      <c r="J254" s="5">
        <v>899</v>
      </c>
      <c r="K254" s="2">
        <v>0</v>
      </c>
      <c r="L254" t="s">
        <v>31</v>
      </c>
      <c r="M254" t="s">
        <v>47</v>
      </c>
      <c r="N254" s="1">
        <v>46301</v>
      </c>
      <c r="O254" s="1"/>
      <c r="P254" s="5">
        <f>Orders[[#This Row],[Quantity]]*Orders[[#This Row],[Unit Price]]</f>
        <v>2697</v>
      </c>
      <c r="Q254" s="5">
        <f>Orders[[#This Row],[Gross Sales]]*Orders[[#This Row],[Discount %]]</f>
        <v>0</v>
      </c>
      <c r="R254" s="5">
        <f>Orders[[#This Row],[Gross Sales]]-Orders[[#This Row],[Discount Amount]]</f>
        <v>2697</v>
      </c>
      <c r="S254" t="str">
        <f>IF(Orders[[#This Row],[Actual Delivery Date]]="","",Orders[[#This Row],[Actual Delivery Date]]-Orders[[#This Row],[Order Date]])</f>
        <v/>
      </c>
      <c r="T254" t="str">
        <f>IF(Orders[[#This Row],[Actual Delivery Date]]="","Pending",IF(Orders[[#This Row],[Actual Delivery Date]]&lt;=Orders[[#This Row],[Expected Delivery Date]],"On Time","Late"))</f>
        <v>Pending</v>
      </c>
      <c r="U254" t="str">
        <f>TEXT(Orders[[#This Row],[Order Date]],"mmm")</f>
        <v>Oct</v>
      </c>
      <c r="V254" s="8">
        <f>DATE(YEAR(Orders[[#This Row],[Order Date]]),MONTH(Orders[[#This Row],[Order Date]]),1)</f>
        <v>46296</v>
      </c>
      <c r="W254" s="5">
        <f>IF(Orders[[#This Row],[Order Status]]="Cancelled",Orders[[#This Row],[Net Sales]],0)</f>
        <v>0</v>
      </c>
    </row>
    <row r="255" spans="1:23" x14ac:dyDescent="0.3">
      <c r="A255" t="s">
        <v>657</v>
      </c>
      <c r="B255" s="7">
        <v>46380</v>
      </c>
      <c r="C255" t="s">
        <v>357</v>
      </c>
      <c r="D255" t="s">
        <v>658</v>
      </c>
      <c r="E255" t="s">
        <v>27</v>
      </c>
      <c r="F255" t="s">
        <v>56</v>
      </c>
      <c r="G255" t="s">
        <v>91</v>
      </c>
      <c r="H255" t="s">
        <v>30</v>
      </c>
      <c r="I255">
        <v>1</v>
      </c>
      <c r="J255" s="5">
        <v>3299</v>
      </c>
      <c r="K255" s="2">
        <v>0.2</v>
      </c>
      <c r="L255" t="s">
        <v>39</v>
      </c>
      <c r="M255" t="s">
        <v>59</v>
      </c>
      <c r="N255" s="1">
        <v>46387</v>
      </c>
      <c r="O255" s="1">
        <v>46385</v>
      </c>
      <c r="P255" s="5">
        <f>Orders[[#This Row],[Quantity]]*Orders[[#This Row],[Unit Price]]</f>
        <v>3299</v>
      </c>
      <c r="Q255" s="5">
        <f>Orders[[#This Row],[Gross Sales]]*Orders[[#This Row],[Discount %]]</f>
        <v>659.80000000000007</v>
      </c>
      <c r="R255" s="5">
        <f>Orders[[#This Row],[Gross Sales]]-Orders[[#This Row],[Discount Amount]]</f>
        <v>2639.2</v>
      </c>
      <c r="S255">
        <f>IF(Orders[[#This Row],[Actual Delivery Date]]="","",Orders[[#This Row],[Actual Delivery Date]]-Orders[[#This Row],[Order Date]])</f>
        <v>5</v>
      </c>
      <c r="T255" t="str">
        <f>IF(Orders[[#This Row],[Actual Delivery Date]]="","Pending",IF(Orders[[#This Row],[Actual Delivery Date]]&lt;=Orders[[#This Row],[Expected Delivery Date]],"On Time","Late"))</f>
        <v>On Time</v>
      </c>
      <c r="U255" t="str">
        <f>TEXT(Orders[[#This Row],[Order Date]],"mmm")</f>
        <v>Dec</v>
      </c>
      <c r="V255" s="8">
        <f>DATE(YEAR(Orders[[#This Row],[Order Date]]),MONTH(Orders[[#This Row],[Order Date]]),1)</f>
        <v>46357</v>
      </c>
      <c r="W255" s="5">
        <f>IF(Orders[[#This Row],[Order Status]]="Cancelled",Orders[[#This Row],[Net Sales]],0)</f>
        <v>2639.2</v>
      </c>
    </row>
    <row r="256" spans="1:23" x14ac:dyDescent="0.3">
      <c r="A256" t="s">
        <v>659</v>
      </c>
      <c r="B256" s="7">
        <v>46112</v>
      </c>
      <c r="C256" t="s">
        <v>236</v>
      </c>
      <c r="D256" t="s">
        <v>660</v>
      </c>
      <c r="E256" t="s">
        <v>27</v>
      </c>
      <c r="F256" t="s">
        <v>74</v>
      </c>
      <c r="G256" t="s">
        <v>91</v>
      </c>
      <c r="H256" t="s">
        <v>30</v>
      </c>
      <c r="I256">
        <v>2</v>
      </c>
      <c r="J256" s="5">
        <v>3299</v>
      </c>
      <c r="K256" s="2">
        <v>0</v>
      </c>
      <c r="L256" t="s">
        <v>39</v>
      </c>
      <c r="M256" t="s">
        <v>23</v>
      </c>
      <c r="N256" s="1">
        <v>46118</v>
      </c>
      <c r="O256" s="1">
        <v>46117</v>
      </c>
      <c r="P256" s="5">
        <f>Orders[[#This Row],[Quantity]]*Orders[[#This Row],[Unit Price]]</f>
        <v>6598</v>
      </c>
      <c r="Q256" s="5">
        <f>Orders[[#This Row],[Gross Sales]]*Orders[[#This Row],[Discount %]]</f>
        <v>0</v>
      </c>
      <c r="R256" s="5">
        <f>Orders[[#This Row],[Gross Sales]]-Orders[[#This Row],[Discount Amount]]</f>
        <v>6598</v>
      </c>
      <c r="S256">
        <f>IF(Orders[[#This Row],[Actual Delivery Date]]="","",Orders[[#This Row],[Actual Delivery Date]]-Orders[[#This Row],[Order Date]])</f>
        <v>5</v>
      </c>
      <c r="T256" t="str">
        <f>IF(Orders[[#This Row],[Actual Delivery Date]]="","Pending",IF(Orders[[#This Row],[Actual Delivery Date]]&lt;=Orders[[#This Row],[Expected Delivery Date]],"On Time","Late"))</f>
        <v>On Time</v>
      </c>
      <c r="U256" t="str">
        <f>TEXT(Orders[[#This Row],[Order Date]],"mmm")</f>
        <v>Mar</v>
      </c>
      <c r="V256" s="8">
        <f>DATE(YEAR(Orders[[#This Row],[Order Date]]),MONTH(Orders[[#This Row],[Order Date]]),1)</f>
        <v>46082</v>
      </c>
      <c r="W256" s="5">
        <f>IF(Orders[[#This Row],[Order Status]]="Cancelled",Orders[[#This Row],[Net Sales]],0)</f>
        <v>0</v>
      </c>
    </row>
    <row r="257" spans="1:23" x14ac:dyDescent="0.3">
      <c r="A257" t="s">
        <v>661</v>
      </c>
      <c r="B257" s="7">
        <v>46113</v>
      </c>
      <c r="C257" t="s">
        <v>458</v>
      </c>
      <c r="D257" t="s">
        <v>662</v>
      </c>
      <c r="E257" t="s">
        <v>35</v>
      </c>
      <c r="F257" t="s">
        <v>68</v>
      </c>
      <c r="G257" t="s">
        <v>131</v>
      </c>
      <c r="H257" t="s">
        <v>38</v>
      </c>
      <c r="I257">
        <v>4</v>
      </c>
      <c r="J257" s="5">
        <v>899</v>
      </c>
      <c r="K257" s="2">
        <v>0.1</v>
      </c>
      <c r="L257" t="s">
        <v>39</v>
      </c>
      <c r="M257" t="s">
        <v>23</v>
      </c>
      <c r="N257" s="1">
        <v>46116</v>
      </c>
      <c r="O257" s="1">
        <v>46114</v>
      </c>
      <c r="P257" s="5">
        <f>Orders[[#This Row],[Quantity]]*Orders[[#This Row],[Unit Price]]</f>
        <v>3596</v>
      </c>
      <c r="Q257" s="5">
        <f>Orders[[#This Row],[Gross Sales]]*Orders[[#This Row],[Discount %]]</f>
        <v>359.6</v>
      </c>
      <c r="R257" s="5">
        <f>Orders[[#This Row],[Gross Sales]]-Orders[[#This Row],[Discount Amount]]</f>
        <v>3236.4</v>
      </c>
      <c r="S257">
        <f>IF(Orders[[#This Row],[Actual Delivery Date]]="","",Orders[[#This Row],[Actual Delivery Date]]-Orders[[#This Row],[Order Date]])</f>
        <v>1</v>
      </c>
      <c r="T257" t="str">
        <f>IF(Orders[[#This Row],[Actual Delivery Date]]="","Pending",IF(Orders[[#This Row],[Actual Delivery Date]]&lt;=Orders[[#This Row],[Expected Delivery Date]],"On Time","Late"))</f>
        <v>On Time</v>
      </c>
      <c r="U257" t="str">
        <f>TEXT(Orders[[#This Row],[Order Date]],"mmm")</f>
        <v>Apr</v>
      </c>
      <c r="V257" s="8">
        <f>DATE(YEAR(Orders[[#This Row],[Order Date]]),MONTH(Orders[[#This Row],[Order Date]]),1)</f>
        <v>46113</v>
      </c>
      <c r="W257" s="5">
        <f>IF(Orders[[#This Row],[Order Status]]="Cancelled",Orders[[#This Row],[Net Sales]],0)</f>
        <v>0</v>
      </c>
    </row>
    <row r="258" spans="1:23" x14ac:dyDescent="0.3">
      <c r="A258" t="s">
        <v>663</v>
      </c>
      <c r="B258" s="7">
        <v>46323</v>
      </c>
      <c r="C258" t="s">
        <v>664</v>
      </c>
      <c r="D258" t="s">
        <v>639</v>
      </c>
      <c r="E258" t="s">
        <v>35</v>
      </c>
      <c r="F258" t="s">
        <v>135</v>
      </c>
      <c r="G258" t="s">
        <v>218</v>
      </c>
      <c r="H258" t="s">
        <v>21</v>
      </c>
      <c r="I258">
        <v>1</v>
      </c>
      <c r="J258" s="5">
        <v>2999</v>
      </c>
      <c r="K258" s="2">
        <v>0.1</v>
      </c>
      <c r="L258" t="s">
        <v>46</v>
      </c>
      <c r="M258" t="s">
        <v>23</v>
      </c>
      <c r="N258" s="1">
        <v>46326</v>
      </c>
      <c r="O258" s="1">
        <v>46325</v>
      </c>
      <c r="P258" s="5">
        <f>Orders[[#This Row],[Quantity]]*Orders[[#This Row],[Unit Price]]</f>
        <v>2999</v>
      </c>
      <c r="Q258" s="5">
        <f>Orders[[#This Row],[Gross Sales]]*Orders[[#This Row],[Discount %]]</f>
        <v>299.90000000000003</v>
      </c>
      <c r="R258" s="5">
        <f>Orders[[#This Row],[Gross Sales]]-Orders[[#This Row],[Discount Amount]]</f>
        <v>2699.1</v>
      </c>
      <c r="S258">
        <f>IF(Orders[[#This Row],[Actual Delivery Date]]="","",Orders[[#This Row],[Actual Delivery Date]]-Orders[[#This Row],[Order Date]])</f>
        <v>2</v>
      </c>
      <c r="T258" t="str">
        <f>IF(Orders[[#This Row],[Actual Delivery Date]]="","Pending",IF(Orders[[#This Row],[Actual Delivery Date]]&lt;=Orders[[#This Row],[Expected Delivery Date]],"On Time","Late"))</f>
        <v>On Time</v>
      </c>
      <c r="U258" t="str">
        <f>TEXT(Orders[[#This Row],[Order Date]],"mmm")</f>
        <v>Oct</v>
      </c>
      <c r="V258" s="8">
        <f>DATE(YEAR(Orders[[#This Row],[Order Date]]),MONTH(Orders[[#This Row],[Order Date]]),1)</f>
        <v>46296</v>
      </c>
      <c r="W258" s="5">
        <f>IF(Orders[[#This Row],[Order Status]]="Cancelled",Orders[[#This Row],[Net Sales]],0)</f>
        <v>0</v>
      </c>
    </row>
    <row r="259" spans="1:23" x14ac:dyDescent="0.3">
      <c r="A259" t="s">
        <v>665</v>
      </c>
      <c r="B259" s="7">
        <v>46112</v>
      </c>
      <c r="C259" t="s">
        <v>666</v>
      </c>
      <c r="D259" t="s">
        <v>667</v>
      </c>
      <c r="E259" t="s">
        <v>27</v>
      </c>
      <c r="F259" t="s">
        <v>51</v>
      </c>
      <c r="G259" t="s">
        <v>69</v>
      </c>
      <c r="H259" t="s">
        <v>38</v>
      </c>
      <c r="I259">
        <v>1</v>
      </c>
      <c r="J259" s="5">
        <v>3499</v>
      </c>
      <c r="K259" s="2">
        <v>0.1</v>
      </c>
      <c r="L259" t="s">
        <v>31</v>
      </c>
      <c r="M259" t="s">
        <v>23</v>
      </c>
      <c r="N259" s="1">
        <v>46119</v>
      </c>
      <c r="O259" s="1">
        <v>46118</v>
      </c>
      <c r="P259" s="5">
        <f>Orders[[#This Row],[Quantity]]*Orders[[#This Row],[Unit Price]]</f>
        <v>3499</v>
      </c>
      <c r="Q259" s="5">
        <f>Orders[[#This Row],[Gross Sales]]*Orders[[#This Row],[Discount %]]</f>
        <v>349.90000000000003</v>
      </c>
      <c r="R259" s="5">
        <f>Orders[[#This Row],[Gross Sales]]-Orders[[#This Row],[Discount Amount]]</f>
        <v>3149.1</v>
      </c>
      <c r="S259">
        <f>IF(Orders[[#This Row],[Actual Delivery Date]]="","",Orders[[#This Row],[Actual Delivery Date]]-Orders[[#This Row],[Order Date]])</f>
        <v>6</v>
      </c>
      <c r="T259" t="str">
        <f>IF(Orders[[#This Row],[Actual Delivery Date]]="","Pending",IF(Orders[[#This Row],[Actual Delivery Date]]&lt;=Orders[[#This Row],[Expected Delivery Date]],"On Time","Late"))</f>
        <v>On Time</v>
      </c>
      <c r="U259" t="str">
        <f>TEXT(Orders[[#This Row],[Order Date]],"mmm")</f>
        <v>Mar</v>
      </c>
      <c r="V259" s="8">
        <f>DATE(YEAR(Orders[[#This Row],[Order Date]]),MONTH(Orders[[#This Row],[Order Date]]),1)</f>
        <v>46082</v>
      </c>
      <c r="W259" s="5">
        <f>IF(Orders[[#This Row],[Order Status]]="Cancelled",Orders[[#This Row],[Net Sales]],0)</f>
        <v>0</v>
      </c>
    </row>
    <row r="260" spans="1:23" x14ac:dyDescent="0.3">
      <c r="A260" t="s">
        <v>668</v>
      </c>
      <c r="B260" s="7">
        <v>46336</v>
      </c>
      <c r="C260" t="s">
        <v>315</v>
      </c>
      <c r="D260" t="s">
        <v>669</v>
      </c>
      <c r="E260" t="s">
        <v>18</v>
      </c>
      <c r="F260" t="s">
        <v>95</v>
      </c>
      <c r="G260" t="s">
        <v>91</v>
      </c>
      <c r="H260" t="s">
        <v>30</v>
      </c>
      <c r="I260">
        <v>1</v>
      </c>
      <c r="J260" s="5">
        <v>3299</v>
      </c>
      <c r="K260" s="2">
        <v>0.2</v>
      </c>
      <c r="L260" t="s">
        <v>39</v>
      </c>
      <c r="M260" t="s">
        <v>23</v>
      </c>
      <c r="N260" s="1">
        <v>46339</v>
      </c>
      <c r="O260" s="1">
        <v>46337</v>
      </c>
      <c r="P260" s="5">
        <f>Orders[[#This Row],[Quantity]]*Orders[[#This Row],[Unit Price]]</f>
        <v>3299</v>
      </c>
      <c r="Q260" s="5">
        <f>Orders[[#This Row],[Gross Sales]]*Orders[[#This Row],[Discount %]]</f>
        <v>659.80000000000007</v>
      </c>
      <c r="R260" s="5">
        <f>Orders[[#This Row],[Gross Sales]]-Orders[[#This Row],[Discount Amount]]</f>
        <v>2639.2</v>
      </c>
      <c r="S260">
        <f>IF(Orders[[#This Row],[Actual Delivery Date]]="","",Orders[[#This Row],[Actual Delivery Date]]-Orders[[#This Row],[Order Date]])</f>
        <v>1</v>
      </c>
      <c r="T260" t="str">
        <f>IF(Orders[[#This Row],[Actual Delivery Date]]="","Pending",IF(Orders[[#This Row],[Actual Delivery Date]]&lt;=Orders[[#This Row],[Expected Delivery Date]],"On Time","Late"))</f>
        <v>On Time</v>
      </c>
      <c r="U260" t="str">
        <f>TEXT(Orders[[#This Row],[Order Date]],"mmm")</f>
        <v>Nov</v>
      </c>
      <c r="V260" s="8">
        <f>DATE(YEAR(Orders[[#This Row],[Order Date]]),MONTH(Orders[[#This Row],[Order Date]]),1)</f>
        <v>46327</v>
      </c>
      <c r="W260" s="5">
        <f>IF(Orders[[#This Row],[Order Status]]="Cancelled",Orders[[#This Row],[Net Sales]],0)</f>
        <v>0</v>
      </c>
    </row>
    <row r="261" spans="1:23" x14ac:dyDescent="0.3">
      <c r="A261" t="s">
        <v>670</v>
      </c>
      <c r="B261" s="7">
        <v>46251</v>
      </c>
      <c r="C261" t="s">
        <v>394</v>
      </c>
      <c r="D261" t="s">
        <v>671</v>
      </c>
      <c r="E261" t="s">
        <v>35</v>
      </c>
      <c r="F261" t="s">
        <v>68</v>
      </c>
      <c r="G261" t="s">
        <v>153</v>
      </c>
      <c r="H261" t="s">
        <v>45</v>
      </c>
      <c r="I261">
        <v>1</v>
      </c>
      <c r="J261" s="5">
        <v>1999</v>
      </c>
      <c r="K261" s="2">
        <v>0.05</v>
      </c>
      <c r="L261" t="s">
        <v>31</v>
      </c>
      <c r="M261" t="s">
        <v>59</v>
      </c>
      <c r="N261" s="1">
        <v>46253</v>
      </c>
      <c r="O261" s="1">
        <v>46252</v>
      </c>
      <c r="P261" s="5">
        <f>Orders[[#This Row],[Quantity]]*Orders[[#This Row],[Unit Price]]</f>
        <v>1999</v>
      </c>
      <c r="Q261" s="5">
        <f>Orders[[#This Row],[Gross Sales]]*Orders[[#This Row],[Discount %]]</f>
        <v>99.95</v>
      </c>
      <c r="R261" s="5">
        <f>Orders[[#This Row],[Gross Sales]]-Orders[[#This Row],[Discount Amount]]</f>
        <v>1899.05</v>
      </c>
      <c r="S261">
        <f>IF(Orders[[#This Row],[Actual Delivery Date]]="","",Orders[[#This Row],[Actual Delivery Date]]-Orders[[#This Row],[Order Date]])</f>
        <v>1</v>
      </c>
      <c r="T261" t="str">
        <f>IF(Orders[[#This Row],[Actual Delivery Date]]="","Pending",IF(Orders[[#This Row],[Actual Delivery Date]]&lt;=Orders[[#This Row],[Expected Delivery Date]],"On Time","Late"))</f>
        <v>On Time</v>
      </c>
      <c r="U261" t="str">
        <f>TEXT(Orders[[#This Row],[Order Date]],"mmm")</f>
        <v>Aug</v>
      </c>
      <c r="V261" s="8">
        <f>DATE(YEAR(Orders[[#This Row],[Order Date]]),MONTH(Orders[[#This Row],[Order Date]]),1)</f>
        <v>46235</v>
      </c>
      <c r="W261" s="5">
        <f>IF(Orders[[#This Row],[Order Status]]="Cancelled",Orders[[#This Row],[Net Sales]],0)</f>
        <v>1899.05</v>
      </c>
    </row>
    <row r="262" spans="1:23" x14ac:dyDescent="0.3">
      <c r="A262" t="s">
        <v>672</v>
      </c>
      <c r="B262" s="7">
        <v>46234</v>
      </c>
      <c r="C262" t="s">
        <v>470</v>
      </c>
      <c r="D262" t="s">
        <v>464</v>
      </c>
      <c r="E262" t="s">
        <v>79</v>
      </c>
      <c r="F262" t="s">
        <v>170</v>
      </c>
      <c r="G262" t="s">
        <v>180</v>
      </c>
      <c r="H262" t="s">
        <v>58</v>
      </c>
      <c r="I262">
        <v>2</v>
      </c>
      <c r="J262" s="5">
        <v>599</v>
      </c>
      <c r="K262" s="2">
        <v>0.15</v>
      </c>
      <c r="L262" t="s">
        <v>46</v>
      </c>
      <c r="M262" t="s">
        <v>47</v>
      </c>
      <c r="N262" s="1">
        <v>46239</v>
      </c>
      <c r="O262" s="1"/>
      <c r="P262" s="5">
        <f>Orders[[#This Row],[Quantity]]*Orders[[#This Row],[Unit Price]]</f>
        <v>1198</v>
      </c>
      <c r="Q262" s="5">
        <f>Orders[[#This Row],[Gross Sales]]*Orders[[#This Row],[Discount %]]</f>
        <v>179.7</v>
      </c>
      <c r="R262" s="5">
        <f>Orders[[#This Row],[Gross Sales]]-Orders[[#This Row],[Discount Amount]]</f>
        <v>1018.3</v>
      </c>
      <c r="S262" t="str">
        <f>IF(Orders[[#This Row],[Actual Delivery Date]]="","",Orders[[#This Row],[Actual Delivery Date]]-Orders[[#This Row],[Order Date]])</f>
        <v/>
      </c>
      <c r="T262" t="str">
        <f>IF(Orders[[#This Row],[Actual Delivery Date]]="","Pending",IF(Orders[[#This Row],[Actual Delivery Date]]&lt;=Orders[[#This Row],[Expected Delivery Date]],"On Time","Late"))</f>
        <v>Pending</v>
      </c>
      <c r="U262" t="str">
        <f>TEXT(Orders[[#This Row],[Order Date]],"mmm")</f>
        <v>Jul</v>
      </c>
      <c r="V262" s="8">
        <f>DATE(YEAR(Orders[[#This Row],[Order Date]]),MONTH(Orders[[#This Row],[Order Date]]),1)</f>
        <v>46204</v>
      </c>
      <c r="W262" s="5">
        <f>IF(Orders[[#This Row],[Order Status]]="Cancelled",Orders[[#This Row],[Net Sales]],0)</f>
        <v>0</v>
      </c>
    </row>
    <row r="263" spans="1:23" x14ac:dyDescent="0.3">
      <c r="A263" t="s">
        <v>673</v>
      </c>
      <c r="B263" s="7">
        <v>46040</v>
      </c>
      <c r="C263" t="s">
        <v>137</v>
      </c>
      <c r="D263" t="s">
        <v>586</v>
      </c>
      <c r="E263" t="s">
        <v>27</v>
      </c>
      <c r="F263" t="s">
        <v>56</v>
      </c>
      <c r="G263" t="s">
        <v>147</v>
      </c>
      <c r="H263" t="s">
        <v>58</v>
      </c>
      <c r="I263">
        <v>1</v>
      </c>
      <c r="J263" s="5">
        <v>399</v>
      </c>
      <c r="K263" s="2">
        <v>0.1</v>
      </c>
      <c r="L263" t="s">
        <v>46</v>
      </c>
      <c r="M263" t="s">
        <v>23</v>
      </c>
      <c r="N263" s="1">
        <v>46042</v>
      </c>
      <c r="O263" s="1">
        <v>46042</v>
      </c>
      <c r="P263" s="5">
        <f>Orders[[#This Row],[Quantity]]*Orders[[#This Row],[Unit Price]]</f>
        <v>399</v>
      </c>
      <c r="Q263" s="5">
        <f>Orders[[#This Row],[Gross Sales]]*Orders[[#This Row],[Discount %]]</f>
        <v>39.900000000000006</v>
      </c>
      <c r="R263" s="5">
        <f>Orders[[#This Row],[Gross Sales]]-Orders[[#This Row],[Discount Amount]]</f>
        <v>359.1</v>
      </c>
      <c r="S263">
        <f>IF(Orders[[#This Row],[Actual Delivery Date]]="","",Orders[[#This Row],[Actual Delivery Date]]-Orders[[#This Row],[Order Date]])</f>
        <v>2</v>
      </c>
      <c r="T263" t="str">
        <f>IF(Orders[[#This Row],[Actual Delivery Date]]="","Pending",IF(Orders[[#This Row],[Actual Delivery Date]]&lt;=Orders[[#This Row],[Expected Delivery Date]],"On Time","Late"))</f>
        <v>On Time</v>
      </c>
      <c r="U263" t="str">
        <f>TEXT(Orders[[#This Row],[Order Date]],"mmm")</f>
        <v>Jan</v>
      </c>
      <c r="V263" s="8">
        <f>DATE(YEAR(Orders[[#This Row],[Order Date]]),MONTH(Orders[[#This Row],[Order Date]]),1)</f>
        <v>46023</v>
      </c>
      <c r="W263" s="5">
        <f>IF(Orders[[#This Row],[Order Status]]="Cancelled",Orders[[#This Row],[Net Sales]],0)</f>
        <v>0</v>
      </c>
    </row>
    <row r="264" spans="1:23" x14ac:dyDescent="0.3">
      <c r="A264" t="s">
        <v>674</v>
      </c>
      <c r="B264" s="7">
        <v>46270</v>
      </c>
      <c r="C264" t="s">
        <v>675</v>
      </c>
      <c r="D264" t="s">
        <v>263</v>
      </c>
      <c r="E264" t="s">
        <v>18</v>
      </c>
      <c r="F264" t="s">
        <v>121</v>
      </c>
      <c r="G264" t="s">
        <v>206</v>
      </c>
      <c r="H264" t="s">
        <v>30</v>
      </c>
      <c r="I264">
        <v>2</v>
      </c>
      <c r="J264" s="5">
        <v>1199</v>
      </c>
      <c r="K264" s="2">
        <v>0.15</v>
      </c>
      <c r="L264" t="s">
        <v>31</v>
      </c>
      <c r="M264" t="s">
        <v>47</v>
      </c>
      <c r="N264" s="1">
        <v>46275</v>
      </c>
      <c r="O264" s="1"/>
      <c r="P264" s="5">
        <f>Orders[[#This Row],[Quantity]]*Orders[[#This Row],[Unit Price]]</f>
        <v>2398</v>
      </c>
      <c r="Q264" s="5">
        <f>Orders[[#This Row],[Gross Sales]]*Orders[[#This Row],[Discount %]]</f>
        <v>359.7</v>
      </c>
      <c r="R264" s="5">
        <f>Orders[[#This Row],[Gross Sales]]-Orders[[#This Row],[Discount Amount]]</f>
        <v>2038.3</v>
      </c>
      <c r="S264" t="str">
        <f>IF(Orders[[#This Row],[Actual Delivery Date]]="","",Orders[[#This Row],[Actual Delivery Date]]-Orders[[#This Row],[Order Date]])</f>
        <v/>
      </c>
      <c r="T264" t="str">
        <f>IF(Orders[[#This Row],[Actual Delivery Date]]="","Pending",IF(Orders[[#This Row],[Actual Delivery Date]]&lt;=Orders[[#This Row],[Expected Delivery Date]],"On Time","Late"))</f>
        <v>Pending</v>
      </c>
      <c r="U264" t="str">
        <f>TEXT(Orders[[#This Row],[Order Date]],"mmm")</f>
        <v>Sep</v>
      </c>
      <c r="V264" s="8">
        <f>DATE(YEAR(Orders[[#This Row],[Order Date]]),MONTH(Orders[[#This Row],[Order Date]]),1)</f>
        <v>46266</v>
      </c>
      <c r="W264" s="5">
        <f>IF(Orders[[#This Row],[Order Status]]="Cancelled",Orders[[#This Row],[Net Sales]],0)</f>
        <v>0</v>
      </c>
    </row>
    <row r="265" spans="1:23" x14ac:dyDescent="0.3">
      <c r="A265" t="s">
        <v>676</v>
      </c>
      <c r="B265" s="7">
        <v>46232</v>
      </c>
      <c r="C265" t="s">
        <v>648</v>
      </c>
      <c r="D265" t="s">
        <v>677</v>
      </c>
      <c r="E265" t="s">
        <v>18</v>
      </c>
      <c r="F265" t="s">
        <v>121</v>
      </c>
      <c r="G265" t="s">
        <v>37</v>
      </c>
      <c r="H265" t="s">
        <v>38</v>
      </c>
      <c r="I265">
        <v>2</v>
      </c>
      <c r="J265" s="5">
        <v>699</v>
      </c>
      <c r="K265" s="2">
        <v>0.2</v>
      </c>
      <c r="L265" t="s">
        <v>46</v>
      </c>
      <c r="M265" t="s">
        <v>59</v>
      </c>
      <c r="N265" s="1">
        <v>46236</v>
      </c>
      <c r="O265" s="1">
        <v>46233</v>
      </c>
      <c r="P265" s="5">
        <f>Orders[[#This Row],[Quantity]]*Orders[[#This Row],[Unit Price]]</f>
        <v>1398</v>
      </c>
      <c r="Q265" s="5">
        <f>Orders[[#This Row],[Gross Sales]]*Orders[[#This Row],[Discount %]]</f>
        <v>279.60000000000002</v>
      </c>
      <c r="R265" s="5">
        <f>Orders[[#This Row],[Gross Sales]]-Orders[[#This Row],[Discount Amount]]</f>
        <v>1118.4000000000001</v>
      </c>
      <c r="S265">
        <f>IF(Orders[[#This Row],[Actual Delivery Date]]="","",Orders[[#This Row],[Actual Delivery Date]]-Orders[[#This Row],[Order Date]])</f>
        <v>1</v>
      </c>
      <c r="T265" t="str">
        <f>IF(Orders[[#This Row],[Actual Delivery Date]]="","Pending",IF(Orders[[#This Row],[Actual Delivery Date]]&lt;=Orders[[#This Row],[Expected Delivery Date]],"On Time","Late"))</f>
        <v>On Time</v>
      </c>
      <c r="U265" t="str">
        <f>TEXT(Orders[[#This Row],[Order Date]],"mmm")</f>
        <v>Jul</v>
      </c>
      <c r="V265" s="8">
        <f>DATE(YEAR(Orders[[#This Row],[Order Date]]),MONTH(Orders[[#This Row],[Order Date]]),1)</f>
        <v>46204</v>
      </c>
      <c r="W265" s="5">
        <f>IF(Orders[[#This Row],[Order Status]]="Cancelled",Orders[[#This Row],[Net Sales]],0)</f>
        <v>1118.4000000000001</v>
      </c>
    </row>
    <row r="266" spans="1:23" x14ac:dyDescent="0.3">
      <c r="A266" t="s">
        <v>678</v>
      </c>
      <c r="B266" s="7">
        <v>46024</v>
      </c>
      <c r="C266" t="s">
        <v>435</v>
      </c>
      <c r="D266" t="s">
        <v>234</v>
      </c>
      <c r="E266" t="s">
        <v>79</v>
      </c>
      <c r="F266" t="s">
        <v>108</v>
      </c>
      <c r="G266" t="s">
        <v>153</v>
      </c>
      <c r="H266" t="s">
        <v>45</v>
      </c>
      <c r="I266">
        <v>1</v>
      </c>
      <c r="J266" s="5">
        <v>1999</v>
      </c>
      <c r="K266" s="2">
        <v>0.1</v>
      </c>
      <c r="L266" t="s">
        <v>22</v>
      </c>
      <c r="M266" t="s">
        <v>23</v>
      </c>
      <c r="N266" s="1">
        <v>46027</v>
      </c>
      <c r="O266" s="1">
        <v>46025</v>
      </c>
      <c r="P266" s="5">
        <f>Orders[[#This Row],[Quantity]]*Orders[[#This Row],[Unit Price]]</f>
        <v>1999</v>
      </c>
      <c r="Q266" s="5">
        <f>Orders[[#This Row],[Gross Sales]]*Orders[[#This Row],[Discount %]]</f>
        <v>199.9</v>
      </c>
      <c r="R266" s="5">
        <f>Orders[[#This Row],[Gross Sales]]-Orders[[#This Row],[Discount Amount]]</f>
        <v>1799.1</v>
      </c>
      <c r="S266">
        <f>IF(Orders[[#This Row],[Actual Delivery Date]]="","",Orders[[#This Row],[Actual Delivery Date]]-Orders[[#This Row],[Order Date]])</f>
        <v>1</v>
      </c>
      <c r="T266" t="str">
        <f>IF(Orders[[#This Row],[Actual Delivery Date]]="","Pending",IF(Orders[[#This Row],[Actual Delivery Date]]&lt;=Orders[[#This Row],[Expected Delivery Date]],"On Time","Late"))</f>
        <v>On Time</v>
      </c>
      <c r="U266" t="str">
        <f>TEXT(Orders[[#This Row],[Order Date]],"mmm")</f>
        <v>Jan</v>
      </c>
      <c r="V266" s="8">
        <f>DATE(YEAR(Orders[[#This Row],[Order Date]]),MONTH(Orders[[#This Row],[Order Date]]),1)</f>
        <v>46023</v>
      </c>
      <c r="W266" s="5">
        <f>IF(Orders[[#This Row],[Order Status]]="Cancelled",Orders[[#This Row],[Net Sales]],0)</f>
        <v>0</v>
      </c>
    </row>
    <row r="267" spans="1:23" x14ac:dyDescent="0.3">
      <c r="A267" t="s">
        <v>679</v>
      </c>
      <c r="B267" s="7">
        <v>46226</v>
      </c>
      <c r="C267" t="s">
        <v>276</v>
      </c>
      <c r="D267" t="s">
        <v>680</v>
      </c>
      <c r="E267" t="s">
        <v>18</v>
      </c>
      <c r="F267" t="s">
        <v>43</v>
      </c>
      <c r="G267" t="s">
        <v>153</v>
      </c>
      <c r="H267" t="s">
        <v>45</v>
      </c>
      <c r="I267">
        <v>2</v>
      </c>
      <c r="J267" s="5">
        <v>1999</v>
      </c>
      <c r="K267" s="2">
        <v>0.1</v>
      </c>
      <c r="L267" t="s">
        <v>39</v>
      </c>
      <c r="M267" t="s">
        <v>59</v>
      </c>
      <c r="N267" s="1">
        <v>46232</v>
      </c>
      <c r="O267" s="1">
        <v>46229</v>
      </c>
      <c r="P267" s="5">
        <f>Orders[[#This Row],[Quantity]]*Orders[[#This Row],[Unit Price]]</f>
        <v>3998</v>
      </c>
      <c r="Q267" s="5">
        <f>Orders[[#This Row],[Gross Sales]]*Orders[[#This Row],[Discount %]]</f>
        <v>399.8</v>
      </c>
      <c r="R267" s="5">
        <f>Orders[[#This Row],[Gross Sales]]-Orders[[#This Row],[Discount Amount]]</f>
        <v>3598.2</v>
      </c>
      <c r="S267">
        <f>IF(Orders[[#This Row],[Actual Delivery Date]]="","",Orders[[#This Row],[Actual Delivery Date]]-Orders[[#This Row],[Order Date]])</f>
        <v>3</v>
      </c>
      <c r="T267" t="str">
        <f>IF(Orders[[#This Row],[Actual Delivery Date]]="","Pending",IF(Orders[[#This Row],[Actual Delivery Date]]&lt;=Orders[[#This Row],[Expected Delivery Date]],"On Time","Late"))</f>
        <v>On Time</v>
      </c>
      <c r="U267" t="str">
        <f>TEXT(Orders[[#This Row],[Order Date]],"mmm")</f>
        <v>Jul</v>
      </c>
      <c r="V267" s="8">
        <f>DATE(YEAR(Orders[[#This Row],[Order Date]]),MONTH(Orders[[#This Row],[Order Date]]),1)</f>
        <v>46204</v>
      </c>
      <c r="W267" s="5">
        <f>IF(Orders[[#This Row],[Order Status]]="Cancelled",Orders[[#This Row],[Net Sales]],0)</f>
        <v>3598.2</v>
      </c>
    </row>
    <row r="268" spans="1:23" x14ac:dyDescent="0.3">
      <c r="A268" t="s">
        <v>681</v>
      </c>
      <c r="B268" s="7">
        <v>46248</v>
      </c>
      <c r="C268" t="s">
        <v>602</v>
      </c>
      <c r="D268" t="s">
        <v>682</v>
      </c>
      <c r="E268" t="s">
        <v>27</v>
      </c>
      <c r="F268" t="s">
        <v>74</v>
      </c>
      <c r="G268" t="s">
        <v>153</v>
      </c>
      <c r="H268" t="s">
        <v>45</v>
      </c>
      <c r="I268">
        <v>2</v>
      </c>
      <c r="J268" s="5">
        <v>1999</v>
      </c>
      <c r="K268" s="2">
        <v>0.05</v>
      </c>
      <c r="L268" t="s">
        <v>46</v>
      </c>
      <c r="M268" t="s">
        <v>47</v>
      </c>
      <c r="N268" s="1">
        <v>46250</v>
      </c>
      <c r="O268" s="1"/>
      <c r="P268" s="5">
        <f>Orders[[#This Row],[Quantity]]*Orders[[#This Row],[Unit Price]]</f>
        <v>3998</v>
      </c>
      <c r="Q268" s="5">
        <f>Orders[[#This Row],[Gross Sales]]*Orders[[#This Row],[Discount %]]</f>
        <v>199.9</v>
      </c>
      <c r="R268" s="5">
        <f>Orders[[#This Row],[Gross Sales]]-Orders[[#This Row],[Discount Amount]]</f>
        <v>3798.1</v>
      </c>
      <c r="S268" t="str">
        <f>IF(Orders[[#This Row],[Actual Delivery Date]]="","",Orders[[#This Row],[Actual Delivery Date]]-Orders[[#This Row],[Order Date]])</f>
        <v/>
      </c>
      <c r="T268" t="str">
        <f>IF(Orders[[#This Row],[Actual Delivery Date]]="","Pending",IF(Orders[[#This Row],[Actual Delivery Date]]&lt;=Orders[[#This Row],[Expected Delivery Date]],"On Time","Late"))</f>
        <v>Pending</v>
      </c>
      <c r="U268" t="str">
        <f>TEXT(Orders[[#This Row],[Order Date]],"mmm")</f>
        <v>Aug</v>
      </c>
      <c r="V268" s="8">
        <f>DATE(YEAR(Orders[[#This Row],[Order Date]]),MONTH(Orders[[#This Row],[Order Date]]),1)</f>
        <v>46235</v>
      </c>
      <c r="W268" s="5">
        <f>IF(Orders[[#This Row],[Order Status]]="Cancelled",Orders[[#This Row],[Net Sales]],0)</f>
        <v>0</v>
      </c>
    </row>
    <row r="269" spans="1:23" x14ac:dyDescent="0.3">
      <c r="A269" t="s">
        <v>683</v>
      </c>
      <c r="B269" s="7">
        <v>46324</v>
      </c>
      <c r="C269" t="s">
        <v>684</v>
      </c>
      <c r="D269" t="s">
        <v>473</v>
      </c>
      <c r="E269" t="s">
        <v>18</v>
      </c>
      <c r="F269" t="s">
        <v>121</v>
      </c>
      <c r="G269" t="s">
        <v>100</v>
      </c>
      <c r="H269" t="s">
        <v>30</v>
      </c>
      <c r="I269">
        <v>1</v>
      </c>
      <c r="J269" s="5">
        <v>2499</v>
      </c>
      <c r="K269" s="2">
        <v>0</v>
      </c>
      <c r="L269" t="s">
        <v>70</v>
      </c>
      <c r="M269" t="s">
        <v>82</v>
      </c>
      <c r="N269" s="1">
        <v>46330</v>
      </c>
      <c r="O269" s="1">
        <v>46329</v>
      </c>
      <c r="P269" s="5">
        <f>Orders[[#This Row],[Quantity]]*Orders[[#This Row],[Unit Price]]</f>
        <v>2499</v>
      </c>
      <c r="Q269" s="5">
        <f>Orders[[#This Row],[Gross Sales]]*Orders[[#This Row],[Discount %]]</f>
        <v>0</v>
      </c>
      <c r="R269" s="5">
        <f>Orders[[#This Row],[Gross Sales]]-Orders[[#This Row],[Discount Amount]]</f>
        <v>2499</v>
      </c>
      <c r="S269">
        <f>IF(Orders[[#This Row],[Actual Delivery Date]]="","",Orders[[#This Row],[Actual Delivery Date]]-Orders[[#This Row],[Order Date]])</f>
        <v>5</v>
      </c>
      <c r="T269" t="str">
        <f>IF(Orders[[#This Row],[Actual Delivery Date]]="","Pending",IF(Orders[[#This Row],[Actual Delivery Date]]&lt;=Orders[[#This Row],[Expected Delivery Date]],"On Time","Late"))</f>
        <v>On Time</v>
      </c>
      <c r="U269" t="str">
        <f>TEXT(Orders[[#This Row],[Order Date]],"mmm")</f>
        <v>Oct</v>
      </c>
      <c r="V269" s="8">
        <f>DATE(YEAR(Orders[[#This Row],[Order Date]]),MONTH(Orders[[#This Row],[Order Date]]),1)</f>
        <v>46296</v>
      </c>
      <c r="W269" s="5">
        <f>IF(Orders[[#This Row],[Order Status]]="Cancelled",Orders[[#This Row],[Net Sales]],0)</f>
        <v>0</v>
      </c>
    </row>
    <row r="270" spans="1:23" x14ac:dyDescent="0.3">
      <c r="A270" t="s">
        <v>685</v>
      </c>
      <c r="B270" s="7">
        <v>46225</v>
      </c>
      <c r="C270" t="s">
        <v>686</v>
      </c>
      <c r="D270" t="s">
        <v>687</v>
      </c>
      <c r="E270" t="s">
        <v>27</v>
      </c>
      <c r="F270" t="s">
        <v>74</v>
      </c>
      <c r="G270" t="s">
        <v>64</v>
      </c>
      <c r="H270" t="s">
        <v>21</v>
      </c>
      <c r="I270">
        <v>4</v>
      </c>
      <c r="J270" s="5">
        <v>699</v>
      </c>
      <c r="K270" s="2">
        <v>0</v>
      </c>
      <c r="L270" t="s">
        <v>22</v>
      </c>
      <c r="M270" t="s">
        <v>47</v>
      </c>
      <c r="N270" s="1">
        <v>46231</v>
      </c>
      <c r="O270" s="1"/>
      <c r="P270" s="5">
        <f>Orders[[#This Row],[Quantity]]*Orders[[#This Row],[Unit Price]]</f>
        <v>2796</v>
      </c>
      <c r="Q270" s="5">
        <f>Orders[[#This Row],[Gross Sales]]*Orders[[#This Row],[Discount %]]</f>
        <v>0</v>
      </c>
      <c r="R270" s="5">
        <f>Orders[[#This Row],[Gross Sales]]-Orders[[#This Row],[Discount Amount]]</f>
        <v>2796</v>
      </c>
      <c r="S270" t="str">
        <f>IF(Orders[[#This Row],[Actual Delivery Date]]="","",Orders[[#This Row],[Actual Delivery Date]]-Orders[[#This Row],[Order Date]])</f>
        <v/>
      </c>
      <c r="T270" t="str">
        <f>IF(Orders[[#This Row],[Actual Delivery Date]]="","Pending",IF(Orders[[#This Row],[Actual Delivery Date]]&lt;=Orders[[#This Row],[Expected Delivery Date]],"On Time","Late"))</f>
        <v>Pending</v>
      </c>
      <c r="U270" t="str">
        <f>TEXT(Orders[[#This Row],[Order Date]],"mmm")</f>
        <v>Jul</v>
      </c>
      <c r="V270" s="8">
        <f>DATE(YEAR(Orders[[#This Row],[Order Date]]),MONTH(Orders[[#This Row],[Order Date]]),1)</f>
        <v>46204</v>
      </c>
      <c r="W270" s="5">
        <f>IF(Orders[[#This Row],[Order Status]]="Cancelled",Orders[[#This Row],[Net Sales]],0)</f>
        <v>0</v>
      </c>
    </row>
    <row r="271" spans="1:23" x14ac:dyDescent="0.3">
      <c r="A271" t="s">
        <v>688</v>
      </c>
      <c r="B271" s="7">
        <v>46131</v>
      </c>
      <c r="C271" t="s">
        <v>593</v>
      </c>
      <c r="D271" t="s">
        <v>687</v>
      </c>
      <c r="E271" t="s">
        <v>18</v>
      </c>
      <c r="F271" t="s">
        <v>43</v>
      </c>
      <c r="G271" t="s">
        <v>37</v>
      </c>
      <c r="H271" t="s">
        <v>38</v>
      </c>
      <c r="I271">
        <v>3</v>
      </c>
      <c r="J271" s="5">
        <v>699</v>
      </c>
      <c r="K271" s="2">
        <v>0.05</v>
      </c>
      <c r="L271" t="s">
        <v>39</v>
      </c>
      <c r="M271" t="s">
        <v>23</v>
      </c>
      <c r="N271" s="1">
        <v>46133</v>
      </c>
      <c r="O271" s="1">
        <v>46137</v>
      </c>
      <c r="P271" s="5">
        <f>Orders[[#This Row],[Quantity]]*Orders[[#This Row],[Unit Price]]</f>
        <v>2097</v>
      </c>
      <c r="Q271" s="5">
        <f>Orders[[#This Row],[Gross Sales]]*Orders[[#This Row],[Discount %]]</f>
        <v>104.85000000000001</v>
      </c>
      <c r="R271" s="5">
        <f>Orders[[#This Row],[Gross Sales]]-Orders[[#This Row],[Discount Amount]]</f>
        <v>1992.15</v>
      </c>
      <c r="S271">
        <f>IF(Orders[[#This Row],[Actual Delivery Date]]="","",Orders[[#This Row],[Actual Delivery Date]]-Orders[[#This Row],[Order Date]])</f>
        <v>6</v>
      </c>
      <c r="T271" t="str">
        <f>IF(Orders[[#This Row],[Actual Delivery Date]]="","Pending",IF(Orders[[#This Row],[Actual Delivery Date]]&lt;=Orders[[#This Row],[Expected Delivery Date]],"On Time","Late"))</f>
        <v>Late</v>
      </c>
      <c r="U271" t="str">
        <f>TEXT(Orders[[#This Row],[Order Date]],"mmm")</f>
        <v>Apr</v>
      </c>
      <c r="V271" s="8">
        <f>DATE(YEAR(Orders[[#This Row],[Order Date]]),MONTH(Orders[[#This Row],[Order Date]]),1)</f>
        <v>46113</v>
      </c>
      <c r="W271" s="5">
        <f>IF(Orders[[#This Row],[Order Status]]="Cancelled",Orders[[#This Row],[Net Sales]],0)</f>
        <v>0</v>
      </c>
    </row>
    <row r="272" spans="1:23" x14ac:dyDescent="0.3">
      <c r="A272" t="s">
        <v>689</v>
      </c>
      <c r="B272" s="7">
        <v>46221</v>
      </c>
      <c r="C272" t="s">
        <v>123</v>
      </c>
      <c r="D272" t="s">
        <v>690</v>
      </c>
      <c r="E272" t="s">
        <v>35</v>
      </c>
      <c r="F272" t="s">
        <v>36</v>
      </c>
      <c r="G272" t="s">
        <v>75</v>
      </c>
      <c r="H272" t="s">
        <v>45</v>
      </c>
      <c r="I272">
        <v>2</v>
      </c>
      <c r="J272" s="5">
        <v>799</v>
      </c>
      <c r="K272" s="2">
        <v>0.2</v>
      </c>
      <c r="L272" t="s">
        <v>46</v>
      </c>
      <c r="M272" t="s">
        <v>82</v>
      </c>
      <c r="N272" s="1">
        <v>46225</v>
      </c>
      <c r="O272" s="1">
        <v>46222</v>
      </c>
      <c r="P272" s="5">
        <f>Orders[[#This Row],[Quantity]]*Orders[[#This Row],[Unit Price]]</f>
        <v>1598</v>
      </c>
      <c r="Q272" s="5">
        <f>Orders[[#This Row],[Gross Sales]]*Orders[[#This Row],[Discount %]]</f>
        <v>319.60000000000002</v>
      </c>
      <c r="R272" s="5">
        <f>Orders[[#This Row],[Gross Sales]]-Orders[[#This Row],[Discount Amount]]</f>
        <v>1278.4000000000001</v>
      </c>
      <c r="S272">
        <f>IF(Orders[[#This Row],[Actual Delivery Date]]="","",Orders[[#This Row],[Actual Delivery Date]]-Orders[[#This Row],[Order Date]])</f>
        <v>1</v>
      </c>
      <c r="T272" t="str">
        <f>IF(Orders[[#This Row],[Actual Delivery Date]]="","Pending",IF(Orders[[#This Row],[Actual Delivery Date]]&lt;=Orders[[#This Row],[Expected Delivery Date]],"On Time","Late"))</f>
        <v>On Time</v>
      </c>
      <c r="U272" t="str">
        <f>TEXT(Orders[[#This Row],[Order Date]],"mmm")</f>
        <v>Jul</v>
      </c>
      <c r="V272" s="8">
        <f>DATE(YEAR(Orders[[#This Row],[Order Date]]),MONTH(Orders[[#This Row],[Order Date]]),1)</f>
        <v>46204</v>
      </c>
      <c r="W272" s="5">
        <f>IF(Orders[[#This Row],[Order Status]]="Cancelled",Orders[[#This Row],[Net Sales]],0)</f>
        <v>0</v>
      </c>
    </row>
    <row r="273" spans="1:23" x14ac:dyDescent="0.3">
      <c r="A273" t="s">
        <v>691</v>
      </c>
      <c r="B273" s="7">
        <v>46313</v>
      </c>
      <c r="C273" t="s">
        <v>419</v>
      </c>
      <c r="D273" t="s">
        <v>34</v>
      </c>
      <c r="E273" t="s">
        <v>18</v>
      </c>
      <c r="F273" t="s">
        <v>43</v>
      </c>
      <c r="G273" t="s">
        <v>37</v>
      </c>
      <c r="H273" t="s">
        <v>38</v>
      </c>
      <c r="I273">
        <v>2</v>
      </c>
      <c r="J273" s="5">
        <v>699</v>
      </c>
      <c r="K273" s="2">
        <v>0</v>
      </c>
      <c r="L273" t="s">
        <v>39</v>
      </c>
      <c r="M273" t="s">
        <v>47</v>
      </c>
      <c r="N273" s="1">
        <v>46315</v>
      </c>
      <c r="O273" s="1"/>
      <c r="P273" s="5">
        <f>Orders[[#This Row],[Quantity]]*Orders[[#This Row],[Unit Price]]</f>
        <v>1398</v>
      </c>
      <c r="Q273" s="5">
        <f>Orders[[#This Row],[Gross Sales]]*Orders[[#This Row],[Discount %]]</f>
        <v>0</v>
      </c>
      <c r="R273" s="5">
        <f>Orders[[#This Row],[Gross Sales]]-Orders[[#This Row],[Discount Amount]]</f>
        <v>1398</v>
      </c>
      <c r="S273" t="str">
        <f>IF(Orders[[#This Row],[Actual Delivery Date]]="","",Orders[[#This Row],[Actual Delivery Date]]-Orders[[#This Row],[Order Date]])</f>
        <v/>
      </c>
      <c r="T273" t="str">
        <f>IF(Orders[[#This Row],[Actual Delivery Date]]="","Pending",IF(Orders[[#This Row],[Actual Delivery Date]]&lt;=Orders[[#This Row],[Expected Delivery Date]],"On Time","Late"))</f>
        <v>Pending</v>
      </c>
      <c r="U273" t="str">
        <f>TEXT(Orders[[#This Row],[Order Date]],"mmm")</f>
        <v>Oct</v>
      </c>
      <c r="V273" s="8">
        <f>DATE(YEAR(Orders[[#This Row],[Order Date]]),MONTH(Orders[[#This Row],[Order Date]]),1)</f>
        <v>46296</v>
      </c>
      <c r="W273" s="5">
        <f>IF(Orders[[#This Row],[Order Status]]="Cancelled",Orders[[#This Row],[Net Sales]],0)</f>
        <v>0</v>
      </c>
    </row>
    <row r="274" spans="1:23" x14ac:dyDescent="0.3">
      <c r="A274" t="s">
        <v>692</v>
      </c>
      <c r="B274" s="7">
        <v>46358</v>
      </c>
      <c r="C274" t="s">
        <v>259</v>
      </c>
      <c r="D274" t="s">
        <v>693</v>
      </c>
      <c r="E274" t="s">
        <v>35</v>
      </c>
      <c r="F274" t="s">
        <v>63</v>
      </c>
      <c r="G274" t="s">
        <v>218</v>
      </c>
      <c r="H274" t="s">
        <v>21</v>
      </c>
      <c r="I274">
        <v>2</v>
      </c>
      <c r="J274" s="5">
        <v>2999</v>
      </c>
      <c r="K274" s="2">
        <v>0.2</v>
      </c>
      <c r="L274" t="s">
        <v>70</v>
      </c>
      <c r="M274" t="s">
        <v>23</v>
      </c>
      <c r="N274" s="1">
        <v>46361</v>
      </c>
      <c r="O274" s="1">
        <v>46359</v>
      </c>
      <c r="P274" s="5">
        <f>Orders[[#This Row],[Quantity]]*Orders[[#This Row],[Unit Price]]</f>
        <v>5998</v>
      </c>
      <c r="Q274" s="5">
        <f>Orders[[#This Row],[Gross Sales]]*Orders[[#This Row],[Discount %]]</f>
        <v>1199.6000000000001</v>
      </c>
      <c r="R274" s="5">
        <f>Orders[[#This Row],[Gross Sales]]-Orders[[#This Row],[Discount Amount]]</f>
        <v>4798.3999999999996</v>
      </c>
      <c r="S274">
        <f>IF(Orders[[#This Row],[Actual Delivery Date]]="","",Orders[[#This Row],[Actual Delivery Date]]-Orders[[#This Row],[Order Date]])</f>
        <v>1</v>
      </c>
      <c r="T274" t="str">
        <f>IF(Orders[[#This Row],[Actual Delivery Date]]="","Pending",IF(Orders[[#This Row],[Actual Delivery Date]]&lt;=Orders[[#This Row],[Expected Delivery Date]],"On Time","Late"))</f>
        <v>On Time</v>
      </c>
      <c r="U274" t="str">
        <f>TEXT(Orders[[#This Row],[Order Date]],"mmm")</f>
        <v>Dec</v>
      </c>
      <c r="V274" s="8">
        <f>DATE(YEAR(Orders[[#This Row],[Order Date]]),MONTH(Orders[[#This Row],[Order Date]]),1)</f>
        <v>46357</v>
      </c>
      <c r="W274" s="5">
        <f>IF(Orders[[#This Row],[Order Status]]="Cancelled",Orders[[#This Row],[Net Sales]],0)</f>
        <v>0</v>
      </c>
    </row>
    <row r="275" spans="1:23" x14ac:dyDescent="0.3">
      <c r="A275" t="s">
        <v>694</v>
      </c>
      <c r="B275" s="7">
        <v>46266</v>
      </c>
      <c r="C275" t="s">
        <v>106</v>
      </c>
      <c r="D275" t="s">
        <v>695</v>
      </c>
      <c r="E275" t="s">
        <v>79</v>
      </c>
      <c r="F275" t="s">
        <v>80</v>
      </c>
      <c r="G275" t="s">
        <v>104</v>
      </c>
      <c r="H275" t="s">
        <v>38</v>
      </c>
      <c r="I275">
        <v>4</v>
      </c>
      <c r="J275" s="5">
        <v>999</v>
      </c>
      <c r="K275" s="2">
        <v>0.1</v>
      </c>
      <c r="L275" t="s">
        <v>39</v>
      </c>
      <c r="M275" t="s">
        <v>23</v>
      </c>
      <c r="N275" s="1">
        <v>46270</v>
      </c>
      <c r="O275" s="1">
        <v>46270</v>
      </c>
      <c r="P275" s="5">
        <f>Orders[[#This Row],[Quantity]]*Orders[[#This Row],[Unit Price]]</f>
        <v>3996</v>
      </c>
      <c r="Q275" s="5">
        <f>Orders[[#This Row],[Gross Sales]]*Orders[[#This Row],[Discount %]]</f>
        <v>399.6</v>
      </c>
      <c r="R275" s="5">
        <f>Orders[[#This Row],[Gross Sales]]-Orders[[#This Row],[Discount Amount]]</f>
        <v>3596.4</v>
      </c>
      <c r="S275">
        <f>IF(Orders[[#This Row],[Actual Delivery Date]]="","",Orders[[#This Row],[Actual Delivery Date]]-Orders[[#This Row],[Order Date]])</f>
        <v>4</v>
      </c>
      <c r="T275" t="str">
        <f>IF(Orders[[#This Row],[Actual Delivery Date]]="","Pending",IF(Orders[[#This Row],[Actual Delivery Date]]&lt;=Orders[[#This Row],[Expected Delivery Date]],"On Time","Late"))</f>
        <v>On Time</v>
      </c>
      <c r="U275" t="str">
        <f>TEXT(Orders[[#This Row],[Order Date]],"mmm")</f>
        <v>Sep</v>
      </c>
      <c r="V275" s="8">
        <f>DATE(YEAR(Orders[[#This Row],[Order Date]]),MONTH(Orders[[#This Row],[Order Date]]),1)</f>
        <v>46266</v>
      </c>
      <c r="W275" s="5">
        <f>IF(Orders[[#This Row],[Order Status]]="Cancelled",Orders[[#This Row],[Net Sales]],0)</f>
        <v>0</v>
      </c>
    </row>
    <row r="276" spans="1:23" x14ac:dyDescent="0.3">
      <c r="A276" t="s">
        <v>696</v>
      </c>
      <c r="B276" s="7">
        <v>46160</v>
      </c>
      <c r="C276" t="s">
        <v>590</v>
      </c>
      <c r="D276" t="s">
        <v>382</v>
      </c>
      <c r="E276" t="s">
        <v>27</v>
      </c>
      <c r="F276" t="s">
        <v>51</v>
      </c>
      <c r="G276" t="s">
        <v>118</v>
      </c>
      <c r="H276" t="s">
        <v>58</v>
      </c>
      <c r="I276">
        <v>2</v>
      </c>
      <c r="J276" s="5">
        <v>749</v>
      </c>
      <c r="K276" s="2">
        <v>0.2</v>
      </c>
      <c r="L276" t="s">
        <v>39</v>
      </c>
      <c r="M276" t="s">
        <v>23</v>
      </c>
      <c r="N276" s="1">
        <v>46165</v>
      </c>
      <c r="O276" s="1">
        <v>46164</v>
      </c>
      <c r="P276" s="5">
        <f>Orders[[#This Row],[Quantity]]*Orders[[#This Row],[Unit Price]]</f>
        <v>1498</v>
      </c>
      <c r="Q276" s="5">
        <f>Orders[[#This Row],[Gross Sales]]*Orders[[#This Row],[Discount %]]</f>
        <v>299.60000000000002</v>
      </c>
      <c r="R276" s="5">
        <f>Orders[[#This Row],[Gross Sales]]-Orders[[#This Row],[Discount Amount]]</f>
        <v>1198.4000000000001</v>
      </c>
      <c r="S276">
        <f>IF(Orders[[#This Row],[Actual Delivery Date]]="","",Orders[[#This Row],[Actual Delivery Date]]-Orders[[#This Row],[Order Date]])</f>
        <v>4</v>
      </c>
      <c r="T276" t="str">
        <f>IF(Orders[[#This Row],[Actual Delivery Date]]="","Pending",IF(Orders[[#This Row],[Actual Delivery Date]]&lt;=Orders[[#This Row],[Expected Delivery Date]],"On Time","Late"))</f>
        <v>On Time</v>
      </c>
      <c r="U276" t="str">
        <f>TEXT(Orders[[#This Row],[Order Date]],"mmm")</f>
        <v>May</v>
      </c>
      <c r="V276" s="8">
        <f>DATE(YEAR(Orders[[#This Row],[Order Date]]),MONTH(Orders[[#This Row],[Order Date]]),1)</f>
        <v>46143</v>
      </c>
      <c r="W276" s="5">
        <f>IF(Orders[[#This Row],[Order Status]]="Cancelled",Orders[[#This Row],[Net Sales]],0)</f>
        <v>0</v>
      </c>
    </row>
    <row r="277" spans="1:23" x14ac:dyDescent="0.3">
      <c r="A277" t="s">
        <v>697</v>
      </c>
      <c r="B277" s="7">
        <v>46056</v>
      </c>
      <c r="C277" t="s">
        <v>698</v>
      </c>
      <c r="D277" t="s">
        <v>476</v>
      </c>
      <c r="E277" t="s">
        <v>35</v>
      </c>
      <c r="F277" t="s">
        <v>135</v>
      </c>
      <c r="G277" t="s">
        <v>29</v>
      </c>
      <c r="H277" t="s">
        <v>30</v>
      </c>
      <c r="I277">
        <v>1</v>
      </c>
      <c r="J277" s="5">
        <v>599</v>
      </c>
      <c r="K277" s="2">
        <v>0.2</v>
      </c>
      <c r="L277" t="s">
        <v>70</v>
      </c>
      <c r="M277" t="s">
        <v>23</v>
      </c>
      <c r="N277" s="1">
        <v>46062</v>
      </c>
      <c r="O277" s="1">
        <v>46057</v>
      </c>
      <c r="P277" s="5">
        <f>Orders[[#This Row],[Quantity]]*Orders[[#This Row],[Unit Price]]</f>
        <v>599</v>
      </c>
      <c r="Q277" s="5">
        <f>Orders[[#This Row],[Gross Sales]]*Orders[[#This Row],[Discount %]]</f>
        <v>119.80000000000001</v>
      </c>
      <c r="R277" s="5">
        <f>Orders[[#This Row],[Gross Sales]]-Orders[[#This Row],[Discount Amount]]</f>
        <v>479.2</v>
      </c>
      <c r="S277">
        <f>IF(Orders[[#This Row],[Actual Delivery Date]]="","",Orders[[#This Row],[Actual Delivery Date]]-Orders[[#This Row],[Order Date]])</f>
        <v>1</v>
      </c>
      <c r="T277" t="str">
        <f>IF(Orders[[#This Row],[Actual Delivery Date]]="","Pending",IF(Orders[[#This Row],[Actual Delivery Date]]&lt;=Orders[[#This Row],[Expected Delivery Date]],"On Time","Late"))</f>
        <v>On Time</v>
      </c>
      <c r="U277" t="str">
        <f>TEXT(Orders[[#This Row],[Order Date]],"mmm")</f>
        <v>Feb</v>
      </c>
      <c r="V277" s="8">
        <f>DATE(YEAR(Orders[[#This Row],[Order Date]]),MONTH(Orders[[#This Row],[Order Date]]),1)</f>
        <v>46054</v>
      </c>
      <c r="W277" s="5">
        <f>IF(Orders[[#This Row],[Order Status]]="Cancelled",Orders[[#This Row],[Net Sales]],0)</f>
        <v>0</v>
      </c>
    </row>
    <row r="278" spans="1:23" x14ac:dyDescent="0.3">
      <c r="A278" t="s">
        <v>699</v>
      </c>
      <c r="B278" s="7">
        <v>46256</v>
      </c>
      <c r="C278" t="s">
        <v>700</v>
      </c>
      <c r="D278" t="s">
        <v>200</v>
      </c>
      <c r="E278" t="s">
        <v>27</v>
      </c>
      <c r="F278" t="s">
        <v>28</v>
      </c>
      <c r="G278" t="s">
        <v>104</v>
      </c>
      <c r="H278" t="s">
        <v>38</v>
      </c>
      <c r="I278">
        <v>1</v>
      </c>
      <c r="J278" s="5">
        <v>999</v>
      </c>
      <c r="K278" s="2">
        <v>0.1</v>
      </c>
      <c r="L278" t="s">
        <v>31</v>
      </c>
      <c r="M278" t="s">
        <v>23</v>
      </c>
      <c r="N278" s="1">
        <v>46260</v>
      </c>
      <c r="O278" s="1">
        <v>46260</v>
      </c>
      <c r="P278" s="5">
        <f>Orders[[#This Row],[Quantity]]*Orders[[#This Row],[Unit Price]]</f>
        <v>999</v>
      </c>
      <c r="Q278" s="5">
        <f>Orders[[#This Row],[Gross Sales]]*Orders[[#This Row],[Discount %]]</f>
        <v>99.9</v>
      </c>
      <c r="R278" s="5">
        <f>Orders[[#This Row],[Gross Sales]]-Orders[[#This Row],[Discount Amount]]</f>
        <v>899.1</v>
      </c>
      <c r="S278">
        <f>IF(Orders[[#This Row],[Actual Delivery Date]]="","",Orders[[#This Row],[Actual Delivery Date]]-Orders[[#This Row],[Order Date]])</f>
        <v>4</v>
      </c>
      <c r="T278" t="str">
        <f>IF(Orders[[#This Row],[Actual Delivery Date]]="","Pending",IF(Orders[[#This Row],[Actual Delivery Date]]&lt;=Orders[[#This Row],[Expected Delivery Date]],"On Time","Late"))</f>
        <v>On Time</v>
      </c>
      <c r="U278" t="str">
        <f>TEXT(Orders[[#This Row],[Order Date]],"mmm")</f>
        <v>Aug</v>
      </c>
      <c r="V278" s="8">
        <f>DATE(YEAR(Orders[[#This Row],[Order Date]]),MONTH(Orders[[#This Row],[Order Date]]),1)</f>
        <v>46235</v>
      </c>
      <c r="W278" s="5">
        <f>IF(Orders[[#This Row],[Order Status]]="Cancelled",Orders[[#This Row],[Net Sales]],0)</f>
        <v>0</v>
      </c>
    </row>
    <row r="279" spans="1:23" x14ac:dyDescent="0.3">
      <c r="A279" t="s">
        <v>701</v>
      </c>
      <c r="B279" s="7">
        <v>46251</v>
      </c>
      <c r="C279" t="s">
        <v>273</v>
      </c>
      <c r="D279" t="s">
        <v>702</v>
      </c>
      <c r="E279" t="s">
        <v>27</v>
      </c>
      <c r="F279" t="s">
        <v>51</v>
      </c>
      <c r="G279" t="s">
        <v>228</v>
      </c>
      <c r="H279" t="s">
        <v>58</v>
      </c>
      <c r="I279">
        <v>1</v>
      </c>
      <c r="J279" s="5">
        <v>1499</v>
      </c>
      <c r="K279" s="2">
        <v>0.15</v>
      </c>
      <c r="L279" t="s">
        <v>22</v>
      </c>
      <c r="M279" t="s">
        <v>47</v>
      </c>
      <c r="N279" s="1">
        <v>46255</v>
      </c>
      <c r="O279" s="1"/>
      <c r="P279" s="5">
        <f>Orders[[#This Row],[Quantity]]*Orders[[#This Row],[Unit Price]]</f>
        <v>1499</v>
      </c>
      <c r="Q279" s="5">
        <f>Orders[[#This Row],[Gross Sales]]*Orders[[#This Row],[Discount %]]</f>
        <v>224.85</v>
      </c>
      <c r="R279" s="5">
        <f>Orders[[#This Row],[Gross Sales]]-Orders[[#This Row],[Discount Amount]]</f>
        <v>1274.1500000000001</v>
      </c>
      <c r="S279" t="str">
        <f>IF(Orders[[#This Row],[Actual Delivery Date]]="","",Orders[[#This Row],[Actual Delivery Date]]-Orders[[#This Row],[Order Date]])</f>
        <v/>
      </c>
      <c r="T279" t="str">
        <f>IF(Orders[[#This Row],[Actual Delivery Date]]="","Pending",IF(Orders[[#This Row],[Actual Delivery Date]]&lt;=Orders[[#This Row],[Expected Delivery Date]],"On Time","Late"))</f>
        <v>Pending</v>
      </c>
      <c r="U279" t="str">
        <f>TEXT(Orders[[#This Row],[Order Date]],"mmm")</f>
        <v>Aug</v>
      </c>
      <c r="V279" s="8">
        <f>DATE(YEAR(Orders[[#This Row],[Order Date]]),MONTH(Orders[[#This Row],[Order Date]]),1)</f>
        <v>46235</v>
      </c>
      <c r="W279" s="5">
        <f>IF(Orders[[#This Row],[Order Status]]="Cancelled",Orders[[#This Row],[Net Sales]],0)</f>
        <v>0</v>
      </c>
    </row>
    <row r="280" spans="1:23" x14ac:dyDescent="0.3">
      <c r="A280" t="s">
        <v>703</v>
      </c>
      <c r="B280" s="7">
        <v>46220</v>
      </c>
      <c r="C280" t="s">
        <v>704</v>
      </c>
      <c r="D280" t="s">
        <v>620</v>
      </c>
      <c r="E280" t="s">
        <v>35</v>
      </c>
      <c r="F280" t="s">
        <v>135</v>
      </c>
      <c r="G280" t="s">
        <v>64</v>
      </c>
      <c r="H280" t="s">
        <v>21</v>
      </c>
      <c r="I280">
        <v>1</v>
      </c>
      <c r="J280" s="5">
        <v>699</v>
      </c>
      <c r="K280" s="2">
        <v>0.2</v>
      </c>
      <c r="L280" t="s">
        <v>31</v>
      </c>
      <c r="M280" t="s">
        <v>82</v>
      </c>
      <c r="N280" s="1">
        <v>46223</v>
      </c>
      <c r="O280" s="1">
        <v>46223</v>
      </c>
      <c r="P280" s="5">
        <f>Orders[[#This Row],[Quantity]]*Orders[[#This Row],[Unit Price]]</f>
        <v>699</v>
      </c>
      <c r="Q280" s="5">
        <f>Orders[[#This Row],[Gross Sales]]*Orders[[#This Row],[Discount %]]</f>
        <v>139.80000000000001</v>
      </c>
      <c r="R280" s="5">
        <f>Orders[[#This Row],[Gross Sales]]-Orders[[#This Row],[Discount Amount]]</f>
        <v>559.20000000000005</v>
      </c>
      <c r="S280">
        <f>IF(Orders[[#This Row],[Actual Delivery Date]]="","",Orders[[#This Row],[Actual Delivery Date]]-Orders[[#This Row],[Order Date]])</f>
        <v>3</v>
      </c>
      <c r="T280" t="str">
        <f>IF(Orders[[#This Row],[Actual Delivery Date]]="","Pending",IF(Orders[[#This Row],[Actual Delivery Date]]&lt;=Orders[[#This Row],[Expected Delivery Date]],"On Time","Late"))</f>
        <v>On Time</v>
      </c>
      <c r="U280" t="str">
        <f>TEXT(Orders[[#This Row],[Order Date]],"mmm")</f>
        <v>Jul</v>
      </c>
      <c r="V280" s="8">
        <f>DATE(YEAR(Orders[[#This Row],[Order Date]]),MONTH(Orders[[#This Row],[Order Date]]),1)</f>
        <v>46204</v>
      </c>
      <c r="W280" s="5">
        <f>IF(Orders[[#This Row],[Order Status]]="Cancelled",Orders[[#This Row],[Net Sales]],0)</f>
        <v>0</v>
      </c>
    </row>
    <row r="281" spans="1:23" x14ac:dyDescent="0.3">
      <c r="A281" t="s">
        <v>705</v>
      </c>
      <c r="B281" s="7">
        <v>46090</v>
      </c>
      <c r="C281" t="s">
        <v>706</v>
      </c>
      <c r="D281" t="s">
        <v>26</v>
      </c>
      <c r="E281" t="s">
        <v>79</v>
      </c>
      <c r="F281" t="s">
        <v>86</v>
      </c>
      <c r="G281" t="s">
        <v>160</v>
      </c>
      <c r="H281" t="s">
        <v>45</v>
      </c>
      <c r="I281">
        <v>2</v>
      </c>
      <c r="J281" s="5">
        <v>1499</v>
      </c>
      <c r="K281" s="2">
        <v>0.2</v>
      </c>
      <c r="L281" t="s">
        <v>39</v>
      </c>
      <c r="M281" t="s">
        <v>23</v>
      </c>
      <c r="N281" s="1">
        <v>46094</v>
      </c>
      <c r="O281" s="1">
        <v>46093</v>
      </c>
      <c r="P281" s="5">
        <f>Orders[[#This Row],[Quantity]]*Orders[[#This Row],[Unit Price]]</f>
        <v>2998</v>
      </c>
      <c r="Q281" s="5">
        <f>Orders[[#This Row],[Gross Sales]]*Orders[[#This Row],[Discount %]]</f>
        <v>599.6</v>
      </c>
      <c r="R281" s="5">
        <f>Orders[[#This Row],[Gross Sales]]-Orders[[#This Row],[Discount Amount]]</f>
        <v>2398.4</v>
      </c>
      <c r="S281">
        <f>IF(Orders[[#This Row],[Actual Delivery Date]]="","",Orders[[#This Row],[Actual Delivery Date]]-Orders[[#This Row],[Order Date]])</f>
        <v>3</v>
      </c>
      <c r="T281" t="str">
        <f>IF(Orders[[#This Row],[Actual Delivery Date]]="","Pending",IF(Orders[[#This Row],[Actual Delivery Date]]&lt;=Orders[[#This Row],[Expected Delivery Date]],"On Time","Late"))</f>
        <v>On Time</v>
      </c>
      <c r="U281" t="str">
        <f>TEXT(Orders[[#This Row],[Order Date]],"mmm")</f>
        <v>Mar</v>
      </c>
      <c r="V281" s="8">
        <f>DATE(YEAR(Orders[[#This Row],[Order Date]]),MONTH(Orders[[#This Row],[Order Date]]),1)</f>
        <v>46082</v>
      </c>
      <c r="W281" s="5">
        <f>IF(Orders[[#This Row],[Order Status]]="Cancelled",Orders[[#This Row],[Net Sales]],0)</f>
        <v>0</v>
      </c>
    </row>
    <row r="282" spans="1:23" x14ac:dyDescent="0.3">
      <c r="A282" t="s">
        <v>707</v>
      </c>
      <c r="B282" s="7">
        <v>46134</v>
      </c>
      <c r="C282" t="s">
        <v>484</v>
      </c>
      <c r="D282" t="s">
        <v>330</v>
      </c>
      <c r="E282" t="s">
        <v>79</v>
      </c>
      <c r="F282" t="s">
        <v>80</v>
      </c>
      <c r="G282" t="s">
        <v>118</v>
      </c>
      <c r="H282" t="s">
        <v>58</v>
      </c>
      <c r="I282">
        <v>2</v>
      </c>
      <c r="J282" s="5">
        <v>749</v>
      </c>
      <c r="K282" s="2">
        <v>0.2</v>
      </c>
      <c r="L282" t="s">
        <v>22</v>
      </c>
      <c r="M282" t="s">
        <v>23</v>
      </c>
      <c r="N282" s="1">
        <v>46140</v>
      </c>
      <c r="O282" s="1">
        <v>46139</v>
      </c>
      <c r="P282" s="5">
        <f>Orders[[#This Row],[Quantity]]*Orders[[#This Row],[Unit Price]]</f>
        <v>1498</v>
      </c>
      <c r="Q282" s="5">
        <f>Orders[[#This Row],[Gross Sales]]*Orders[[#This Row],[Discount %]]</f>
        <v>299.60000000000002</v>
      </c>
      <c r="R282" s="5">
        <f>Orders[[#This Row],[Gross Sales]]-Orders[[#This Row],[Discount Amount]]</f>
        <v>1198.4000000000001</v>
      </c>
      <c r="S282">
        <f>IF(Orders[[#This Row],[Actual Delivery Date]]="","",Orders[[#This Row],[Actual Delivery Date]]-Orders[[#This Row],[Order Date]])</f>
        <v>5</v>
      </c>
      <c r="T282" t="str">
        <f>IF(Orders[[#This Row],[Actual Delivery Date]]="","Pending",IF(Orders[[#This Row],[Actual Delivery Date]]&lt;=Orders[[#This Row],[Expected Delivery Date]],"On Time","Late"))</f>
        <v>On Time</v>
      </c>
      <c r="U282" t="str">
        <f>TEXT(Orders[[#This Row],[Order Date]],"mmm")</f>
        <v>Apr</v>
      </c>
      <c r="V282" s="8">
        <f>DATE(YEAR(Orders[[#This Row],[Order Date]]),MONTH(Orders[[#This Row],[Order Date]]),1)</f>
        <v>46113</v>
      </c>
      <c r="W282" s="5">
        <f>IF(Orders[[#This Row],[Order Status]]="Cancelled",Orders[[#This Row],[Net Sales]],0)</f>
        <v>0</v>
      </c>
    </row>
    <row r="283" spans="1:23" x14ac:dyDescent="0.3">
      <c r="A283" t="s">
        <v>708</v>
      </c>
      <c r="B283" s="7">
        <v>46055</v>
      </c>
      <c r="C283" t="s">
        <v>709</v>
      </c>
      <c r="D283" t="s">
        <v>710</v>
      </c>
      <c r="E283" t="s">
        <v>35</v>
      </c>
      <c r="F283" t="s">
        <v>36</v>
      </c>
      <c r="G283" t="s">
        <v>160</v>
      </c>
      <c r="H283" t="s">
        <v>45</v>
      </c>
      <c r="I283">
        <v>1</v>
      </c>
      <c r="J283" s="5">
        <v>1499</v>
      </c>
      <c r="K283" s="2">
        <v>0.1</v>
      </c>
      <c r="L283" t="s">
        <v>46</v>
      </c>
      <c r="M283" t="s">
        <v>82</v>
      </c>
      <c r="N283" s="1">
        <v>46059</v>
      </c>
      <c r="O283" s="1">
        <v>46058</v>
      </c>
      <c r="P283" s="5">
        <f>Orders[[#This Row],[Quantity]]*Orders[[#This Row],[Unit Price]]</f>
        <v>1499</v>
      </c>
      <c r="Q283" s="5">
        <f>Orders[[#This Row],[Gross Sales]]*Orders[[#This Row],[Discount %]]</f>
        <v>149.9</v>
      </c>
      <c r="R283" s="5">
        <f>Orders[[#This Row],[Gross Sales]]-Orders[[#This Row],[Discount Amount]]</f>
        <v>1349.1</v>
      </c>
      <c r="S283">
        <f>IF(Orders[[#This Row],[Actual Delivery Date]]="","",Orders[[#This Row],[Actual Delivery Date]]-Orders[[#This Row],[Order Date]])</f>
        <v>3</v>
      </c>
      <c r="T283" t="str">
        <f>IF(Orders[[#This Row],[Actual Delivery Date]]="","Pending",IF(Orders[[#This Row],[Actual Delivery Date]]&lt;=Orders[[#This Row],[Expected Delivery Date]],"On Time","Late"))</f>
        <v>On Time</v>
      </c>
      <c r="U283" t="str">
        <f>TEXT(Orders[[#This Row],[Order Date]],"mmm")</f>
        <v>Feb</v>
      </c>
      <c r="V283" s="8">
        <f>DATE(YEAR(Orders[[#This Row],[Order Date]]),MONTH(Orders[[#This Row],[Order Date]]),1)</f>
        <v>46054</v>
      </c>
      <c r="W283" s="5">
        <f>IF(Orders[[#This Row],[Order Status]]="Cancelled",Orders[[#This Row],[Net Sales]],0)</f>
        <v>0</v>
      </c>
    </row>
    <row r="284" spans="1:23" x14ac:dyDescent="0.3">
      <c r="A284" t="s">
        <v>711</v>
      </c>
      <c r="B284" s="7">
        <v>46361</v>
      </c>
      <c r="C284" t="s">
        <v>391</v>
      </c>
      <c r="D284" t="s">
        <v>478</v>
      </c>
      <c r="E284" t="s">
        <v>27</v>
      </c>
      <c r="F284" t="s">
        <v>28</v>
      </c>
      <c r="G284" t="s">
        <v>100</v>
      </c>
      <c r="H284" t="s">
        <v>30</v>
      </c>
      <c r="I284">
        <v>1</v>
      </c>
      <c r="J284" s="5">
        <v>2499</v>
      </c>
      <c r="K284" s="2">
        <v>0.05</v>
      </c>
      <c r="L284" t="s">
        <v>39</v>
      </c>
      <c r="M284" t="s">
        <v>59</v>
      </c>
      <c r="N284" s="1">
        <v>46366</v>
      </c>
      <c r="O284" s="1">
        <v>46369</v>
      </c>
      <c r="P284" s="5">
        <f>Orders[[#This Row],[Quantity]]*Orders[[#This Row],[Unit Price]]</f>
        <v>2499</v>
      </c>
      <c r="Q284" s="5">
        <f>Orders[[#This Row],[Gross Sales]]*Orders[[#This Row],[Discount %]]</f>
        <v>124.95</v>
      </c>
      <c r="R284" s="5">
        <f>Orders[[#This Row],[Gross Sales]]-Orders[[#This Row],[Discount Amount]]</f>
        <v>2374.0500000000002</v>
      </c>
      <c r="S284">
        <f>IF(Orders[[#This Row],[Actual Delivery Date]]="","",Orders[[#This Row],[Actual Delivery Date]]-Orders[[#This Row],[Order Date]])</f>
        <v>8</v>
      </c>
      <c r="T284" t="str">
        <f>IF(Orders[[#This Row],[Actual Delivery Date]]="","Pending",IF(Orders[[#This Row],[Actual Delivery Date]]&lt;=Orders[[#This Row],[Expected Delivery Date]],"On Time","Late"))</f>
        <v>Late</v>
      </c>
      <c r="U284" t="str">
        <f>TEXT(Orders[[#This Row],[Order Date]],"mmm")</f>
        <v>Dec</v>
      </c>
      <c r="V284" s="8">
        <f>DATE(YEAR(Orders[[#This Row],[Order Date]]),MONTH(Orders[[#This Row],[Order Date]]),1)</f>
        <v>46357</v>
      </c>
      <c r="W284" s="5">
        <f>IF(Orders[[#This Row],[Order Status]]="Cancelled",Orders[[#This Row],[Net Sales]],0)</f>
        <v>2374.0500000000002</v>
      </c>
    </row>
    <row r="285" spans="1:23" x14ac:dyDescent="0.3">
      <c r="A285" t="s">
        <v>712</v>
      </c>
      <c r="B285" s="7">
        <v>46120</v>
      </c>
      <c r="C285" t="s">
        <v>360</v>
      </c>
      <c r="D285" t="s">
        <v>713</v>
      </c>
      <c r="E285" t="s">
        <v>79</v>
      </c>
      <c r="F285" t="s">
        <v>86</v>
      </c>
      <c r="G285" t="s">
        <v>206</v>
      </c>
      <c r="H285" t="s">
        <v>30</v>
      </c>
      <c r="I285">
        <v>1</v>
      </c>
      <c r="J285" s="5">
        <v>1199</v>
      </c>
      <c r="K285" s="2">
        <v>0.05</v>
      </c>
      <c r="L285" t="s">
        <v>22</v>
      </c>
      <c r="M285" t="s">
        <v>59</v>
      </c>
      <c r="N285" s="1">
        <v>46125</v>
      </c>
      <c r="O285" s="1">
        <v>46128</v>
      </c>
      <c r="P285" s="5">
        <f>Orders[[#This Row],[Quantity]]*Orders[[#This Row],[Unit Price]]</f>
        <v>1199</v>
      </c>
      <c r="Q285" s="5">
        <f>Orders[[#This Row],[Gross Sales]]*Orders[[#This Row],[Discount %]]</f>
        <v>59.95</v>
      </c>
      <c r="R285" s="5">
        <f>Orders[[#This Row],[Gross Sales]]-Orders[[#This Row],[Discount Amount]]</f>
        <v>1139.05</v>
      </c>
      <c r="S285">
        <f>IF(Orders[[#This Row],[Actual Delivery Date]]="","",Orders[[#This Row],[Actual Delivery Date]]-Orders[[#This Row],[Order Date]])</f>
        <v>8</v>
      </c>
      <c r="T285" t="str">
        <f>IF(Orders[[#This Row],[Actual Delivery Date]]="","Pending",IF(Orders[[#This Row],[Actual Delivery Date]]&lt;=Orders[[#This Row],[Expected Delivery Date]],"On Time","Late"))</f>
        <v>Late</v>
      </c>
      <c r="U285" t="str">
        <f>TEXT(Orders[[#This Row],[Order Date]],"mmm")</f>
        <v>Apr</v>
      </c>
      <c r="V285" s="8">
        <f>DATE(YEAR(Orders[[#This Row],[Order Date]]),MONTH(Orders[[#This Row],[Order Date]]),1)</f>
        <v>46113</v>
      </c>
      <c r="W285" s="5">
        <f>IF(Orders[[#This Row],[Order Status]]="Cancelled",Orders[[#This Row],[Net Sales]],0)</f>
        <v>1139.05</v>
      </c>
    </row>
    <row r="286" spans="1:23" x14ac:dyDescent="0.3">
      <c r="A286" t="s">
        <v>714</v>
      </c>
      <c r="B286" s="7">
        <v>46264</v>
      </c>
      <c r="C286" t="s">
        <v>472</v>
      </c>
      <c r="D286" t="s">
        <v>511</v>
      </c>
      <c r="E286" t="s">
        <v>27</v>
      </c>
      <c r="F286" t="s">
        <v>56</v>
      </c>
      <c r="G286" t="s">
        <v>64</v>
      </c>
      <c r="H286" t="s">
        <v>21</v>
      </c>
      <c r="I286">
        <v>1</v>
      </c>
      <c r="J286" s="5">
        <v>699</v>
      </c>
      <c r="K286" s="2">
        <v>0.1</v>
      </c>
      <c r="L286" t="s">
        <v>22</v>
      </c>
      <c r="M286" t="s">
        <v>82</v>
      </c>
      <c r="N286" s="1">
        <v>46267</v>
      </c>
      <c r="O286" s="1">
        <v>46270</v>
      </c>
      <c r="P286" s="5">
        <f>Orders[[#This Row],[Quantity]]*Orders[[#This Row],[Unit Price]]</f>
        <v>699</v>
      </c>
      <c r="Q286" s="5">
        <f>Orders[[#This Row],[Gross Sales]]*Orders[[#This Row],[Discount %]]</f>
        <v>69.900000000000006</v>
      </c>
      <c r="R286" s="5">
        <f>Orders[[#This Row],[Gross Sales]]-Orders[[#This Row],[Discount Amount]]</f>
        <v>629.1</v>
      </c>
      <c r="S286">
        <f>IF(Orders[[#This Row],[Actual Delivery Date]]="","",Orders[[#This Row],[Actual Delivery Date]]-Orders[[#This Row],[Order Date]])</f>
        <v>6</v>
      </c>
      <c r="T286" t="str">
        <f>IF(Orders[[#This Row],[Actual Delivery Date]]="","Pending",IF(Orders[[#This Row],[Actual Delivery Date]]&lt;=Orders[[#This Row],[Expected Delivery Date]],"On Time","Late"))</f>
        <v>Late</v>
      </c>
      <c r="U286" t="str">
        <f>TEXT(Orders[[#This Row],[Order Date]],"mmm")</f>
        <v>Aug</v>
      </c>
      <c r="V286" s="8">
        <f>DATE(YEAR(Orders[[#This Row],[Order Date]]),MONTH(Orders[[#This Row],[Order Date]]),1)</f>
        <v>46235</v>
      </c>
      <c r="W286" s="5">
        <f>IF(Orders[[#This Row],[Order Status]]="Cancelled",Orders[[#This Row],[Net Sales]],0)</f>
        <v>0</v>
      </c>
    </row>
    <row r="287" spans="1:23" x14ac:dyDescent="0.3">
      <c r="A287" t="s">
        <v>715</v>
      </c>
      <c r="B287" s="7">
        <v>46192</v>
      </c>
      <c r="C287" t="s">
        <v>268</v>
      </c>
      <c r="D287" t="s">
        <v>716</v>
      </c>
      <c r="E287" t="s">
        <v>35</v>
      </c>
      <c r="F287" t="s">
        <v>68</v>
      </c>
      <c r="G287" t="s">
        <v>218</v>
      </c>
      <c r="H287" t="s">
        <v>21</v>
      </c>
      <c r="I287">
        <v>1</v>
      </c>
      <c r="J287" s="5">
        <v>2999</v>
      </c>
      <c r="K287" s="2">
        <v>0.2</v>
      </c>
      <c r="L287" t="s">
        <v>46</v>
      </c>
      <c r="M287" t="s">
        <v>23</v>
      </c>
      <c r="N287" s="1">
        <v>46194</v>
      </c>
      <c r="O287" s="1">
        <v>46193</v>
      </c>
      <c r="P287" s="5">
        <f>Orders[[#This Row],[Quantity]]*Orders[[#This Row],[Unit Price]]</f>
        <v>2999</v>
      </c>
      <c r="Q287" s="5">
        <f>Orders[[#This Row],[Gross Sales]]*Orders[[#This Row],[Discount %]]</f>
        <v>599.80000000000007</v>
      </c>
      <c r="R287" s="5">
        <f>Orders[[#This Row],[Gross Sales]]-Orders[[#This Row],[Discount Amount]]</f>
        <v>2399.1999999999998</v>
      </c>
      <c r="S287">
        <f>IF(Orders[[#This Row],[Actual Delivery Date]]="","",Orders[[#This Row],[Actual Delivery Date]]-Orders[[#This Row],[Order Date]])</f>
        <v>1</v>
      </c>
      <c r="T287" t="str">
        <f>IF(Orders[[#This Row],[Actual Delivery Date]]="","Pending",IF(Orders[[#This Row],[Actual Delivery Date]]&lt;=Orders[[#This Row],[Expected Delivery Date]],"On Time","Late"))</f>
        <v>On Time</v>
      </c>
      <c r="U287" t="str">
        <f>TEXT(Orders[[#This Row],[Order Date]],"mmm")</f>
        <v>Jun</v>
      </c>
      <c r="V287" s="8">
        <f>DATE(YEAR(Orders[[#This Row],[Order Date]]),MONTH(Orders[[#This Row],[Order Date]]),1)</f>
        <v>46174</v>
      </c>
      <c r="W287" s="5">
        <f>IF(Orders[[#This Row],[Order Status]]="Cancelled",Orders[[#This Row],[Net Sales]],0)</f>
        <v>0</v>
      </c>
    </row>
    <row r="288" spans="1:23" x14ac:dyDescent="0.3">
      <c r="A288" t="s">
        <v>717</v>
      </c>
      <c r="B288" s="7">
        <v>46234</v>
      </c>
      <c r="C288" t="s">
        <v>718</v>
      </c>
      <c r="D288" t="s">
        <v>124</v>
      </c>
      <c r="E288" t="s">
        <v>18</v>
      </c>
      <c r="F288" t="s">
        <v>43</v>
      </c>
      <c r="G288" t="s">
        <v>91</v>
      </c>
      <c r="H288" t="s">
        <v>30</v>
      </c>
      <c r="I288">
        <v>1</v>
      </c>
      <c r="J288" s="5">
        <v>3299</v>
      </c>
      <c r="K288" s="2">
        <v>0.05</v>
      </c>
      <c r="L288" t="s">
        <v>31</v>
      </c>
      <c r="M288" t="s">
        <v>23</v>
      </c>
      <c r="N288" s="1">
        <v>46238</v>
      </c>
      <c r="O288" s="1">
        <v>46238</v>
      </c>
      <c r="P288" s="5">
        <f>Orders[[#This Row],[Quantity]]*Orders[[#This Row],[Unit Price]]</f>
        <v>3299</v>
      </c>
      <c r="Q288" s="5">
        <f>Orders[[#This Row],[Gross Sales]]*Orders[[#This Row],[Discount %]]</f>
        <v>164.95000000000002</v>
      </c>
      <c r="R288" s="5">
        <f>Orders[[#This Row],[Gross Sales]]-Orders[[#This Row],[Discount Amount]]</f>
        <v>3134.05</v>
      </c>
      <c r="S288">
        <f>IF(Orders[[#This Row],[Actual Delivery Date]]="","",Orders[[#This Row],[Actual Delivery Date]]-Orders[[#This Row],[Order Date]])</f>
        <v>4</v>
      </c>
      <c r="T288" t="str">
        <f>IF(Orders[[#This Row],[Actual Delivery Date]]="","Pending",IF(Orders[[#This Row],[Actual Delivery Date]]&lt;=Orders[[#This Row],[Expected Delivery Date]],"On Time","Late"))</f>
        <v>On Time</v>
      </c>
      <c r="U288" t="str">
        <f>TEXT(Orders[[#This Row],[Order Date]],"mmm")</f>
        <v>Jul</v>
      </c>
      <c r="V288" s="8">
        <f>DATE(YEAR(Orders[[#This Row],[Order Date]]),MONTH(Orders[[#This Row],[Order Date]]),1)</f>
        <v>46204</v>
      </c>
      <c r="W288" s="5">
        <f>IF(Orders[[#This Row],[Order Status]]="Cancelled",Orders[[#This Row],[Net Sales]],0)</f>
        <v>0</v>
      </c>
    </row>
    <row r="289" spans="1:23" x14ac:dyDescent="0.3">
      <c r="A289" t="s">
        <v>719</v>
      </c>
      <c r="B289" s="7">
        <v>46346</v>
      </c>
      <c r="C289" t="s">
        <v>332</v>
      </c>
      <c r="D289" t="s">
        <v>444</v>
      </c>
      <c r="E289" t="s">
        <v>27</v>
      </c>
      <c r="F289" t="s">
        <v>28</v>
      </c>
      <c r="G289" t="s">
        <v>118</v>
      </c>
      <c r="H289" t="s">
        <v>58</v>
      </c>
      <c r="I289">
        <v>5</v>
      </c>
      <c r="J289" s="5">
        <v>749</v>
      </c>
      <c r="K289" s="2">
        <v>0.1</v>
      </c>
      <c r="L289" t="s">
        <v>39</v>
      </c>
      <c r="M289" t="s">
        <v>23</v>
      </c>
      <c r="N289" s="1">
        <v>46351</v>
      </c>
      <c r="O289" s="1">
        <v>46348</v>
      </c>
      <c r="P289" s="5">
        <f>Orders[[#This Row],[Quantity]]*Orders[[#This Row],[Unit Price]]</f>
        <v>3745</v>
      </c>
      <c r="Q289" s="5">
        <f>Orders[[#This Row],[Gross Sales]]*Orders[[#This Row],[Discount %]]</f>
        <v>374.5</v>
      </c>
      <c r="R289" s="5">
        <f>Orders[[#This Row],[Gross Sales]]-Orders[[#This Row],[Discount Amount]]</f>
        <v>3370.5</v>
      </c>
      <c r="S289">
        <f>IF(Orders[[#This Row],[Actual Delivery Date]]="","",Orders[[#This Row],[Actual Delivery Date]]-Orders[[#This Row],[Order Date]])</f>
        <v>2</v>
      </c>
      <c r="T289" t="str">
        <f>IF(Orders[[#This Row],[Actual Delivery Date]]="","Pending",IF(Orders[[#This Row],[Actual Delivery Date]]&lt;=Orders[[#This Row],[Expected Delivery Date]],"On Time","Late"))</f>
        <v>On Time</v>
      </c>
      <c r="U289" t="str">
        <f>TEXT(Orders[[#This Row],[Order Date]],"mmm")</f>
        <v>Nov</v>
      </c>
      <c r="V289" s="8">
        <f>DATE(YEAR(Orders[[#This Row],[Order Date]]),MONTH(Orders[[#This Row],[Order Date]]),1)</f>
        <v>46327</v>
      </c>
      <c r="W289" s="5">
        <f>IF(Orders[[#This Row],[Order Status]]="Cancelled",Orders[[#This Row],[Net Sales]],0)</f>
        <v>0</v>
      </c>
    </row>
    <row r="290" spans="1:23" x14ac:dyDescent="0.3">
      <c r="A290" t="s">
        <v>720</v>
      </c>
      <c r="B290" s="7">
        <v>46245</v>
      </c>
      <c r="C290" t="s">
        <v>296</v>
      </c>
      <c r="D290" t="s">
        <v>85</v>
      </c>
      <c r="E290" t="s">
        <v>79</v>
      </c>
      <c r="F290" t="s">
        <v>86</v>
      </c>
      <c r="G290" t="s">
        <v>69</v>
      </c>
      <c r="H290" t="s">
        <v>38</v>
      </c>
      <c r="I290">
        <v>2</v>
      </c>
      <c r="J290" s="5">
        <v>3499</v>
      </c>
      <c r="K290" s="2">
        <v>0.15</v>
      </c>
      <c r="L290" t="s">
        <v>70</v>
      </c>
      <c r="M290" t="s">
        <v>23</v>
      </c>
      <c r="N290" s="1">
        <v>46250</v>
      </c>
      <c r="O290" s="1">
        <v>46250</v>
      </c>
      <c r="P290" s="5">
        <f>Orders[[#This Row],[Quantity]]*Orders[[#This Row],[Unit Price]]</f>
        <v>6998</v>
      </c>
      <c r="Q290" s="5">
        <f>Orders[[#This Row],[Gross Sales]]*Orders[[#This Row],[Discount %]]</f>
        <v>1049.7</v>
      </c>
      <c r="R290" s="5">
        <f>Orders[[#This Row],[Gross Sales]]-Orders[[#This Row],[Discount Amount]]</f>
        <v>5948.3</v>
      </c>
      <c r="S290">
        <f>IF(Orders[[#This Row],[Actual Delivery Date]]="","",Orders[[#This Row],[Actual Delivery Date]]-Orders[[#This Row],[Order Date]])</f>
        <v>5</v>
      </c>
      <c r="T290" t="str">
        <f>IF(Orders[[#This Row],[Actual Delivery Date]]="","Pending",IF(Orders[[#This Row],[Actual Delivery Date]]&lt;=Orders[[#This Row],[Expected Delivery Date]],"On Time","Late"))</f>
        <v>On Time</v>
      </c>
      <c r="U290" t="str">
        <f>TEXT(Orders[[#This Row],[Order Date]],"mmm")</f>
        <v>Aug</v>
      </c>
      <c r="V290" s="8">
        <f>DATE(YEAR(Orders[[#This Row],[Order Date]]),MONTH(Orders[[#This Row],[Order Date]]),1)</f>
        <v>46235</v>
      </c>
      <c r="W290" s="5">
        <f>IF(Orders[[#This Row],[Order Status]]="Cancelled",Orders[[#This Row],[Net Sales]],0)</f>
        <v>0</v>
      </c>
    </row>
    <row r="291" spans="1:23" x14ac:dyDescent="0.3">
      <c r="A291" t="s">
        <v>721</v>
      </c>
      <c r="B291" s="7">
        <v>46032</v>
      </c>
      <c r="C291" t="s">
        <v>722</v>
      </c>
      <c r="D291" t="s">
        <v>723</v>
      </c>
      <c r="E291" t="s">
        <v>18</v>
      </c>
      <c r="F291" t="s">
        <v>121</v>
      </c>
      <c r="G291" t="s">
        <v>29</v>
      </c>
      <c r="H291" t="s">
        <v>30</v>
      </c>
      <c r="I291">
        <v>2</v>
      </c>
      <c r="J291" s="5">
        <v>599</v>
      </c>
      <c r="K291" s="2">
        <v>0.05</v>
      </c>
      <c r="L291" t="s">
        <v>31</v>
      </c>
      <c r="M291" t="s">
        <v>59</v>
      </c>
      <c r="N291" s="1">
        <v>46036</v>
      </c>
      <c r="O291" s="1">
        <v>46033</v>
      </c>
      <c r="P291" s="5">
        <f>Orders[[#This Row],[Quantity]]*Orders[[#This Row],[Unit Price]]</f>
        <v>1198</v>
      </c>
      <c r="Q291" s="5">
        <f>Orders[[#This Row],[Gross Sales]]*Orders[[#This Row],[Discount %]]</f>
        <v>59.900000000000006</v>
      </c>
      <c r="R291" s="5">
        <f>Orders[[#This Row],[Gross Sales]]-Orders[[#This Row],[Discount Amount]]</f>
        <v>1138.0999999999999</v>
      </c>
      <c r="S291">
        <f>IF(Orders[[#This Row],[Actual Delivery Date]]="","",Orders[[#This Row],[Actual Delivery Date]]-Orders[[#This Row],[Order Date]])</f>
        <v>1</v>
      </c>
      <c r="T291" t="str">
        <f>IF(Orders[[#This Row],[Actual Delivery Date]]="","Pending",IF(Orders[[#This Row],[Actual Delivery Date]]&lt;=Orders[[#This Row],[Expected Delivery Date]],"On Time","Late"))</f>
        <v>On Time</v>
      </c>
      <c r="U291" t="str">
        <f>TEXT(Orders[[#This Row],[Order Date]],"mmm")</f>
        <v>Jan</v>
      </c>
      <c r="V291" s="8">
        <f>DATE(YEAR(Orders[[#This Row],[Order Date]]),MONTH(Orders[[#This Row],[Order Date]]),1)</f>
        <v>46023</v>
      </c>
      <c r="W291" s="5">
        <f>IF(Orders[[#This Row],[Order Status]]="Cancelled",Orders[[#This Row],[Net Sales]],0)</f>
        <v>1138.0999999999999</v>
      </c>
    </row>
    <row r="292" spans="1:23" x14ac:dyDescent="0.3">
      <c r="A292" t="s">
        <v>724</v>
      </c>
      <c r="B292" s="7">
        <v>46175</v>
      </c>
      <c r="C292" t="s">
        <v>455</v>
      </c>
      <c r="D292" t="s">
        <v>725</v>
      </c>
      <c r="E292" t="s">
        <v>35</v>
      </c>
      <c r="F292" t="s">
        <v>68</v>
      </c>
      <c r="G292" t="s">
        <v>75</v>
      </c>
      <c r="H292" t="s">
        <v>45</v>
      </c>
      <c r="I292">
        <v>4</v>
      </c>
      <c r="J292" s="5">
        <v>799</v>
      </c>
      <c r="K292" s="2">
        <v>0.15</v>
      </c>
      <c r="L292" t="s">
        <v>22</v>
      </c>
      <c r="M292" t="s">
        <v>47</v>
      </c>
      <c r="N292" s="1">
        <v>46181</v>
      </c>
      <c r="O292" s="1"/>
      <c r="P292" s="5">
        <f>Orders[[#This Row],[Quantity]]*Orders[[#This Row],[Unit Price]]</f>
        <v>3196</v>
      </c>
      <c r="Q292" s="5">
        <f>Orders[[#This Row],[Gross Sales]]*Orders[[#This Row],[Discount %]]</f>
        <v>479.4</v>
      </c>
      <c r="R292" s="5">
        <f>Orders[[#This Row],[Gross Sales]]-Orders[[#This Row],[Discount Amount]]</f>
        <v>2716.6</v>
      </c>
      <c r="S292" t="str">
        <f>IF(Orders[[#This Row],[Actual Delivery Date]]="","",Orders[[#This Row],[Actual Delivery Date]]-Orders[[#This Row],[Order Date]])</f>
        <v/>
      </c>
      <c r="T292" t="str">
        <f>IF(Orders[[#This Row],[Actual Delivery Date]]="","Pending",IF(Orders[[#This Row],[Actual Delivery Date]]&lt;=Orders[[#This Row],[Expected Delivery Date]],"On Time","Late"))</f>
        <v>Pending</v>
      </c>
      <c r="U292" t="str">
        <f>TEXT(Orders[[#This Row],[Order Date]],"mmm")</f>
        <v>Jun</v>
      </c>
      <c r="V292" s="8">
        <f>DATE(YEAR(Orders[[#This Row],[Order Date]]),MONTH(Orders[[#This Row],[Order Date]]),1)</f>
        <v>46174</v>
      </c>
      <c r="W292" s="5">
        <f>IF(Orders[[#This Row],[Order Status]]="Cancelled",Orders[[#This Row],[Net Sales]],0)</f>
        <v>0</v>
      </c>
    </row>
    <row r="293" spans="1:23" x14ac:dyDescent="0.3">
      <c r="A293" t="s">
        <v>726</v>
      </c>
      <c r="B293" s="7">
        <v>46119</v>
      </c>
      <c r="C293" t="s">
        <v>727</v>
      </c>
      <c r="D293" t="s">
        <v>728</v>
      </c>
      <c r="E293" t="s">
        <v>27</v>
      </c>
      <c r="F293" t="s">
        <v>51</v>
      </c>
      <c r="G293" t="s">
        <v>118</v>
      </c>
      <c r="H293" t="s">
        <v>58</v>
      </c>
      <c r="I293">
        <v>1</v>
      </c>
      <c r="J293" s="5">
        <v>749</v>
      </c>
      <c r="K293" s="2">
        <v>0.15</v>
      </c>
      <c r="L293" t="s">
        <v>39</v>
      </c>
      <c r="M293" t="s">
        <v>23</v>
      </c>
      <c r="N293" s="1">
        <v>46122</v>
      </c>
      <c r="O293" s="1">
        <v>46120</v>
      </c>
      <c r="P293" s="5">
        <f>Orders[[#This Row],[Quantity]]*Orders[[#This Row],[Unit Price]]</f>
        <v>749</v>
      </c>
      <c r="Q293" s="5">
        <f>Orders[[#This Row],[Gross Sales]]*Orders[[#This Row],[Discount %]]</f>
        <v>112.35</v>
      </c>
      <c r="R293" s="5">
        <f>Orders[[#This Row],[Gross Sales]]-Orders[[#This Row],[Discount Amount]]</f>
        <v>636.65</v>
      </c>
      <c r="S293">
        <f>IF(Orders[[#This Row],[Actual Delivery Date]]="","",Orders[[#This Row],[Actual Delivery Date]]-Orders[[#This Row],[Order Date]])</f>
        <v>1</v>
      </c>
      <c r="T293" t="str">
        <f>IF(Orders[[#This Row],[Actual Delivery Date]]="","Pending",IF(Orders[[#This Row],[Actual Delivery Date]]&lt;=Orders[[#This Row],[Expected Delivery Date]],"On Time","Late"))</f>
        <v>On Time</v>
      </c>
      <c r="U293" t="str">
        <f>TEXT(Orders[[#This Row],[Order Date]],"mmm")</f>
        <v>Apr</v>
      </c>
      <c r="V293" s="8">
        <f>DATE(YEAR(Orders[[#This Row],[Order Date]]),MONTH(Orders[[#This Row],[Order Date]]),1)</f>
        <v>46113</v>
      </c>
      <c r="W293" s="5">
        <f>IF(Orders[[#This Row],[Order Status]]="Cancelled",Orders[[#This Row],[Net Sales]],0)</f>
        <v>0</v>
      </c>
    </row>
    <row r="294" spans="1:23" x14ac:dyDescent="0.3">
      <c r="A294" t="s">
        <v>729</v>
      </c>
      <c r="B294" s="7">
        <v>46215</v>
      </c>
      <c r="C294" t="s">
        <v>730</v>
      </c>
      <c r="D294" t="s">
        <v>318</v>
      </c>
      <c r="E294" t="s">
        <v>27</v>
      </c>
      <c r="F294" t="s">
        <v>28</v>
      </c>
      <c r="G294" t="s">
        <v>64</v>
      </c>
      <c r="H294" t="s">
        <v>21</v>
      </c>
      <c r="I294">
        <v>3</v>
      </c>
      <c r="J294" s="5">
        <v>699</v>
      </c>
      <c r="K294" s="2">
        <v>0.1</v>
      </c>
      <c r="L294" t="s">
        <v>22</v>
      </c>
      <c r="M294" t="s">
        <v>47</v>
      </c>
      <c r="N294" s="1">
        <v>46217</v>
      </c>
      <c r="O294" s="1"/>
      <c r="P294" s="5">
        <f>Orders[[#This Row],[Quantity]]*Orders[[#This Row],[Unit Price]]</f>
        <v>2097</v>
      </c>
      <c r="Q294" s="5">
        <f>Orders[[#This Row],[Gross Sales]]*Orders[[#This Row],[Discount %]]</f>
        <v>209.70000000000002</v>
      </c>
      <c r="R294" s="5">
        <f>Orders[[#This Row],[Gross Sales]]-Orders[[#This Row],[Discount Amount]]</f>
        <v>1887.3</v>
      </c>
      <c r="S294" t="str">
        <f>IF(Orders[[#This Row],[Actual Delivery Date]]="","",Orders[[#This Row],[Actual Delivery Date]]-Orders[[#This Row],[Order Date]])</f>
        <v/>
      </c>
      <c r="T294" t="str">
        <f>IF(Orders[[#This Row],[Actual Delivery Date]]="","Pending",IF(Orders[[#This Row],[Actual Delivery Date]]&lt;=Orders[[#This Row],[Expected Delivery Date]],"On Time","Late"))</f>
        <v>Pending</v>
      </c>
      <c r="U294" t="str">
        <f>TEXT(Orders[[#This Row],[Order Date]],"mmm")</f>
        <v>Jul</v>
      </c>
      <c r="V294" s="8">
        <f>DATE(YEAR(Orders[[#This Row],[Order Date]]),MONTH(Orders[[#This Row],[Order Date]]),1)</f>
        <v>46204</v>
      </c>
      <c r="W294" s="5">
        <f>IF(Orders[[#This Row],[Order Status]]="Cancelled",Orders[[#This Row],[Net Sales]],0)</f>
        <v>0</v>
      </c>
    </row>
    <row r="295" spans="1:23" x14ac:dyDescent="0.3">
      <c r="A295" t="s">
        <v>731</v>
      </c>
      <c r="B295" s="7">
        <v>46250</v>
      </c>
      <c r="C295" t="s">
        <v>598</v>
      </c>
      <c r="D295" t="s">
        <v>289</v>
      </c>
      <c r="E295" t="s">
        <v>18</v>
      </c>
      <c r="F295" t="s">
        <v>19</v>
      </c>
      <c r="G295" t="s">
        <v>160</v>
      </c>
      <c r="H295" t="s">
        <v>45</v>
      </c>
      <c r="I295">
        <v>1</v>
      </c>
      <c r="J295" s="5">
        <v>1499</v>
      </c>
      <c r="K295" s="2">
        <v>0.2</v>
      </c>
      <c r="L295" t="s">
        <v>46</v>
      </c>
      <c r="M295" t="s">
        <v>23</v>
      </c>
      <c r="N295" s="1">
        <v>46257</v>
      </c>
      <c r="O295" s="1">
        <v>46256</v>
      </c>
      <c r="P295" s="5">
        <f>Orders[[#This Row],[Quantity]]*Orders[[#This Row],[Unit Price]]</f>
        <v>1499</v>
      </c>
      <c r="Q295" s="5">
        <f>Orders[[#This Row],[Gross Sales]]*Orders[[#This Row],[Discount %]]</f>
        <v>299.8</v>
      </c>
      <c r="R295" s="5">
        <f>Orders[[#This Row],[Gross Sales]]-Orders[[#This Row],[Discount Amount]]</f>
        <v>1199.2</v>
      </c>
      <c r="S295">
        <f>IF(Orders[[#This Row],[Actual Delivery Date]]="","",Orders[[#This Row],[Actual Delivery Date]]-Orders[[#This Row],[Order Date]])</f>
        <v>6</v>
      </c>
      <c r="T295" t="str">
        <f>IF(Orders[[#This Row],[Actual Delivery Date]]="","Pending",IF(Orders[[#This Row],[Actual Delivery Date]]&lt;=Orders[[#This Row],[Expected Delivery Date]],"On Time","Late"))</f>
        <v>On Time</v>
      </c>
      <c r="U295" t="str">
        <f>TEXT(Orders[[#This Row],[Order Date]],"mmm")</f>
        <v>Aug</v>
      </c>
      <c r="V295" s="8">
        <f>DATE(YEAR(Orders[[#This Row],[Order Date]]),MONTH(Orders[[#This Row],[Order Date]]),1)</f>
        <v>46235</v>
      </c>
      <c r="W295" s="5">
        <f>IF(Orders[[#This Row],[Order Status]]="Cancelled",Orders[[#This Row],[Net Sales]],0)</f>
        <v>0</v>
      </c>
    </row>
    <row r="296" spans="1:23" x14ac:dyDescent="0.3">
      <c r="A296" t="s">
        <v>732</v>
      </c>
      <c r="B296" s="7">
        <v>46341</v>
      </c>
      <c r="C296" t="s">
        <v>733</v>
      </c>
      <c r="D296" t="s">
        <v>237</v>
      </c>
      <c r="E296" t="s">
        <v>79</v>
      </c>
      <c r="F296" t="s">
        <v>86</v>
      </c>
      <c r="G296" t="s">
        <v>91</v>
      </c>
      <c r="H296" t="s">
        <v>30</v>
      </c>
      <c r="I296">
        <v>2</v>
      </c>
      <c r="J296" s="5">
        <v>3299</v>
      </c>
      <c r="K296" s="2">
        <v>0.05</v>
      </c>
      <c r="L296" t="s">
        <v>70</v>
      </c>
      <c r="M296" t="s">
        <v>82</v>
      </c>
      <c r="N296" s="1">
        <v>46343</v>
      </c>
      <c r="O296" s="1">
        <v>46342</v>
      </c>
      <c r="P296" s="5">
        <f>Orders[[#This Row],[Quantity]]*Orders[[#This Row],[Unit Price]]</f>
        <v>6598</v>
      </c>
      <c r="Q296" s="5">
        <f>Orders[[#This Row],[Gross Sales]]*Orders[[#This Row],[Discount %]]</f>
        <v>329.90000000000003</v>
      </c>
      <c r="R296" s="5">
        <f>Orders[[#This Row],[Gross Sales]]-Orders[[#This Row],[Discount Amount]]</f>
        <v>6268.1</v>
      </c>
      <c r="S296">
        <f>IF(Orders[[#This Row],[Actual Delivery Date]]="","",Orders[[#This Row],[Actual Delivery Date]]-Orders[[#This Row],[Order Date]])</f>
        <v>1</v>
      </c>
      <c r="T296" t="str">
        <f>IF(Orders[[#This Row],[Actual Delivery Date]]="","Pending",IF(Orders[[#This Row],[Actual Delivery Date]]&lt;=Orders[[#This Row],[Expected Delivery Date]],"On Time","Late"))</f>
        <v>On Time</v>
      </c>
      <c r="U296" t="str">
        <f>TEXT(Orders[[#This Row],[Order Date]],"mmm")</f>
        <v>Nov</v>
      </c>
      <c r="V296" s="8">
        <f>DATE(YEAR(Orders[[#This Row],[Order Date]]),MONTH(Orders[[#This Row],[Order Date]]),1)</f>
        <v>46327</v>
      </c>
      <c r="W296" s="5">
        <f>IF(Orders[[#This Row],[Order Status]]="Cancelled",Orders[[#This Row],[Net Sales]],0)</f>
        <v>0</v>
      </c>
    </row>
    <row r="297" spans="1:23" x14ac:dyDescent="0.3">
      <c r="A297" t="s">
        <v>734</v>
      </c>
      <c r="B297" s="7">
        <v>46125</v>
      </c>
      <c r="C297" t="s">
        <v>199</v>
      </c>
      <c r="D297" t="s">
        <v>179</v>
      </c>
      <c r="E297" t="s">
        <v>18</v>
      </c>
      <c r="F297" t="s">
        <v>43</v>
      </c>
      <c r="G297" t="s">
        <v>69</v>
      </c>
      <c r="H297" t="s">
        <v>38</v>
      </c>
      <c r="I297">
        <v>3</v>
      </c>
      <c r="J297" s="5">
        <v>3499</v>
      </c>
      <c r="K297" s="2">
        <v>0.2</v>
      </c>
      <c r="L297" t="s">
        <v>31</v>
      </c>
      <c r="M297" t="s">
        <v>23</v>
      </c>
      <c r="N297" s="1">
        <v>46132</v>
      </c>
      <c r="O297" s="1">
        <v>46127</v>
      </c>
      <c r="P297" s="5">
        <f>Orders[[#This Row],[Quantity]]*Orders[[#This Row],[Unit Price]]</f>
        <v>10497</v>
      </c>
      <c r="Q297" s="5">
        <f>Orders[[#This Row],[Gross Sales]]*Orders[[#This Row],[Discount %]]</f>
        <v>2099.4</v>
      </c>
      <c r="R297" s="5">
        <f>Orders[[#This Row],[Gross Sales]]-Orders[[#This Row],[Discount Amount]]</f>
        <v>8397.6</v>
      </c>
      <c r="S297">
        <f>IF(Orders[[#This Row],[Actual Delivery Date]]="","",Orders[[#This Row],[Actual Delivery Date]]-Orders[[#This Row],[Order Date]])</f>
        <v>2</v>
      </c>
      <c r="T297" t="str">
        <f>IF(Orders[[#This Row],[Actual Delivery Date]]="","Pending",IF(Orders[[#This Row],[Actual Delivery Date]]&lt;=Orders[[#This Row],[Expected Delivery Date]],"On Time","Late"))</f>
        <v>On Time</v>
      </c>
      <c r="U297" t="str">
        <f>TEXT(Orders[[#This Row],[Order Date]],"mmm")</f>
        <v>Apr</v>
      </c>
      <c r="V297" s="8">
        <f>DATE(YEAR(Orders[[#This Row],[Order Date]]),MONTH(Orders[[#This Row],[Order Date]]),1)</f>
        <v>46113</v>
      </c>
      <c r="W297" s="5">
        <f>IF(Orders[[#This Row],[Order Status]]="Cancelled",Orders[[#This Row],[Net Sales]],0)</f>
        <v>0</v>
      </c>
    </row>
    <row r="298" spans="1:23" x14ac:dyDescent="0.3">
      <c r="A298" t="s">
        <v>735</v>
      </c>
      <c r="B298" s="7">
        <v>46143</v>
      </c>
      <c r="C298" t="s">
        <v>736</v>
      </c>
      <c r="D298" t="s">
        <v>737</v>
      </c>
      <c r="E298" t="s">
        <v>79</v>
      </c>
      <c r="F298" t="s">
        <v>108</v>
      </c>
      <c r="G298" t="s">
        <v>118</v>
      </c>
      <c r="H298" t="s">
        <v>58</v>
      </c>
      <c r="I298">
        <v>1</v>
      </c>
      <c r="J298" s="5">
        <v>749</v>
      </c>
      <c r="K298" s="2">
        <v>0</v>
      </c>
      <c r="L298" t="s">
        <v>39</v>
      </c>
      <c r="M298" t="s">
        <v>82</v>
      </c>
      <c r="N298" s="1">
        <v>46149</v>
      </c>
      <c r="O298" s="1">
        <v>46145</v>
      </c>
      <c r="P298" s="5">
        <f>Orders[[#This Row],[Quantity]]*Orders[[#This Row],[Unit Price]]</f>
        <v>749</v>
      </c>
      <c r="Q298" s="5">
        <f>Orders[[#This Row],[Gross Sales]]*Orders[[#This Row],[Discount %]]</f>
        <v>0</v>
      </c>
      <c r="R298" s="5">
        <f>Orders[[#This Row],[Gross Sales]]-Orders[[#This Row],[Discount Amount]]</f>
        <v>749</v>
      </c>
      <c r="S298">
        <f>IF(Orders[[#This Row],[Actual Delivery Date]]="","",Orders[[#This Row],[Actual Delivery Date]]-Orders[[#This Row],[Order Date]])</f>
        <v>2</v>
      </c>
      <c r="T298" t="str">
        <f>IF(Orders[[#This Row],[Actual Delivery Date]]="","Pending",IF(Orders[[#This Row],[Actual Delivery Date]]&lt;=Orders[[#This Row],[Expected Delivery Date]],"On Time","Late"))</f>
        <v>On Time</v>
      </c>
      <c r="U298" t="str">
        <f>TEXT(Orders[[#This Row],[Order Date]],"mmm")</f>
        <v>May</v>
      </c>
      <c r="V298" s="8">
        <f>DATE(YEAR(Orders[[#This Row],[Order Date]]),MONTH(Orders[[#This Row],[Order Date]]),1)</f>
        <v>46143</v>
      </c>
      <c r="W298" s="5">
        <f>IF(Orders[[#This Row],[Order Status]]="Cancelled",Orders[[#This Row],[Net Sales]],0)</f>
        <v>0</v>
      </c>
    </row>
    <row r="299" spans="1:23" x14ac:dyDescent="0.3">
      <c r="A299" t="s">
        <v>738</v>
      </c>
      <c r="B299" s="7">
        <v>46256</v>
      </c>
      <c r="C299" t="s">
        <v>199</v>
      </c>
      <c r="D299" t="s">
        <v>739</v>
      </c>
      <c r="E299" t="s">
        <v>18</v>
      </c>
      <c r="F299" t="s">
        <v>19</v>
      </c>
      <c r="G299" t="s">
        <v>20</v>
      </c>
      <c r="H299" t="s">
        <v>21</v>
      </c>
      <c r="I299">
        <v>5</v>
      </c>
      <c r="J299" s="5">
        <v>1799</v>
      </c>
      <c r="K299" s="2">
        <v>0.1</v>
      </c>
      <c r="L299" t="s">
        <v>46</v>
      </c>
      <c r="M299" t="s">
        <v>23</v>
      </c>
      <c r="N299" s="1">
        <v>46258</v>
      </c>
      <c r="O299" s="1">
        <v>46257</v>
      </c>
      <c r="P299" s="5">
        <f>Orders[[#This Row],[Quantity]]*Orders[[#This Row],[Unit Price]]</f>
        <v>8995</v>
      </c>
      <c r="Q299" s="5">
        <f>Orders[[#This Row],[Gross Sales]]*Orders[[#This Row],[Discount %]]</f>
        <v>899.5</v>
      </c>
      <c r="R299" s="5">
        <f>Orders[[#This Row],[Gross Sales]]-Orders[[#This Row],[Discount Amount]]</f>
        <v>8095.5</v>
      </c>
      <c r="S299">
        <f>IF(Orders[[#This Row],[Actual Delivery Date]]="","",Orders[[#This Row],[Actual Delivery Date]]-Orders[[#This Row],[Order Date]])</f>
        <v>1</v>
      </c>
      <c r="T299" t="str">
        <f>IF(Orders[[#This Row],[Actual Delivery Date]]="","Pending",IF(Orders[[#This Row],[Actual Delivery Date]]&lt;=Orders[[#This Row],[Expected Delivery Date]],"On Time","Late"))</f>
        <v>On Time</v>
      </c>
      <c r="U299" t="str">
        <f>TEXT(Orders[[#This Row],[Order Date]],"mmm")</f>
        <v>Aug</v>
      </c>
      <c r="V299" s="8">
        <f>DATE(YEAR(Orders[[#This Row],[Order Date]]),MONTH(Orders[[#This Row],[Order Date]]),1)</f>
        <v>46235</v>
      </c>
      <c r="W299" s="5">
        <f>IF(Orders[[#This Row],[Order Status]]="Cancelled",Orders[[#This Row],[Net Sales]],0)</f>
        <v>0</v>
      </c>
    </row>
    <row r="300" spans="1:23" x14ac:dyDescent="0.3">
      <c r="A300" t="s">
        <v>740</v>
      </c>
      <c r="B300" s="7">
        <v>46071</v>
      </c>
      <c r="C300" t="s">
        <v>741</v>
      </c>
      <c r="D300" t="s">
        <v>588</v>
      </c>
      <c r="E300" t="s">
        <v>35</v>
      </c>
      <c r="F300" t="s">
        <v>36</v>
      </c>
      <c r="G300" t="s">
        <v>147</v>
      </c>
      <c r="H300" t="s">
        <v>58</v>
      </c>
      <c r="I300">
        <v>3</v>
      </c>
      <c r="J300" s="5">
        <v>399</v>
      </c>
      <c r="K300" s="2">
        <v>0</v>
      </c>
      <c r="L300" t="s">
        <v>39</v>
      </c>
      <c r="M300" t="s">
        <v>82</v>
      </c>
      <c r="N300" s="1">
        <v>46074</v>
      </c>
      <c r="O300" s="1">
        <v>46072</v>
      </c>
      <c r="P300" s="5">
        <f>Orders[[#This Row],[Quantity]]*Orders[[#This Row],[Unit Price]]</f>
        <v>1197</v>
      </c>
      <c r="Q300" s="5">
        <f>Orders[[#This Row],[Gross Sales]]*Orders[[#This Row],[Discount %]]</f>
        <v>0</v>
      </c>
      <c r="R300" s="5">
        <f>Orders[[#This Row],[Gross Sales]]-Orders[[#This Row],[Discount Amount]]</f>
        <v>1197</v>
      </c>
      <c r="S300">
        <f>IF(Orders[[#This Row],[Actual Delivery Date]]="","",Orders[[#This Row],[Actual Delivery Date]]-Orders[[#This Row],[Order Date]])</f>
        <v>1</v>
      </c>
      <c r="T300" t="str">
        <f>IF(Orders[[#This Row],[Actual Delivery Date]]="","Pending",IF(Orders[[#This Row],[Actual Delivery Date]]&lt;=Orders[[#This Row],[Expected Delivery Date]],"On Time","Late"))</f>
        <v>On Time</v>
      </c>
      <c r="U300" t="str">
        <f>TEXT(Orders[[#This Row],[Order Date]],"mmm")</f>
        <v>Feb</v>
      </c>
      <c r="V300" s="8">
        <f>DATE(YEAR(Orders[[#This Row],[Order Date]]),MONTH(Orders[[#This Row],[Order Date]]),1)</f>
        <v>46054</v>
      </c>
      <c r="W300" s="5">
        <f>IF(Orders[[#This Row],[Order Status]]="Cancelled",Orders[[#This Row],[Net Sales]],0)</f>
        <v>0</v>
      </c>
    </row>
    <row r="301" spans="1:23" x14ac:dyDescent="0.3">
      <c r="A301" t="s">
        <v>742</v>
      </c>
      <c r="B301" s="7">
        <v>46198</v>
      </c>
      <c r="C301" t="s">
        <v>491</v>
      </c>
      <c r="D301" t="s">
        <v>283</v>
      </c>
      <c r="E301" t="s">
        <v>79</v>
      </c>
      <c r="F301" t="s">
        <v>80</v>
      </c>
      <c r="G301" t="s">
        <v>153</v>
      </c>
      <c r="H301" t="s">
        <v>45</v>
      </c>
      <c r="I301">
        <v>1</v>
      </c>
      <c r="J301" s="5">
        <v>1999</v>
      </c>
      <c r="K301" s="2">
        <v>0.15</v>
      </c>
      <c r="L301" t="s">
        <v>70</v>
      </c>
      <c r="M301" t="s">
        <v>23</v>
      </c>
      <c r="N301" s="1">
        <v>46202</v>
      </c>
      <c r="O301" s="1">
        <v>46202</v>
      </c>
      <c r="P301" s="5">
        <f>Orders[[#This Row],[Quantity]]*Orders[[#This Row],[Unit Price]]</f>
        <v>1999</v>
      </c>
      <c r="Q301" s="5">
        <f>Orders[[#This Row],[Gross Sales]]*Orders[[#This Row],[Discount %]]</f>
        <v>299.84999999999997</v>
      </c>
      <c r="R301" s="5">
        <f>Orders[[#This Row],[Gross Sales]]-Orders[[#This Row],[Discount Amount]]</f>
        <v>1699.15</v>
      </c>
      <c r="S301">
        <f>IF(Orders[[#This Row],[Actual Delivery Date]]="","",Orders[[#This Row],[Actual Delivery Date]]-Orders[[#This Row],[Order Date]])</f>
        <v>4</v>
      </c>
      <c r="T301" t="str">
        <f>IF(Orders[[#This Row],[Actual Delivery Date]]="","Pending",IF(Orders[[#This Row],[Actual Delivery Date]]&lt;=Orders[[#This Row],[Expected Delivery Date]],"On Time","Late"))</f>
        <v>On Time</v>
      </c>
      <c r="U301" t="str">
        <f>TEXT(Orders[[#This Row],[Order Date]],"mmm")</f>
        <v>Jun</v>
      </c>
      <c r="V301" s="8">
        <f>DATE(YEAR(Orders[[#This Row],[Order Date]]),MONTH(Orders[[#This Row],[Order Date]]),1)</f>
        <v>46174</v>
      </c>
      <c r="W301" s="5">
        <f>IF(Orders[[#This Row],[Order Status]]="Cancelled",Orders[[#This Row],[Net Sales]],0)</f>
        <v>0</v>
      </c>
    </row>
    <row r="302" spans="1:23" x14ac:dyDescent="0.3">
      <c r="A302" t="s">
        <v>743</v>
      </c>
      <c r="B302" s="7">
        <v>46076</v>
      </c>
      <c r="C302" t="s">
        <v>196</v>
      </c>
      <c r="D302" t="s">
        <v>588</v>
      </c>
      <c r="E302" t="s">
        <v>18</v>
      </c>
      <c r="F302" t="s">
        <v>95</v>
      </c>
      <c r="G302" t="s">
        <v>52</v>
      </c>
      <c r="H302" t="s">
        <v>45</v>
      </c>
      <c r="I302">
        <v>1</v>
      </c>
      <c r="J302" s="5">
        <v>1299</v>
      </c>
      <c r="K302" s="2">
        <v>0.2</v>
      </c>
      <c r="L302" t="s">
        <v>70</v>
      </c>
      <c r="M302" t="s">
        <v>82</v>
      </c>
      <c r="N302" s="1">
        <v>46082</v>
      </c>
      <c r="O302" s="1">
        <v>46078</v>
      </c>
      <c r="P302" s="5">
        <f>Orders[[#This Row],[Quantity]]*Orders[[#This Row],[Unit Price]]</f>
        <v>1299</v>
      </c>
      <c r="Q302" s="5">
        <f>Orders[[#This Row],[Gross Sales]]*Orders[[#This Row],[Discount %]]</f>
        <v>259.8</v>
      </c>
      <c r="R302" s="5">
        <f>Orders[[#This Row],[Gross Sales]]-Orders[[#This Row],[Discount Amount]]</f>
        <v>1039.2</v>
      </c>
      <c r="S302">
        <f>IF(Orders[[#This Row],[Actual Delivery Date]]="","",Orders[[#This Row],[Actual Delivery Date]]-Orders[[#This Row],[Order Date]])</f>
        <v>2</v>
      </c>
      <c r="T302" t="str">
        <f>IF(Orders[[#This Row],[Actual Delivery Date]]="","Pending",IF(Orders[[#This Row],[Actual Delivery Date]]&lt;=Orders[[#This Row],[Expected Delivery Date]],"On Time","Late"))</f>
        <v>On Time</v>
      </c>
      <c r="U302" t="str">
        <f>TEXT(Orders[[#This Row],[Order Date]],"mmm")</f>
        <v>Feb</v>
      </c>
      <c r="V302" s="8">
        <f>DATE(YEAR(Orders[[#This Row],[Order Date]]),MONTH(Orders[[#This Row],[Order Date]]),1)</f>
        <v>46054</v>
      </c>
      <c r="W302" s="5">
        <f>IF(Orders[[#This Row],[Order Status]]="Cancelled",Orders[[#This Row],[Net Sales]],0)</f>
        <v>0</v>
      </c>
    </row>
    <row r="303" spans="1:23" x14ac:dyDescent="0.3">
      <c r="A303" t="s">
        <v>744</v>
      </c>
      <c r="B303" s="7">
        <v>46080</v>
      </c>
      <c r="C303" t="s">
        <v>230</v>
      </c>
      <c r="D303" t="s">
        <v>254</v>
      </c>
      <c r="E303" t="s">
        <v>18</v>
      </c>
      <c r="F303" t="s">
        <v>95</v>
      </c>
      <c r="G303" t="s">
        <v>57</v>
      </c>
      <c r="H303" t="s">
        <v>58</v>
      </c>
      <c r="I303">
        <v>3</v>
      </c>
      <c r="J303" s="5">
        <v>499</v>
      </c>
      <c r="K303" s="2">
        <v>0.15</v>
      </c>
      <c r="L303" t="s">
        <v>39</v>
      </c>
      <c r="M303" t="s">
        <v>23</v>
      </c>
      <c r="N303" s="1">
        <v>46084</v>
      </c>
      <c r="O303" s="1">
        <v>46081</v>
      </c>
      <c r="P303" s="5">
        <f>Orders[[#This Row],[Quantity]]*Orders[[#This Row],[Unit Price]]</f>
        <v>1497</v>
      </c>
      <c r="Q303" s="5">
        <f>Orders[[#This Row],[Gross Sales]]*Orders[[#This Row],[Discount %]]</f>
        <v>224.54999999999998</v>
      </c>
      <c r="R303" s="5">
        <f>Orders[[#This Row],[Gross Sales]]-Orders[[#This Row],[Discount Amount]]</f>
        <v>1272.45</v>
      </c>
      <c r="S303">
        <f>IF(Orders[[#This Row],[Actual Delivery Date]]="","",Orders[[#This Row],[Actual Delivery Date]]-Orders[[#This Row],[Order Date]])</f>
        <v>1</v>
      </c>
      <c r="T303" t="str">
        <f>IF(Orders[[#This Row],[Actual Delivery Date]]="","Pending",IF(Orders[[#This Row],[Actual Delivery Date]]&lt;=Orders[[#This Row],[Expected Delivery Date]],"On Time","Late"))</f>
        <v>On Time</v>
      </c>
      <c r="U303" t="str">
        <f>TEXT(Orders[[#This Row],[Order Date]],"mmm")</f>
        <v>Feb</v>
      </c>
      <c r="V303" s="8">
        <f>DATE(YEAR(Orders[[#This Row],[Order Date]]),MONTH(Orders[[#This Row],[Order Date]]),1)</f>
        <v>46054</v>
      </c>
      <c r="W303" s="5">
        <f>IF(Orders[[#This Row],[Order Status]]="Cancelled",Orders[[#This Row],[Net Sales]],0)</f>
        <v>0</v>
      </c>
    </row>
    <row r="304" spans="1:23" x14ac:dyDescent="0.3">
      <c r="A304" t="s">
        <v>745</v>
      </c>
      <c r="B304" s="7">
        <v>46375</v>
      </c>
      <c r="C304" t="s">
        <v>72</v>
      </c>
      <c r="D304" t="s">
        <v>710</v>
      </c>
      <c r="E304" t="s">
        <v>27</v>
      </c>
      <c r="F304" t="s">
        <v>51</v>
      </c>
      <c r="G304" t="s">
        <v>206</v>
      </c>
      <c r="H304" t="s">
        <v>30</v>
      </c>
      <c r="I304">
        <v>2</v>
      </c>
      <c r="J304" s="5">
        <v>1199</v>
      </c>
      <c r="K304" s="2">
        <v>0</v>
      </c>
      <c r="L304" t="s">
        <v>70</v>
      </c>
      <c r="M304" t="s">
        <v>59</v>
      </c>
      <c r="N304" s="1">
        <v>46382</v>
      </c>
      <c r="O304" s="1">
        <v>46378</v>
      </c>
      <c r="P304" s="5">
        <f>Orders[[#This Row],[Quantity]]*Orders[[#This Row],[Unit Price]]</f>
        <v>2398</v>
      </c>
      <c r="Q304" s="5">
        <f>Orders[[#This Row],[Gross Sales]]*Orders[[#This Row],[Discount %]]</f>
        <v>0</v>
      </c>
      <c r="R304" s="5">
        <f>Orders[[#This Row],[Gross Sales]]-Orders[[#This Row],[Discount Amount]]</f>
        <v>2398</v>
      </c>
      <c r="S304">
        <f>IF(Orders[[#This Row],[Actual Delivery Date]]="","",Orders[[#This Row],[Actual Delivery Date]]-Orders[[#This Row],[Order Date]])</f>
        <v>3</v>
      </c>
      <c r="T304" t="str">
        <f>IF(Orders[[#This Row],[Actual Delivery Date]]="","Pending",IF(Orders[[#This Row],[Actual Delivery Date]]&lt;=Orders[[#This Row],[Expected Delivery Date]],"On Time","Late"))</f>
        <v>On Time</v>
      </c>
      <c r="U304" t="str">
        <f>TEXT(Orders[[#This Row],[Order Date]],"mmm")</f>
        <v>Dec</v>
      </c>
      <c r="V304" s="8">
        <f>DATE(YEAR(Orders[[#This Row],[Order Date]]),MONTH(Orders[[#This Row],[Order Date]]),1)</f>
        <v>46357</v>
      </c>
      <c r="W304" s="5">
        <f>IF(Orders[[#This Row],[Order Status]]="Cancelled",Orders[[#This Row],[Net Sales]],0)</f>
        <v>2398</v>
      </c>
    </row>
    <row r="305" spans="1:23" x14ac:dyDescent="0.3">
      <c r="A305" t="s">
        <v>746</v>
      </c>
      <c r="B305" s="7">
        <v>46263</v>
      </c>
      <c r="C305" t="s">
        <v>416</v>
      </c>
      <c r="D305" t="s">
        <v>176</v>
      </c>
      <c r="E305" t="s">
        <v>18</v>
      </c>
      <c r="F305" t="s">
        <v>19</v>
      </c>
      <c r="G305" t="s">
        <v>69</v>
      </c>
      <c r="H305" t="s">
        <v>38</v>
      </c>
      <c r="I305">
        <v>3</v>
      </c>
      <c r="J305" s="5">
        <v>3499</v>
      </c>
      <c r="K305" s="2">
        <v>0.05</v>
      </c>
      <c r="L305" t="s">
        <v>39</v>
      </c>
      <c r="M305" t="s">
        <v>82</v>
      </c>
      <c r="N305" s="1">
        <v>46268</v>
      </c>
      <c r="O305" s="1">
        <v>46266</v>
      </c>
      <c r="P305" s="5">
        <f>Orders[[#This Row],[Quantity]]*Orders[[#This Row],[Unit Price]]</f>
        <v>10497</v>
      </c>
      <c r="Q305" s="5">
        <f>Orders[[#This Row],[Gross Sales]]*Orders[[#This Row],[Discount %]]</f>
        <v>524.85</v>
      </c>
      <c r="R305" s="5">
        <f>Orders[[#This Row],[Gross Sales]]-Orders[[#This Row],[Discount Amount]]</f>
        <v>9972.15</v>
      </c>
      <c r="S305">
        <f>IF(Orders[[#This Row],[Actual Delivery Date]]="","",Orders[[#This Row],[Actual Delivery Date]]-Orders[[#This Row],[Order Date]])</f>
        <v>3</v>
      </c>
      <c r="T305" t="str">
        <f>IF(Orders[[#This Row],[Actual Delivery Date]]="","Pending",IF(Orders[[#This Row],[Actual Delivery Date]]&lt;=Orders[[#This Row],[Expected Delivery Date]],"On Time","Late"))</f>
        <v>On Time</v>
      </c>
      <c r="U305" t="str">
        <f>TEXT(Orders[[#This Row],[Order Date]],"mmm")</f>
        <v>Aug</v>
      </c>
      <c r="V305" s="8">
        <f>DATE(YEAR(Orders[[#This Row],[Order Date]]),MONTH(Orders[[#This Row],[Order Date]]),1)</f>
        <v>46235</v>
      </c>
      <c r="W305" s="5">
        <f>IF(Orders[[#This Row],[Order Status]]="Cancelled",Orders[[#This Row],[Net Sales]],0)</f>
        <v>0</v>
      </c>
    </row>
    <row r="306" spans="1:23" x14ac:dyDescent="0.3">
      <c r="A306" t="s">
        <v>747</v>
      </c>
      <c r="B306" s="7">
        <v>46063</v>
      </c>
      <c r="C306" t="s">
        <v>748</v>
      </c>
      <c r="D306" t="s">
        <v>389</v>
      </c>
      <c r="E306" t="s">
        <v>27</v>
      </c>
      <c r="F306" t="s">
        <v>74</v>
      </c>
      <c r="G306" t="s">
        <v>180</v>
      </c>
      <c r="H306" t="s">
        <v>58</v>
      </c>
      <c r="I306">
        <v>2</v>
      </c>
      <c r="J306" s="5">
        <v>599</v>
      </c>
      <c r="K306" s="2">
        <v>0.2</v>
      </c>
      <c r="L306" t="s">
        <v>70</v>
      </c>
      <c r="M306" t="s">
        <v>23</v>
      </c>
      <c r="N306" s="1">
        <v>46068</v>
      </c>
      <c r="O306" s="1">
        <v>46064</v>
      </c>
      <c r="P306" s="5">
        <f>Orders[[#This Row],[Quantity]]*Orders[[#This Row],[Unit Price]]</f>
        <v>1198</v>
      </c>
      <c r="Q306" s="5">
        <f>Orders[[#This Row],[Gross Sales]]*Orders[[#This Row],[Discount %]]</f>
        <v>239.60000000000002</v>
      </c>
      <c r="R306" s="5">
        <f>Orders[[#This Row],[Gross Sales]]-Orders[[#This Row],[Discount Amount]]</f>
        <v>958.4</v>
      </c>
      <c r="S306">
        <f>IF(Orders[[#This Row],[Actual Delivery Date]]="","",Orders[[#This Row],[Actual Delivery Date]]-Orders[[#This Row],[Order Date]])</f>
        <v>1</v>
      </c>
      <c r="T306" t="str">
        <f>IF(Orders[[#This Row],[Actual Delivery Date]]="","Pending",IF(Orders[[#This Row],[Actual Delivery Date]]&lt;=Orders[[#This Row],[Expected Delivery Date]],"On Time","Late"))</f>
        <v>On Time</v>
      </c>
      <c r="U306" t="str">
        <f>TEXT(Orders[[#This Row],[Order Date]],"mmm")</f>
        <v>Feb</v>
      </c>
      <c r="V306" s="8">
        <f>DATE(YEAR(Orders[[#This Row],[Order Date]]),MONTH(Orders[[#This Row],[Order Date]]),1)</f>
        <v>46054</v>
      </c>
      <c r="W306" s="5">
        <f>IF(Orders[[#This Row],[Order Status]]="Cancelled",Orders[[#This Row],[Net Sales]],0)</f>
        <v>0</v>
      </c>
    </row>
    <row r="307" spans="1:23" x14ac:dyDescent="0.3">
      <c r="A307" t="s">
        <v>749</v>
      </c>
      <c r="B307" s="7">
        <v>46308</v>
      </c>
      <c r="C307" t="s">
        <v>750</v>
      </c>
      <c r="D307" t="s">
        <v>609</v>
      </c>
      <c r="E307" t="s">
        <v>18</v>
      </c>
      <c r="F307" t="s">
        <v>43</v>
      </c>
      <c r="G307" t="s">
        <v>147</v>
      </c>
      <c r="H307" t="s">
        <v>58</v>
      </c>
      <c r="I307">
        <v>2</v>
      </c>
      <c r="J307" s="5">
        <v>399</v>
      </c>
      <c r="K307" s="2">
        <v>0</v>
      </c>
      <c r="L307" t="s">
        <v>22</v>
      </c>
      <c r="M307" t="s">
        <v>47</v>
      </c>
      <c r="N307" s="1">
        <v>46315</v>
      </c>
      <c r="O307" s="1"/>
      <c r="P307" s="5">
        <f>Orders[[#This Row],[Quantity]]*Orders[[#This Row],[Unit Price]]</f>
        <v>798</v>
      </c>
      <c r="Q307" s="5">
        <f>Orders[[#This Row],[Gross Sales]]*Orders[[#This Row],[Discount %]]</f>
        <v>0</v>
      </c>
      <c r="R307" s="5">
        <f>Orders[[#This Row],[Gross Sales]]-Orders[[#This Row],[Discount Amount]]</f>
        <v>798</v>
      </c>
      <c r="S307" t="str">
        <f>IF(Orders[[#This Row],[Actual Delivery Date]]="","",Orders[[#This Row],[Actual Delivery Date]]-Orders[[#This Row],[Order Date]])</f>
        <v/>
      </c>
      <c r="T307" t="str">
        <f>IF(Orders[[#This Row],[Actual Delivery Date]]="","Pending",IF(Orders[[#This Row],[Actual Delivery Date]]&lt;=Orders[[#This Row],[Expected Delivery Date]],"On Time","Late"))</f>
        <v>Pending</v>
      </c>
      <c r="U307" t="str">
        <f>TEXT(Orders[[#This Row],[Order Date]],"mmm")</f>
        <v>Oct</v>
      </c>
      <c r="V307" s="8">
        <f>DATE(YEAR(Orders[[#This Row],[Order Date]]),MONTH(Orders[[#This Row],[Order Date]]),1)</f>
        <v>46296</v>
      </c>
      <c r="W307" s="5">
        <f>IF(Orders[[#This Row],[Order Status]]="Cancelled",Orders[[#This Row],[Net Sales]],0)</f>
        <v>0</v>
      </c>
    </row>
    <row r="308" spans="1:23" x14ac:dyDescent="0.3">
      <c r="A308" t="s">
        <v>751</v>
      </c>
      <c r="B308" s="7">
        <v>46050</v>
      </c>
      <c r="C308" t="s">
        <v>452</v>
      </c>
      <c r="D308" t="s">
        <v>752</v>
      </c>
      <c r="E308" t="s">
        <v>27</v>
      </c>
      <c r="F308" t="s">
        <v>74</v>
      </c>
      <c r="G308" t="s">
        <v>186</v>
      </c>
      <c r="H308" t="s">
        <v>21</v>
      </c>
      <c r="I308">
        <v>3</v>
      </c>
      <c r="J308" s="5">
        <v>1999</v>
      </c>
      <c r="K308" s="2">
        <v>0.15</v>
      </c>
      <c r="L308" t="s">
        <v>46</v>
      </c>
      <c r="M308" t="s">
        <v>47</v>
      </c>
      <c r="N308" s="1">
        <v>46056</v>
      </c>
      <c r="O308" s="1"/>
      <c r="P308" s="5">
        <f>Orders[[#This Row],[Quantity]]*Orders[[#This Row],[Unit Price]]</f>
        <v>5997</v>
      </c>
      <c r="Q308" s="5">
        <f>Orders[[#This Row],[Gross Sales]]*Orders[[#This Row],[Discount %]]</f>
        <v>899.55</v>
      </c>
      <c r="R308" s="5">
        <f>Orders[[#This Row],[Gross Sales]]-Orders[[#This Row],[Discount Amount]]</f>
        <v>5097.45</v>
      </c>
      <c r="S308" t="str">
        <f>IF(Orders[[#This Row],[Actual Delivery Date]]="","",Orders[[#This Row],[Actual Delivery Date]]-Orders[[#This Row],[Order Date]])</f>
        <v/>
      </c>
      <c r="T308" t="str">
        <f>IF(Orders[[#This Row],[Actual Delivery Date]]="","Pending",IF(Orders[[#This Row],[Actual Delivery Date]]&lt;=Orders[[#This Row],[Expected Delivery Date]],"On Time","Late"))</f>
        <v>Pending</v>
      </c>
      <c r="U308" t="str">
        <f>TEXT(Orders[[#This Row],[Order Date]],"mmm")</f>
        <v>Jan</v>
      </c>
      <c r="V308" s="8">
        <f>DATE(YEAR(Orders[[#This Row],[Order Date]]),MONTH(Orders[[#This Row],[Order Date]]),1)</f>
        <v>46023</v>
      </c>
      <c r="W308" s="5">
        <f>IF(Orders[[#This Row],[Order Status]]="Cancelled",Orders[[#This Row],[Net Sales]],0)</f>
        <v>0</v>
      </c>
    </row>
    <row r="309" spans="1:23" x14ac:dyDescent="0.3">
      <c r="A309" t="s">
        <v>753</v>
      </c>
      <c r="B309" s="7">
        <v>46024</v>
      </c>
      <c r="C309" t="s">
        <v>754</v>
      </c>
      <c r="D309" t="s">
        <v>42</v>
      </c>
      <c r="E309" t="s">
        <v>79</v>
      </c>
      <c r="F309" t="s">
        <v>86</v>
      </c>
      <c r="G309" t="s">
        <v>52</v>
      </c>
      <c r="H309" t="s">
        <v>45</v>
      </c>
      <c r="I309">
        <v>1</v>
      </c>
      <c r="J309" s="5">
        <v>1299</v>
      </c>
      <c r="K309" s="2">
        <v>0.1</v>
      </c>
      <c r="L309" t="s">
        <v>22</v>
      </c>
      <c r="M309" t="s">
        <v>47</v>
      </c>
      <c r="N309" s="1">
        <v>46028</v>
      </c>
      <c r="O309" s="1"/>
      <c r="P309" s="5">
        <f>Orders[[#This Row],[Quantity]]*Orders[[#This Row],[Unit Price]]</f>
        <v>1299</v>
      </c>
      <c r="Q309" s="5">
        <f>Orders[[#This Row],[Gross Sales]]*Orders[[#This Row],[Discount %]]</f>
        <v>129.9</v>
      </c>
      <c r="R309" s="5">
        <f>Orders[[#This Row],[Gross Sales]]-Orders[[#This Row],[Discount Amount]]</f>
        <v>1169.0999999999999</v>
      </c>
      <c r="S309" t="str">
        <f>IF(Orders[[#This Row],[Actual Delivery Date]]="","",Orders[[#This Row],[Actual Delivery Date]]-Orders[[#This Row],[Order Date]])</f>
        <v/>
      </c>
      <c r="T309" t="str">
        <f>IF(Orders[[#This Row],[Actual Delivery Date]]="","Pending",IF(Orders[[#This Row],[Actual Delivery Date]]&lt;=Orders[[#This Row],[Expected Delivery Date]],"On Time","Late"))</f>
        <v>Pending</v>
      </c>
      <c r="U309" t="str">
        <f>TEXT(Orders[[#This Row],[Order Date]],"mmm")</f>
        <v>Jan</v>
      </c>
      <c r="V309" s="8">
        <f>DATE(YEAR(Orders[[#This Row],[Order Date]]),MONTH(Orders[[#This Row],[Order Date]]),1)</f>
        <v>46023</v>
      </c>
      <c r="W309" s="5">
        <f>IF(Orders[[#This Row],[Order Status]]="Cancelled",Orders[[#This Row],[Net Sales]],0)</f>
        <v>0</v>
      </c>
    </row>
    <row r="310" spans="1:23" x14ac:dyDescent="0.3">
      <c r="A310" t="s">
        <v>755</v>
      </c>
      <c r="B310" s="7">
        <v>46077</v>
      </c>
      <c r="C310" t="s">
        <v>756</v>
      </c>
      <c r="D310" t="s">
        <v>318</v>
      </c>
      <c r="E310" t="s">
        <v>27</v>
      </c>
      <c r="F310" t="s">
        <v>74</v>
      </c>
      <c r="G310" t="s">
        <v>96</v>
      </c>
      <c r="H310" t="s">
        <v>38</v>
      </c>
      <c r="I310">
        <v>1</v>
      </c>
      <c r="J310" s="5">
        <v>1599</v>
      </c>
      <c r="K310" s="2">
        <v>0.05</v>
      </c>
      <c r="L310" t="s">
        <v>31</v>
      </c>
      <c r="M310" t="s">
        <v>23</v>
      </c>
      <c r="N310" s="1">
        <v>46082</v>
      </c>
      <c r="O310" s="1">
        <v>46079</v>
      </c>
      <c r="P310" s="5">
        <f>Orders[[#This Row],[Quantity]]*Orders[[#This Row],[Unit Price]]</f>
        <v>1599</v>
      </c>
      <c r="Q310" s="5">
        <f>Orders[[#This Row],[Gross Sales]]*Orders[[#This Row],[Discount %]]</f>
        <v>79.95</v>
      </c>
      <c r="R310" s="5">
        <f>Orders[[#This Row],[Gross Sales]]-Orders[[#This Row],[Discount Amount]]</f>
        <v>1519.05</v>
      </c>
      <c r="S310">
        <f>IF(Orders[[#This Row],[Actual Delivery Date]]="","",Orders[[#This Row],[Actual Delivery Date]]-Orders[[#This Row],[Order Date]])</f>
        <v>2</v>
      </c>
      <c r="T310" t="str">
        <f>IF(Orders[[#This Row],[Actual Delivery Date]]="","Pending",IF(Orders[[#This Row],[Actual Delivery Date]]&lt;=Orders[[#This Row],[Expected Delivery Date]],"On Time","Late"))</f>
        <v>On Time</v>
      </c>
      <c r="U310" t="str">
        <f>TEXT(Orders[[#This Row],[Order Date]],"mmm")</f>
        <v>Feb</v>
      </c>
      <c r="V310" s="8">
        <f>DATE(YEAR(Orders[[#This Row],[Order Date]]),MONTH(Orders[[#This Row],[Order Date]]),1)</f>
        <v>46054</v>
      </c>
      <c r="W310" s="5">
        <f>IF(Orders[[#This Row],[Order Status]]="Cancelled",Orders[[#This Row],[Net Sales]],0)</f>
        <v>0</v>
      </c>
    </row>
    <row r="311" spans="1:23" x14ac:dyDescent="0.3">
      <c r="A311" t="s">
        <v>757</v>
      </c>
      <c r="B311" s="7">
        <v>46253</v>
      </c>
      <c r="C311" t="s">
        <v>233</v>
      </c>
      <c r="D311" t="s">
        <v>431</v>
      </c>
      <c r="E311" t="s">
        <v>79</v>
      </c>
      <c r="F311" t="s">
        <v>86</v>
      </c>
      <c r="G311" t="s">
        <v>81</v>
      </c>
      <c r="H311" t="s">
        <v>30</v>
      </c>
      <c r="I311">
        <v>2</v>
      </c>
      <c r="J311" s="5">
        <v>899</v>
      </c>
      <c r="K311" s="2">
        <v>0.2</v>
      </c>
      <c r="L311" t="s">
        <v>22</v>
      </c>
      <c r="M311" t="s">
        <v>23</v>
      </c>
      <c r="N311" s="1">
        <v>46258</v>
      </c>
      <c r="O311" s="1">
        <v>46254</v>
      </c>
      <c r="P311" s="5">
        <f>Orders[[#This Row],[Quantity]]*Orders[[#This Row],[Unit Price]]</f>
        <v>1798</v>
      </c>
      <c r="Q311" s="5">
        <f>Orders[[#This Row],[Gross Sales]]*Orders[[#This Row],[Discount %]]</f>
        <v>359.6</v>
      </c>
      <c r="R311" s="5">
        <f>Orders[[#This Row],[Gross Sales]]-Orders[[#This Row],[Discount Amount]]</f>
        <v>1438.4</v>
      </c>
      <c r="S311">
        <f>IF(Orders[[#This Row],[Actual Delivery Date]]="","",Orders[[#This Row],[Actual Delivery Date]]-Orders[[#This Row],[Order Date]])</f>
        <v>1</v>
      </c>
      <c r="T311" t="str">
        <f>IF(Orders[[#This Row],[Actual Delivery Date]]="","Pending",IF(Orders[[#This Row],[Actual Delivery Date]]&lt;=Orders[[#This Row],[Expected Delivery Date]],"On Time","Late"))</f>
        <v>On Time</v>
      </c>
      <c r="U311" t="str">
        <f>TEXT(Orders[[#This Row],[Order Date]],"mmm")</f>
        <v>Aug</v>
      </c>
      <c r="V311" s="8">
        <f>DATE(YEAR(Orders[[#This Row],[Order Date]]),MONTH(Orders[[#This Row],[Order Date]]),1)</f>
        <v>46235</v>
      </c>
      <c r="W311" s="5">
        <f>IF(Orders[[#This Row],[Order Status]]="Cancelled",Orders[[#This Row],[Net Sales]],0)</f>
        <v>0</v>
      </c>
    </row>
    <row r="312" spans="1:23" x14ac:dyDescent="0.3">
      <c r="A312" t="s">
        <v>758</v>
      </c>
      <c r="B312" s="7">
        <v>46088</v>
      </c>
      <c r="C312" t="s">
        <v>145</v>
      </c>
      <c r="D312" t="s">
        <v>292</v>
      </c>
      <c r="E312" t="s">
        <v>79</v>
      </c>
      <c r="F312" t="s">
        <v>108</v>
      </c>
      <c r="G312" t="s">
        <v>29</v>
      </c>
      <c r="H312" t="s">
        <v>30</v>
      </c>
      <c r="I312">
        <v>1</v>
      </c>
      <c r="J312" s="5">
        <v>599</v>
      </c>
      <c r="K312" s="2">
        <v>0.2</v>
      </c>
      <c r="L312" t="s">
        <v>22</v>
      </c>
      <c r="M312" t="s">
        <v>23</v>
      </c>
      <c r="N312" s="1">
        <v>46094</v>
      </c>
      <c r="O312" s="1">
        <v>46098</v>
      </c>
      <c r="P312" s="5">
        <f>Orders[[#This Row],[Quantity]]*Orders[[#This Row],[Unit Price]]</f>
        <v>599</v>
      </c>
      <c r="Q312" s="5">
        <f>Orders[[#This Row],[Gross Sales]]*Orders[[#This Row],[Discount %]]</f>
        <v>119.80000000000001</v>
      </c>
      <c r="R312" s="5">
        <f>Orders[[#This Row],[Gross Sales]]-Orders[[#This Row],[Discount Amount]]</f>
        <v>479.2</v>
      </c>
      <c r="S312">
        <f>IF(Orders[[#This Row],[Actual Delivery Date]]="","",Orders[[#This Row],[Actual Delivery Date]]-Orders[[#This Row],[Order Date]])</f>
        <v>10</v>
      </c>
      <c r="T312" t="str">
        <f>IF(Orders[[#This Row],[Actual Delivery Date]]="","Pending",IF(Orders[[#This Row],[Actual Delivery Date]]&lt;=Orders[[#This Row],[Expected Delivery Date]],"On Time","Late"))</f>
        <v>Late</v>
      </c>
      <c r="U312" t="str">
        <f>TEXT(Orders[[#This Row],[Order Date]],"mmm")</f>
        <v>Mar</v>
      </c>
      <c r="V312" s="8">
        <f>DATE(YEAR(Orders[[#This Row],[Order Date]]),MONTH(Orders[[#This Row],[Order Date]]),1)</f>
        <v>46082</v>
      </c>
      <c r="W312" s="5">
        <f>IF(Orders[[#This Row],[Order Status]]="Cancelled",Orders[[#This Row],[Net Sales]],0)</f>
        <v>0</v>
      </c>
    </row>
    <row r="313" spans="1:23" x14ac:dyDescent="0.3">
      <c r="A313" t="s">
        <v>759</v>
      </c>
      <c r="B313" s="7">
        <v>46091</v>
      </c>
      <c r="C313" t="s">
        <v>233</v>
      </c>
      <c r="D313" t="s">
        <v>17</v>
      </c>
      <c r="E313" t="s">
        <v>79</v>
      </c>
      <c r="F313" t="s">
        <v>80</v>
      </c>
      <c r="G313" t="s">
        <v>218</v>
      </c>
      <c r="H313" t="s">
        <v>21</v>
      </c>
      <c r="I313">
        <v>1</v>
      </c>
      <c r="J313" s="5">
        <v>2999</v>
      </c>
      <c r="K313" s="2">
        <v>0.2</v>
      </c>
      <c r="L313" t="s">
        <v>22</v>
      </c>
      <c r="M313" t="s">
        <v>23</v>
      </c>
      <c r="N313" s="1">
        <v>46098</v>
      </c>
      <c r="O313" s="1">
        <v>46094</v>
      </c>
      <c r="P313" s="5">
        <f>Orders[[#This Row],[Quantity]]*Orders[[#This Row],[Unit Price]]</f>
        <v>2999</v>
      </c>
      <c r="Q313" s="5">
        <f>Orders[[#This Row],[Gross Sales]]*Orders[[#This Row],[Discount %]]</f>
        <v>599.80000000000007</v>
      </c>
      <c r="R313" s="5">
        <f>Orders[[#This Row],[Gross Sales]]-Orders[[#This Row],[Discount Amount]]</f>
        <v>2399.1999999999998</v>
      </c>
      <c r="S313">
        <f>IF(Orders[[#This Row],[Actual Delivery Date]]="","",Orders[[#This Row],[Actual Delivery Date]]-Orders[[#This Row],[Order Date]])</f>
        <v>3</v>
      </c>
      <c r="T313" t="str">
        <f>IF(Orders[[#This Row],[Actual Delivery Date]]="","Pending",IF(Orders[[#This Row],[Actual Delivery Date]]&lt;=Orders[[#This Row],[Expected Delivery Date]],"On Time","Late"))</f>
        <v>On Time</v>
      </c>
      <c r="U313" t="str">
        <f>TEXT(Orders[[#This Row],[Order Date]],"mmm")</f>
        <v>Mar</v>
      </c>
      <c r="V313" s="8">
        <f>DATE(YEAR(Orders[[#This Row],[Order Date]]),MONTH(Orders[[#This Row],[Order Date]]),1)</f>
        <v>46082</v>
      </c>
      <c r="W313" s="5">
        <f>IF(Orders[[#This Row],[Order Status]]="Cancelled",Orders[[#This Row],[Net Sales]],0)</f>
        <v>0</v>
      </c>
    </row>
    <row r="314" spans="1:23" x14ac:dyDescent="0.3">
      <c r="A314" t="s">
        <v>760</v>
      </c>
      <c r="B314" s="7">
        <v>46374</v>
      </c>
      <c r="C314" t="s">
        <v>761</v>
      </c>
      <c r="D314" t="s">
        <v>762</v>
      </c>
      <c r="E314" t="s">
        <v>27</v>
      </c>
      <c r="F314" t="s">
        <v>56</v>
      </c>
      <c r="G314" t="s">
        <v>91</v>
      </c>
      <c r="H314" t="s">
        <v>30</v>
      </c>
      <c r="I314">
        <v>1</v>
      </c>
      <c r="J314" s="5">
        <v>3299</v>
      </c>
      <c r="K314" s="2">
        <v>0.05</v>
      </c>
      <c r="L314" t="s">
        <v>31</v>
      </c>
      <c r="M314" t="s">
        <v>47</v>
      </c>
      <c r="N314" s="1">
        <v>46380</v>
      </c>
      <c r="O314" s="1"/>
      <c r="P314" s="5">
        <f>Orders[[#This Row],[Quantity]]*Orders[[#This Row],[Unit Price]]</f>
        <v>3299</v>
      </c>
      <c r="Q314" s="5">
        <f>Orders[[#This Row],[Gross Sales]]*Orders[[#This Row],[Discount %]]</f>
        <v>164.95000000000002</v>
      </c>
      <c r="R314" s="5">
        <f>Orders[[#This Row],[Gross Sales]]-Orders[[#This Row],[Discount Amount]]</f>
        <v>3134.05</v>
      </c>
      <c r="S314" t="str">
        <f>IF(Orders[[#This Row],[Actual Delivery Date]]="","",Orders[[#This Row],[Actual Delivery Date]]-Orders[[#This Row],[Order Date]])</f>
        <v/>
      </c>
      <c r="T314" t="str">
        <f>IF(Orders[[#This Row],[Actual Delivery Date]]="","Pending",IF(Orders[[#This Row],[Actual Delivery Date]]&lt;=Orders[[#This Row],[Expected Delivery Date]],"On Time","Late"))</f>
        <v>Pending</v>
      </c>
      <c r="U314" t="str">
        <f>TEXT(Orders[[#This Row],[Order Date]],"mmm")</f>
        <v>Dec</v>
      </c>
      <c r="V314" s="8">
        <f>DATE(YEAR(Orders[[#This Row],[Order Date]]),MONTH(Orders[[#This Row],[Order Date]]),1)</f>
        <v>46357</v>
      </c>
      <c r="W314" s="5">
        <f>IF(Orders[[#This Row],[Order Status]]="Cancelled",Orders[[#This Row],[Net Sales]],0)</f>
        <v>0</v>
      </c>
    </row>
    <row r="315" spans="1:23" x14ac:dyDescent="0.3">
      <c r="A315" t="s">
        <v>763</v>
      </c>
      <c r="B315" s="7">
        <v>46364</v>
      </c>
      <c r="C315" t="s">
        <v>754</v>
      </c>
      <c r="D315" t="s">
        <v>764</v>
      </c>
      <c r="E315" t="s">
        <v>35</v>
      </c>
      <c r="F315" t="s">
        <v>63</v>
      </c>
      <c r="G315" t="s">
        <v>206</v>
      </c>
      <c r="H315" t="s">
        <v>30</v>
      </c>
      <c r="I315">
        <v>2</v>
      </c>
      <c r="J315" s="5">
        <v>1199</v>
      </c>
      <c r="K315" s="2">
        <v>0.2</v>
      </c>
      <c r="L315" t="s">
        <v>46</v>
      </c>
      <c r="M315" t="s">
        <v>82</v>
      </c>
      <c r="N315" s="1">
        <v>46369</v>
      </c>
      <c r="O315" s="1">
        <v>46369</v>
      </c>
      <c r="P315" s="5">
        <f>Orders[[#This Row],[Quantity]]*Orders[[#This Row],[Unit Price]]</f>
        <v>2398</v>
      </c>
      <c r="Q315" s="5">
        <f>Orders[[#This Row],[Gross Sales]]*Orders[[#This Row],[Discount %]]</f>
        <v>479.6</v>
      </c>
      <c r="R315" s="5">
        <f>Orders[[#This Row],[Gross Sales]]-Orders[[#This Row],[Discount Amount]]</f>
        <v>1918.4</v>
      </c>
      <c r="S315">
        <f>IF(Orders[[#This Row],[Actual Delivery Date]]="","",Orders[[#This Row],[Actual Delivery Date]]-Orders[[#This Row],[Order Date]])</f>
        <v>5</v>
      </c>
      <c r="T315" t="str">
        <f>IF(Orders[[#This Row],[Actual Delivery Date]]="","Pending",IF(Orders[[#This Row],[Actual Delivery Date]]&lt;=Orders[[#This Row],[Expected Delivery Date]],"On Time","Late"))</f>
        <v>On Time</v>
      </c>
      <c r="U315" t="str">
        <f>TEXT(Orders[[#This Row],[Order Date]],"mmm")</f>
        <v>Dec</v>
      </c>
      <c r="V315" s="8">
        <f>DATE(YEAR(Orders[[#This Row],[Order Date]]),MONTH(Orders[[#This Row],[Order Date]]),1)</f>
        <v>46357</v>
      </c>
      <c r="W315" s="5">
        <f>IF(Orders[[#This Row],[Order Status]]="Cancelled",Orders[[#This Row],[Net Sales]],0)</f>
        <v>0</v>
      </c>
    </row>
    <row r="316" spans="1:23" x14ac:dyDescent="0.3">
      <c r="A316" t="s">
        <v>765</v>
      </c>
      <c r="B316" s="7">
        <v>46125</v>
      </c>
      <c r="C316" t="s">
        <v>766</v>
      </c>
      <c r="D316" t="s">
        <v>767</v>
      </c>
      <c r="E316" t="s">
        <v>79</v>
      </c>
      <c r="F316" t="s">
        <v>108</v>
      </c>
      <c r="G316" t="s">
        <v>75</v>
      </c>
      <c r="H316" t="s">
        <v>45</v>
      </c>
      <c r="I316">
        <v>1</v>
      </c>
      <c r="J316" s="5">
        <v>799</v>
      </c>
      <c r="K316" s="2">
        <v>0.05</v>
      </c>
      <c r="L316" t="s">
        <v>46</v>
      </c>
      <c r="M316" t="s">
        <v>59</v>
      </c>
      <c r="N316" s="1">
        <v>46129</v>
      </c>
      <c r="O316" s="1">
        <v>46126</v>
      </c>
      <c r="P316" s="5">
        <f>Orders[[#This Row],[Quantity]]*Orders[[#This Row],[Unit Price]]</f>
        <v>799</v>
      </c>
      <c r="Q316" s="5">
        <f>Orders[[#This Row],[Gross Sales]]*Orders[[#This Row],[Discount %]]</f>
        <v>39.950000000000003</v>
      </c>
      <c r="R316" s="5">
        <f>Orders[[#This Row],[Gross Sales]]-Orders[[#This Row],[Discount Amount]]</f>
        <v>759.05</v>
      </c>
      <c r="S316">
        <f>IF(Orders[[#This Row],[Actual Delivery Date]]="","",Orders[[#This Row],[Actual Delivery Date]]-Orders[[#This Row],[Order Date]])</f>
        <v>1</v>
      </c>
      <c r="T316" t="str">
        <f>IF(Orders[[#This Row],[Actual Delivery Date]]="","Pending",IF(Orders[[#This Row],[Actual Delivery Date]]&lt;=Orders[[#This Row],[Expected Delivery Date]],"On Time","Late"))</f>
        <v>On Time</v>
      </c>
      <c r="U316" t="str">
        <f>TEXT(Orders[[#This Row],[Order Date]],"mmm")</f>
        <v>Apr</v>
      </c>
      <c r="V316" s="8">
        <f>DATE(YEAR(Orders[[#This Row],[Order Date]]),MONTH(Orders[[#This Row],[Order Date]]),1)</f>
        <v>46113</v>
      </c>
      <c r="W316" s="5">
        <f>IF(Orders[[#This Row],[Order Status]]="Cancelled",Orders[[#This Row],[Net Sales]],0)</f>
        <v>759.05</v>
      </c>
    </row>
    <row r="317" spans="1:23" x14ac:dyDescent="0.3">
      <c r="A317" t="s">
        <v>768</v>
      </c>
      <c r="B317" s="7">
        <v>46338</v>
      </c>
      <c r="C317" t="s">
        <v>769</v>
      </c>
      <c r="D317" t="s">
        <v>249</v>
      </c>
      <c r="E317" t="s">
        <v>18</v>
      </c>
      <c r="F317" t="s">
        <v>121</v>
      </c>
      <c r="G317" t="s">
        <v>147</v>
      </c>
      <c r="H317" t="s">
        <v>58</v>
      </c>
      <c r="I317">
        <v>3</v>
      </c>
      <c r="J317" s="5">
        <v>399</v>
      </c>
      <c r="K317" s="2">
        <v>0.2</v>
      </c>
      <c r="L317" t="s">
        <v>31</v>
      </c>
      <c r="M317" t="s">
        <v>59</v>
      </c>
      <c r="N317" s="1">
        <v>46345</v>
      </c>
      <c r="O317" s="1">
        <v>46340</v>
      </c>
      <c r="P317" s="5">
        <f>Orders[[#This Row],[Quantity]]*Orders[[#This Row],[Unit Price]]</f>
        <v>1197</v>
      </c>
      <c r="Q317" s="5">
        <f>Orders[[#This Row],[Gross Sales]]*Orders[[#This Row],[Discount %]]</f>
        <v>239.4</v>
      </c>
      <c r="R317" s="5">
        <f>Orders[[#This Row],[Gross Sales]]-Orders[[#This Row],[Discount Amount]]</f>
        <v>957.6</v>
      </c>
      <c r="S317">
        <f>IF(Orders[[#This Row],[Actual Delivery Date]]="","",Orders[[#This Row],[Actual Delivery Date]]-Orders[[#This Row],[Order Date]])</f>
        <v>2</v>
      </c>
      <c r="T317" t="str">
        <f>IF(Orders[[#This Row],[Actual Delivery Date]]="","Pending",IF(Orders[[#This Row],[Actual Delivery Date]]&lt;=Orders[[#This Row],[Expected Delivery Date]],"On Time","Late"))</f>
        <v>On Time</v>
      </c>
      <c r="U317" t="str">
        <f>TEXT(Orders[[#This Row],[Order Date]],"mmm")</f>
        <v>Nov</v>
      </c>
      <c r="V317" s="8">
        <f>DATE(YEAR(Orders[[#This Row],[Order Date]]),MONTH(Orders[[#This Row],[Order Date]]),1)</f>
        <v>46327</v>
      </c>
      <c r="W317" s="5">
        <f>IF(Orders[[#This Row],[Order Status]]="Cancelled",Orders[[#This Row],[Net Sales]],0)</f>
        <v>957.6</v>
      </c>
    </row>
    <row r="318" spans="1:23" x14ac:dyDescent="0.3">
      <c r="A318" t="s">
        <v>770</v>
      </c>
      <c r="B318" s="7">
        <v>46373</v>
      </c>
      <c r="C318" t="s">
        <v>341</v>
      </c>
      <c r="D318" t="s">
        <v>266</v>
      </c>
      <c r="E318" t="s">
        <v>18</v>
      </c>
      <c r="F318" t="s">
        <v>43</v>
      </c>
      <c r="G318" t="s">
        <v>57</v>
      </c>
      <c r="H318" t="s">
        <v>58</v>
      </c>
      <c r="I318">
        <v>1</v>
      </c>
      <c r="J318" s="5">
        <v>499</v>
      </c>
      <c r="K318" s="2">
        <v>0.2</v>
      </c>
      <c r="L318" t="s">
        <v>39</v>
      </c>
      <c r="M318" t="s">
        <v>23</v>
      </c>
      <c r="N318" s="1">
        <v>46380</v>
      </c>
      <c r="O318" s="1">
        <v>46378</v>
      </c>
      <c r="P318" s="5">
        <f>Orders[[#This Row],[Quantity]]*Orders[[#This Row],[Unit Price]]</f>
        <v>499</v>
      </c>
      <c r="Q318" s="5">
        <f>Orders[[#This Row],[Gross Sales]]*Orders[[#This Row],[Discount %]]</f>
        <v>99.800000000000011</v>
      </c>
      <c r="R318" s="5">
        <f>Orders[[#This Row],[Gross Sales]]-Orders[[#This Row],[Discount Amount]]</f>
        <v>399.2</v>
      </c>
      <c r="S318">
        <f>IF(Orders[[#This Row],[Actual Delivery Date]]="","",Orders[[#This Row],[Actual Delivery Date]]-Orders[[#This Row],[Order Date]])</f>
        <v>5</v>
      </c>
      <c r="T318" t="str">
        <f>IF(Orders[[#This Row],[Actual Delivery Date]]="","Pending",IF(Orders[[#This Row],[Actual Delivery Date]]&lt;=Orders[[#This Row],[Expected Delivery Date]],"On Time","Late"))</f>
        <v>On Time</v>
      </c>
      <c r="U318" t="str">
        <f>TEXT(Orders[[#This Row],[Order Date]],"mmm")</f>
        <v>Dec</v>
      </c>
      <c r="V318" s="8">
        <f>DATE(YEAR(Orders[[#This Row],[Order Date]]),MONTH(Orders[[#This Row],[Order Date]]),1)</f>
        <v>46357</v>
      </c>
      <c r="W318" s="5">
        <f>IF(Orders[[#This Row],[Order Status]]="Cancelled",Orders[[#This Row],[Net Sales]],0)</f>
        <v>0</v>
      </c>
    </row>
    <row r="319" spans="1:23" x14ac:dyDescent="0.3">
      <c r="A319" t="s">
        <v>771</v>
      </c>
      <c r="B319" s="7">
        <v>46252</v>
      </c>
      <c r="C319" t="s">
        <v>199</v>
      </c>
      <c r="D319" t="s">
        <v>565</v>
      </c>
      <c r="E319" t="s">
        <v>35</v>
      </c>
      <c r="F319" t="s">
        <v>68</v>
      </c>
      <c r="G319" t="s">
        <v>131</v>
      </c>
      <c r="H319" t="s">
        <v>38</v>
      </c>
      <c r="I319">
        <v>1</v>
      </c>
      <c r="J319" s="5">
        <v>899</v>
      </c>
      <c r="K319" s="2">
        <v>0</v>
      </c>
      <c r="L319" t="s">
        <v>31</v>
      </c>
      <c r="M319" t="s">
        <v>23</v>
      </c>
      <c r="N319" s="1">
        <v>46259</v>
      </c>
      <c r="O319" s="1">
        <v>46256</v>
      </c>
      <c r="P319" s="5">
        <f>Orders[[#This Row],[Quantity]]*Orders[[#This Row],[Unit Price]]</f>
        <v>899</v>
      </c>
      <c r="Q319" s="5">
        <f>Orders[[#This Row],[Gross Sales]]*Orders[[#This Row],[Discount %]]</f>
        <v>0</v>
      </c>
      <c r="R319" s="5">
        <f>Orders[[#This Row],[Gross Sales]]-Orders[[#This Row],[Discount Amount]]</f>
        <v>899</v>
      </c>
      <c r="S319">
        <f>IF(Orders[[#This Row],[Actual Delivery Date]]="","",Orders[[#This Row],[Actual Delivery Date]]-Orders[[#This Row],[Order Date]])</f>
        <v>4</v>
      </c>
      <c r="T319" t="str">
        <f>IF(Orders[[#This Row],[Actual Delivery Date]]="","Pending",IF(Orders[[#This Row],[Actual Delivery Date]]&lt;=Orders[[#This Row],[Expected Delivery Date]],"On Time","Late"))</f>
        <v>On Time</v>
      </c>
      <c r="U319" t="str">
        <f>TEXT(Orders[[#This Row],[Order Date]],"mmm")</f>
        <v>Aug</v>
      </c>
      <c r="V319" s="8">
        <f>DATE(YEAR(Orders[[#This Row],[Order Date]]),MONTH(Orders[[#This Row],[Order Date]]),1)</f>
        <v>46235</v>
      </c>
      <c r="W319" s="5">
        <f>IF(Orders[[#This Row],[Order Status]]="Cancelled",Orders[[#This Row],[Net Sales]],0)</f>
        <v>0</v>
      </c>
    </row>
    <row r="320" spans="1:23" x14ac:dyDescent="0.3">
      <c r="A320" t="s">
        <v>772</v>
      </c>
      <c r="B320" s="7">
        <v>46322</v>
      </c>
      <c r="C320" t="s">
        <v>84</v>
      </c>
      <c r="D320" t="s">
        <v>214</v>
      </c>
      <c r="E320" t="s">
        <v>35</v>
      </c>
      <c r="F320" t="s">
        <v>36</v>
      </c>
      <c r="G320" t="s">
        <v>37</v>
      </c>
      <c r="H320" t="s">
        <v>38</v>
      </c>
      <c r="I320">
        <v>3</v>
      </c>
      <c r="J320" s="5">
        <v>699</v>
      </c>
      <c r="K320" s="2">
        <v>0</v>
      </c>
      <c r="L320" t="s">
        <v>46</v>
      </c>
      <c r="M320" t="s">
        <v>23</v>
      </c>
      <c r="N320" s="1">
        <v>46329</v>
      </c>
      <c r="O320" s="1">
        <v>46330</v>
      </c>
      <c r="P320" s="5">
        <f>Orders[[#This Row],[Quantity]]*Orders[[#This Row],[Unit Price]]</f>
        <v>2097</v>
      </c>
      <c r="Q320" s="5">
        <f>Orders[[#This Row],[Gross Sales]]*Orders[[#This Row],[Discount %]]</f>
        <v>0</v>
      </c>
      <c r="R320" s="5">
        <f>Orders[[#This Row],[Gross Sales]]-Orders[[#This Row],[Discount Amount]]</f>
        <v>2097</v>
      </c>
      <c r="S320">
        <f>IF(Orders[[#This Row],[Actual Delivery Date]]="","",Orders[[#This Row],[Actual Delivery Date]]-Orders[[#This Row],[Order Date]])</f>
        <v>8</v>
      </c>
      <c r="T320" t="str">
        <f>IF(Orders[[#This Row],[Actual Delivery Date]]="","Pending",IF(Orders[[#This Row],[Actual Delivery Date]]&lt;=Orders[[#This Row],[Expected Delivery Date]],"On Time","Late"))</f>
        <v>Late</v>
      </c>
      <c r="U320" t="str">
        <f>TEXT(Orders[[#This Row],[Order Date]],"mmm")</f>
        <v>Oct</v>
      </c>
      <c r="V320" s="8">
        <f>DATE(YEAR(Orders[[#This Row],[Order Date]]),MONTH(Orders[[#This Row],[Order Date]]),1)</f>
        <v>46296</v>
      </c>
      <c r="W320" s="5">
        <f>IF(Orders[[#This Row],[Order Status]]="Cancelled",Orders[[#This Row],[Net Sales]],0)</f>
        <v>0</v>
      </c>
    </row>
    <row r="321" spans="1:23" x14ac:dyDescent="0.3">
      <c r="A321" t="s">
        <v>773</v>
      </c>
      <c r="B321" s="7">
        <v>46304</v>
      </c>
      <c r="C321" t="s">
        <v>25</v>
      </c>
      <c r="D321" t="s">
        <v>173</v>
      </c>
      <c r="E321" t="s">
        <v>18</v>
      </c>
      <c r="F321" t="s">
        <v>121</v>
      </c>
      <c r="G321" t="s">
        <v>228</v>
      </c>
      <c r="H321" t="s">
        <v>58</v>
      </c>
      <c r="I321">
        <v>1</v>
      </c>
      <c r="J321" s="5">
        <v>1499</v>
      </c>
      <c r="K321" s="2">
        <v>0.1</v>
      </c>
      <c r="L321" t="s">
        <v>22</v>
      </c>
      <c r="M321" t="s">
        <v>23</v>
      </c>
      <c r="N321" s="1">
        <v>46307</v>
      </c>
      <c r="O321" s="1">
        <v>46307</v>
      </c>
      <c r="P321" s="5">
        <f>Orders[[#This Row],[Quantity]]*Orders[[#This Row],[Unit Price]]</f>
        <v>1499</v>
      </c>
      <c r="Q321" s="5">
        <f>Orders[[#This Row],[Gross Sales]]*Orders[[#This Row],[Discount %]]</f>
        <v>149.9</v>
      </c>
      <c r="R321" s="5">
        <f>Orders[[#This Row],[Gross Sales]]-Orders[[#This Row],[Discount Amount]]</f>
        <v>1349.1</v>
      </c>
      <c r="S321">
        <f>IF(Orders[[#This Row],[Actual Delivery Date]]="","",Orders[[#This Row],[Actual Delivery Date]]-Orders[[#This Row],[Order Date]])</f>
        <v>3</v>
      </c>
      <c r="T321" t="str">
        <f>IF(Orders[[#This Row],[Actual Delivery Date]]="","Pending",IF(Orders[[#This Row],[Actual Delivery Date]]&lt;=Orders[[#This Row],[Expected Delivery Date]],"On Time","Late"))</f>
        <v>On Time</v>
      </c>
      <c r="U321" t="str">
        <f>TEXT(Orders[[#This Row],[Order Date]],"mmm")</f>
        <v>Oct</v>
      </c>
      <c r="V321" s="8">
        <f>DATE(YEAR(Orders[[#This Row],[Order Date]]),MONTH(Orders[[#This Row],[Order Date]]),1)</f>
        <v>46296</v>
      </c>
      <c r="W321" s="5">
        <f>IF(Orders[[#This Row],[Order Status]]="Cancelled",Orders[[#This Row],[Net Sales]],0)</f>
        <v>0</v>
      </c>
    </row>
    <row r="322" spans="1:23" x14ac:dyDescent="0.3">
      <c r="A322" t="s">
        <v>774</v>
      </c>
      <c r="B322" s="7">
        <v>46132</v>
      </c>
      <c r="C322" t="s">
        <v>329</v>
      </c>
      <c r="D322" t="s">
        <v>130</v>
      </c>
      <c r="E322" t="s">
        <v>79</v>
      </c>
      <c r="F322" t="s">
        <v>86</v>
      </c>
      <c r="G322" t="s">
        <v>20</v>
      </c>
      <c r="H322" t="s">
        <v>21</v>
      </c>
      <c r="I322">
        <v>2</v>
      </c>
      <c r="J322" s="5">
        <v>1799</v>
      </c>
      <c r="K322" s="2">
        <v>0.1</v>
      </c>
      <c r="L322" t="s">
        <v>46</v>
      </c>
      <c r="M322" t="s">
        <v>23</v>
      </c>
      <c r="N322" s="1">
        <v>46135</v>
      </c>
      <c r="O322" s="1">
        <v>46139</v>
      </c>
      <c r="P322" s="5">
        <f>Orders[[#This Row],[Quantity]]*Orders[[#This Row],[Unit Price]]</f>
        <v>3598</v>
      </c>
      <c r="Q322" s="5">
        <f>Orders[[#This Row],[Gross Sales]]*Orders[[#This Row],[Discount %]]</f>
        <v>359.8</v>
      </c>
      <c r="R322" s="5">
        <f>Orders[[#This Row],[Gross Sales]]-Orders[[#This Row],[Discount Amount]]</f>
        <v>3238.2</v>
      </c>
      <c r="S322">
        <f>IF(Orders[[#This Row],[Actual Delivery Date]]="","",Orders[[#This Row],[Actual Delivery Date]]-Orders[[#This Row],[Order Date]])</f>
        <v>7</v>
      </c>
      <c r="T322" t="str">
        <f>IF(Orders[[#This Row],[Actual Delivery Date]]="","Pending",IF(Orders[[#This Row],[Actual Delivery Date]]&lt;=Orders[[#This Row],[Expected Delivery Date]],"On Time","Late"))</f>
        <v>Late</v>
      </c>
      <c r="U322" t="str">
        <f>TEXT(Orders[[#This Row],[Order Date]],"mmm")</f>
        <v>Apr</v>
      </c>
      <c r="V322" s="8">
        <f>DATE(YEAR(Orders[[#This Row],[Order Date]]),MONTH(Orders[[#This Row],[Order Date]]),1)</f>
        <v>46113</v>
      </c>
      <c r="W322" s="5">
        <f>IF(Orders[[#This Row],[Order Status]]="Cancelled",Orders[[#This Row],[Net Sales]],0)</f>
        <v>0</v>
      </c>
    </row>
    <row r="323" spans="1:23" x14ac:dyDescent="0.3">
      <c r="A323" t="s">
        <v>775</v>
      </c>
      <c r="B323" s="7">
        <v>46351</v>
      </c>
      <c r="C323" t="s">
        <v>776</v>
      </c>
      <c r="D323" t="s">
        <v>156</v>
      </c>
      <c r="E323" t="s">
        <v>18</v>
      </c>
      <c r="F323" t="s">
        <v>121</v>
      </c>
      <c r="G323" t="s">
        <v>180</v>
      </c>
      <c r="H323" t="s">
        <v>58</v>
      </c>
      <c r="I323">
        <v>2</v>
      </c>
      <c r="J323" s="5">
        <v>599</v>
      </c>
      <c r="K323" s="2">
        <v>0.2</v>
      </c>
      <c r="L323" t="s">
        <v>31</v>
      </c>
      <c r="M323" t="s">
        <v>23</v>
      </c>
      <c r="N323" s="1">
        <v>46358</v>
      </c>
      <c r="O323" s="1">
        <v>46362</v>
      </c>
      <c r="P323" s="5">
        <f>Orders[[#This Row],[Quantity]]*Orders[[#This Row],[Unit Price]]</f>
        <v>1198</v>
      </c>
      <c r="Q323" s="5">
        <f>Orders[[#This Row],[Gross Sales]]*Orders[[#This Row],[Discount %]]</f>
        <v>239.60000000000002</v>
      </c>
      <c r="R323" s="5">
        <f>Orders[[#This Row],[Gross Sales]]-Orders[[#This Row],[Discount Amount]]</f>
        <v>958.4</v>
      </c>
      <c r="S323">
        <f>IF(Orders[[#This Row],[Actual Delivery Date]]="","",Orders[[#This Row],[Actual Delivery Date]]-Orders[[#This Row],[Order Date]])</f>
        <v>11</v>
      </c>
      <c r="T323" t="str">
        <f>IF(Orders[[#This Row],[Actual Delivery Date]]="","Pending",IF(Orders[[#This Row],[Actual Delivery Date]]&lt;=Orders[[#This Row],[Expected Delivery Date]],"On Time","Late"))</f>
        <v>Late</v>
      </c>
      <c r="U323" t="str">
        <f>TEXT(Orders[[#This Row],[Order Date]],"mmm")</f>
        <v>Nov</v>
      </c>
      <c r="V323" s="8">
        <f>DATE(YEAR(Orders[[#This Row],[Order Date]]),MONTH(Orders[[#This Row],[Order Date]]),1)</f>
        <v>46327</v>
      </c>
      <c r="W323" s="5">
        <f>IF(Orders[[#This Row],[Order Status]]="Cancelled",Orders[[#This Row],[Net Sales]],0)</f>
        <v>0</v>
      </c>
    </row>
    <row r="324" spans="1:23" x14ac:dyDescent="0.3">
      <c r="A324" t="s">
        <v>777</v>
      </c>
      <c r="B324" s="7">
        <v>46214</v>
      </c>
      <c r="C324" t="s">
        <v>165</v>
      </c>
      <c r="D324" t="s">
        <v>778</v>
      </c>
      <c r="E324" t="s">
        <v>35</v>
      </c>
      <c r="F324" t="s">
        <v>36</v>
      </c>
      <c r="G324" t="s">
        <v>44</v>
      </c>
      <c r="H324" t="s">
        <v>45</v>
      </c>
      <c r="I324">
        <v>2</v>
      </c>
      <c r="J324" s="5">
        <v>1799</v>
      </c>
      <c r="K324" s="2">
        <v>0.2</v>
      </c>
      <c r="L324" t="s">
        <v>70</v>
      </c>
      <c r="M324" t="s">
        <v>23</v>
      </c>
      <c r="N324" s="1">
        <v>46216</v>
      </c>
      <c r="O324" s="1">
        <v>46215</v>
      </c>
      <c r="P324" s="5">
        <f>Orders[[#This Row],[Quantity]]*Orders[[#This Row],[Unit Price]]</f>
        <v>3598</v>
      </c>
      <c r="Q324" s="5">
        <f>Orders[[#This Row],[Gross Sales]]*Orders[[#This Row],[Discount %]]</f>
        <v>719.6</v>
      </c>
      <c r="R324" s="5">
        <f>Orders[[#This Row],[Gross Sales]]-Orders[[#This Row],[Discount Amount]]</f>
        <v>2878.4</v>
      </c>
      <c r="S324">
        <f>IF(Orders[[#This Row],[Actual Delivery Date]]="","",Orders[[#This Row],[Actual Delivery Date]]-Orders[[#This Row],[Order Date]])</f>
        <v>1</v>
      </c>
      <c r="T324" t="str">
        <f>IF(Orders[[#This Row],[Actual Delivery Date]]="","Pending",IF(Orders[[#This Row],[Actual Delivery Date]]&lt;=Orders[[#This Row],[Expected Delivery Date]],"On Time","Late"))</f>
        <v>On Time</v>
      </c>
      <c r="U324" t="str">
        <f>TEXT(Orders[[#This Row],[Order Date]],"mmm")</f>
        <v>Jul</v>
      </c>
      <c r="V324" s="8">
        <f>DATE(YEAR(Orders[[#This Row],[Order Date]]),MONTH(Orders[[#This Row],[Order Date]]),1)</f>
        <v>46204</v>
      </c>
      <c r="W324" s="5">
        <f>IF(Orders[[#This Row],[Order Status]]="Cancelled",Orders[[#This Row],[Net Sales]],0)</f>
        <v>0</v>
      </c>
    </row>
    <row r="325" spans="1:23" x14ac:dyDescent="0.3">
      <c r="A325" t="s">
        <v>779</v>
      </c>
      <c r="B325" s="7">
        <v>46296</v>
      </c>
      <c r="C325" t="s">
        <v>780</v>
      </c>
      <c r="D325" t="s">
        <v>781</v>
      </c>
      <c r="E325" t="s">
        <v>18</v>
      </c>
      <c r="F325" t="s">
        <v>19</v>
      </c>
      <c r="G325" t="s">
        <v>69</v>
      </c>
      <c r="H325" t="s">
        <v>38</v>
      </c>
      <c r="I325">
        <v>1</v>
      </c>
      <c r="J325" s="5">
        <v>3499</v>
      </c>
      <c r="K325" s="2">
        <v>0</v>
      </c>
      <c r="L325" t="s">
        <v>31</v>
      </c>
      <c r="M325" t="s">
        <v>59</v>
      </c>
      <c r="N325" s="1">
        <v>46303</v>
      </c>
      <c r="O325" s="1">
        <v>46303</v>
      </c>
      <c r="P325" s="5">
        <f>Orders[[#This Row],[Quantity]]*Orders[[#This Row],[Unit Price]]</f>
        <v>3499</v>
      </c>
      <c r="Q325" s="5">
        <f>Orders[[#This Row],[Gross Sales]]*Orders[[#This Row],[Discount %]]</f>
        <v>0</v>
      </c>
      <c r="R325" s="5">
        <f>Orders[[#This Row],[Gross Sales]]-Orders[[#This Row],[Discount Amount]]</f>
        <v>3499</v>
      </c>
      <c r="S325">
        <f>IF(Orders[[#This Row],[Actual Delivery Date]]="","",Orders[[#This Row],[Actual Delivery Date]]-Orders[[#This Row],[Order Date]])</f>
        <v>7</v>
      </c>
      <c r="T325" t="str">
        <f>IF(Orders[[#This Row],[Actual Delivery Date]]="","Pending",IF(Orders[[#This Row],[Actual Delivery Date]]&lt;=Orders[[#This Row],[Expected Delivery Date]],"On Time","Late"))</f>
        <v>On Time</v>
      </c>
      <c r="U325" t="str">
        <f>TEXT(Orders[[#This Row],[Order Date]],"mmm")</f>
        <v>Oct</v>
      </c>
      <c r="V325" s="8">
        <f>DATE(YEAR(Orders[[#This Row],[Order Date]]),MONTH(Orders[[#This Row],[Order Date]]),1)</f>
        <v>46296</v>
      </c>
      <c r="W325" s="5">
        <f>IF(Orders[[#This Row],[Order Status]]="Cancelled",Orders[[#This Row],[Net Sales]],0)</f>
        <v>3499</v>
      </c>
    </row>
    <row r="326" spans="1:23" x14ac:dyDescent="0.3">
      <c r="A326" t="s">
        <v>782</v>
      </c>
      <c r="B326" s="7">
        <v>46035</v>
      </c>
      <c r="C326" t="s">
        <v>783</v>
      </c>
      <c r="D326" t="s">
        <v>784</v>
      </c>
      <c r="E326" t="s">
        <v>27</v>
      </c>
      <c r="F326" t="s">
        <v>74</v>
      </c>
      <c r="G326" t="s">
        <v>52</v>
      </c>
      <c r="H326" t="s">
        <v>45</v>
      </c>
      <c r="I326">
        <v>2</v>
      </c>
      <c r="J326" s="5">
        <v>1299</v>
      </c>
      <c r="K326" s="2">
        <v>0.1</v>
      </c>
      <c r="L326" t="s">
        <v>39</v>
      </c>
      <c r="M326" t="s">
        <v>23</v>
      </c>
      <c r="N326" s="1">
        <v>46037</v>
      </c>
      <c r="O326" s="1">
        <v>46037</v>
      </c>
      <c r="P326" s="5">
        <f>Orders[[#This Row],[Quantity]]*Orders[[#This Row],[Unit Price]]</f>
        <v>2598</v>
      </c>
      <c r="Q326" s="5">
        <f>Orders[[#This Row],[Gross Sales]]*Orders[[#This Row],[Discount %]]</f>
        <v>259.8</v>
      </c>
      <c r="R326" s="5">
        <f>Orders[[#This Row],[Gross Sales]]-Orders[[#This Row],[Discount Amount]]</f>
        <v>2338.1999999999998</v>
      </c>
      <c r="S326">
        <f>IF(Orders[[#This Row],[Actual Delivery Date]]="","",Orders[[#This Row],[Actual Delivery Date]]-Orders[[#This Row],[Order Date]])</f>
        <v>2</v>
      </c>
      <c r="T326" t="str">
        <f>IF(Orders[[#This Row],[Actual Delivery Date]]="","Pending",IF(Orders[[#This Row],[Actual Delivery Date]]&lt;=Orders[[#This Row],[Expected Delivery Date]],"On Time","Late"))</f>
        <v>On Time</v>
      </c>
      <c r="U326" t="str">
        <f>TEXT(Orders[[#This Row],[Order Date]],"mmm")</f>
        <v>Jan</v>
      </c>
      <c r="V326" s="8">
        <f>DATE(YEAR(Orders[[#This Row],[Order Date]]),MONTH(Orders[[#This Row],[Order Date]]),1)</f>
        <v>46023</v>
      </c>
      <c r="W326" s="5">
        <f>IF(Orders[[#This Row],[Order Status]]="Cancelled",Orders[[#This Row],[Net Sales]],0)</f>
        <v>0</v>
      </c>
    </row>
    <row r="327" spans="1:23" x14ac:dyDescent="0.3">
      <c r="A327" t="s">
        <v>785</v>
      </c>
      <c r="B327" s="7">
        <v>46253</v>
      </c>
      <c r="C327" t="s">
        <v>786</v>
      </c>
      <c r="D327" t="s">
        <v>787</v>
      </c>
      <c r="E327" t="s">
        <v>27</v>
      </c>
      <c r="F327" t="s">
        <v>51</v>
      </c>
      <c r="G327" t="s">
        <v>57</v>
      </c>
      <c r="H327" t="s">
        <v>58</v>
      </c>
      <c r="I327">
        <v>2</v>
      </c>
      <c r="J327" s="5">
        <v>499</v>
      </c>
      <c r="K327" s="2">
        <v>0.15</v>
      </c>
      <c r="L327" t="s">
        <v>46</v>
      </c>
      <c r="M327" t="s">
        <v>23</v>
      </c>
      <c r="N327" s="1">
        <v>46258</v>
      </c>
      <c r="O327" s="1">
        <v>46258</v>
      </c>
      <c r="P327" s="5">
        <f>Orders[[#This Row],[Quantity]]*Orders[[#This Row],[Unit Price]]</f>
        <v>998</v>
      </c>
      <c r="Q327" s="5">
        <f>Orders[[#This Row],[Gross Sales]]*Orders[[#This Row],[Discount %]]</f>
        <v>149.69999999999999</v>
      </c>
      <c r="R327" s="5">
        <f>Orders[[#This Row],[Gross Sales]]-Orders[[#This Row],[Discount Amount]]</f>
        <v>848.3</v>
      </c>
      <c r="S327">
        <f>IF(Orders[[#This Row],[Actual Delivery Date]]="","",Orders[[#This Row],[Actual Delivery Date]]-Orders[[#This Row],[Order Date]])</f>
        <v>5</v>
      </c>
      <c r="T327" t="str">
        <f>IF(Orders[[#This Row],[Actual Delivery Date]]="","Pending",IF(Orders[[#This Row],[Actual Delivery Date]]&lt;=Orders[[#This Row],[Expected Delivery Date]],"On Time","Late"))</f>
        <v>On Time</v>
      </c>
      <c r="U327" t="str">
        <f>TEXT(Orders[[#This Row],[Order Date]],"mmm")</f>
        <v>Aug</v>
      </c>
      <c r="V327" s="8">
        <f>DATE(YEAR(Orders[[#This Row],[Order Date]]),MONTH(Orders[[#This Row],[Order Date]]),1)</f>
        <v>46235</v>
      </c>
      <c r="W327" s="5">
        <f>IF(Orders[[#This Row],[Order Status]]="Cancelled",Orders[[#This Row],[Net Sales]],0)</f>
        <v>0</v>
      </c>
    </row>
    <row r="328" spans="1:23" x14ac:dyDescent="0.3">
      <c r="A328" t="s">
        <v>788</v>
      </c>
      <c r="B328" s="7">
        <v>46077</v>
      </c>
      <c r="C328" t="s">
        <v>276</v>
      </c>
      <c r="D328" t="s">
        <v>343</v>
      </c>
      <c r="E328" t="s">
        <v>18</v>
      </c>
      <c r="F328" t="s">
        <v>19</v>
      </c>
      <c r="G328" t="s">
        <v>87</v>
      </c>
      <c r="H328" t="s">
        <v>21</v>
      </c>
      <c r="I328">
        <v>1</v>
      </c>
      <c r="J328" s="5">
        <v>1899</v>
      </c>
      <c r="K328" s="2">
        <v>0.1</v>
      </c>
      <c r="L328" t="s">
        <v>22</v>
      </c>
      <c r="M328" t="s">
        <v>23</v>
      </c>
      <c r="N328" s="1">
        <v>46081</v>
      </c>
      <c r="O328" s="1">
        <v>46081</v>
      </c>
      <c r="P328" s="5">
        <f>Orders[[#This Row],[Quantity]]*Orders[[#This Row],[Unit Price]]</f>
        <v>1899</v>
      </c>
      <c r="Q328" s="5">
        <f>Orders[[#This Row],[Gross Sales]]*Orders[[#This Row],[Discount %]]</f>
        <v>189.9</v>
      </c>
      <c r="R328" s="5">
        <f>Orders[[#This Row],[Gross Sales]]-Orders[[#This Row],[Discount Amount]]</f>
        <v>1709.1</v>
      </c>
      <c r="S328">
        <f>IF(Orders[[#This Row],[Actual Delivery Date]]="","",Orders[[#This Row],[Actual Delivery Date]]-Orders[[#This Row],[Order Date]])</f>
        <v>4</v>
      </c>
      <c r="T328" t="str">
        <f>IF(Orders[[#This Row],[Actual Delivery Date]]="","Pending",IF(Orders[[#This Row],[Actual Delivery Date]]&lt;=Orders[[#This Row],[Expected Delivery Date]],"On Time","Late"))</f>
        <v>On Time</v>
      </c>
      <c r="U328" t="str">
        <f>TEXT(Orders[[#This Row],[Order Date]],"mmm")</f>
        <v>Feb</v>
      </c>
      <c r="V328" s="8">
        <f>DATE(YEAR(Orders[[#This Row],[Order Date]]),MONTH(Orders[[#This Row],[Order Date]]),1)</f>
        <v>46054</v>
      </c>
      <c r="W328" s="5">
        <f>IF(Orders[[#This Row],[Order Status]]="Cancelled",Orders[[#This Row],[Net Sales]],0)</f>
        <v>0</v>
      </c>
    </row>
    <row r="329" spans="1:23" x14ac:dyDescent="0.3">
      <c r="A329" t="s">
        <v>789</v>
      </c>
      <c r="B329" s="7">
        <v>46135</v>
      </c>
      <c r="C329" t="s">
        <v>484</v>
      </c>
      <c r="D329" t="s">
        <v>790</v>
      </c>
      <c r="E329" t="s">
        <v>18</v>
      </c>
      <c r="F329" t="s">
        <v>43</v>
      </c>
      <c r="G329" t="s">
        <v>69</v>
      </c>
      <c r="H329" t="s">
        <v>38</v>
      </c>
      <c r="I329">
        <v>1</v>
      </c>
      <c r="J329" s="5">
        <v>3499</v>
      </c>
      <c r="K329" s="2">
        <v>0.15</v>
      </c>
      <c r="L329" t="s">
        <v>22</v>
      </c>
      <c r="M329" t="s">
        <v>23</v>
      </c>
      <c r="N329" s="1">
        <v>46142</v>
      </c>
      <c r="O329" s="1">
        <v>46141</v>
      </c>
      <c r="P329" s="5">
        <f>Orders[[#This Row],[Quantity]]*Orders[[#This Row],[Unit Price]]</f>
        <v>3499</v>
      </c>
      <c r="Q329" s="5">
        <f>Orders[[#This Row],[Gross Sales]]*Orders[[#This Row],[Discount %]]</f>
        <v>524.85</v>
      </c>
      <c r="R329" s="5">
        <f>Orders[[#This Row],[Gross Sales]]-Orders[[#This Row],[Discount Amount]]</f>
        <v>2974.15</v>
      </c>
      <c r="S329">
        <f>IF(Orders[[#This Row],[Actual Delivery Date]]="","",Orders[[#This Row],[Actual Delivery Date]]-Orders[[#This Row],[Order Date]])</f>
        <v>6</v>
      </c>
      <c r="T329" t="str">
        <f>IF(Orders[[#This Row],[Actual Delivery Date]]="","Pending",IF(Orders[[#This Row],[Actual Delivery Date]]&lt;=Orders[[#This Row],[Expected Delivery Date]],"On Time","Late"))</f>
        <v>On Time</v>
      </c>
      <c r="U329" t="str">
        <f>TEXT(Orders[[#This Row],[Order Date]],"mmm")</f>
        <v>Apr</v>
      </c>
      <c r="V329" s="8">
        <f>DATE(YEAR(Orders[[#This Row],[Order Date]]),MONTH(Orders[[#This Row],[Order Date]]),1)</f>
        <v>46113</v>
      </c>
      <c r="W329" s="5">
        <f>IF(Orders[[#This Row],[Order Status]]="Cancelled",Orders[[#This Row],[Net Sales]],0)</f>
        <v>0</v>
      </c>
    </row>
    <row r="330" spans="1:23" x14ac:dyDescent="0.3">
      <c r="A330" t="s">
        <v>791</v>
      </c>
      <c r="B330" s="7">
        <v>46316</v>
      </c>
      <c r="C330" t="s">
        <v>727</v>
      </c>
      <c r="D330" t="s">
        <v>792</v>
      </c>
      <c r="E330" t="s">
        <v>27</v>
      </c>
      <c r="F330" t="s">
        <v>28</v>
      </c>
      <c r="G330" t="s">
        <v>75</v>
      </c>
      <c r="H330" t="s">
        <v>45</v>
      </c>
      <c r="I330">
        <v>2</v>
      </c>
      <c r="J330" s="5">
        <v>799</v>
      </c>
      <c r="K330" s="2">
        <v>0.2</v>
      </c>
      <c r="L330" t="s">
        <v>22</v>
      </c>
      <c r="M330" t="s">
        <v>23</v>
      </c>
      <c r="N330" s="1">
        <v>46320</v>
      </c>
      <c r="O330" s="1">
        <v>46319</v>
      </c>
      <c r="P330" s="5">
        <f>Orders[[#This Row],[Quantity]]*Orders[[#This Row],[Unit Price]]</f>
        <v>1598</v>
      </c>
      <c r="Q330" s="5">
        <f>Orders[[#This Row],[Gross Sales]]*Orders[[#This Row],[Discount %]]</f>
        <v>319.60000000000002</v>
      </c>
      <c r="R330" s="5">
        <f>Orders[[#This Row],[Gross Sales]]-Orders[[#This Row],[Discount Amount]]</f>
        <v>1278.4000000000001</v>
      </c>
      <c r="S330">
        <f>IF(Orders[[#This Row],[Actual Delivery Date]]="","",Orders[[#This Row],[Actual Delivery Date]]-Orders[[#This Row],[Order Date]])</f>
        <v>3</v>
      </c>
      <c r="T330" t="str">
        <f>IF(Orders[[#This Row],[Actual Delivery Date]]="","Pending",IF(Orders[[#This Row],[Actual Delivery Date]]&lt;=Orders[[#This Row],[Expected Delivery Date]],"On Time","Late"))</f>
        <v>On Time</v>
      </c>
      <c r="U330" t="str">
        <f>TEXT(Orders[[#This Row],[Order Date]],"mmm")</f>
        <v>Oct</v>
      </c>
      <c r="V330" s="8">
        <f>DATE(YEAR(Orders[[#This Row],[Order Date]]),MONTH(Orders[[#This Row],[Order Date]]),1)</f>
        <v>46296</v>
      </c>
      <c r="W330" s="5">
        <f>IF(Orders[[#This Row],[Order Status]]="Cancelled",Orders[[#This Row],[Net Sales]],0)</f>
        <v>0</v>
      </c>
    </row>
    <row r="331" spans="1:23" x14ac:dyDescent="0.3">
      <c r="A331" t="s">
        <v>793</v>
      </c>
      <c r="B331" s="7">
        <v>46338</v>
      </c>
      <c r="C331" t="s">
        <v>794</v>
      </c>
      <c r="D331" t="s">
        <v>260</v>
      </c>
      <c r="E331" t="s">
        <v>27</v>
      </c>
      <c r="F331" t="s">
        <v>56</v>
      </c>
      <c r="G331" t="s">
        <v>37</v>
      </c>
      <c r="H331" t="s">
        <v>38</v>
      </c>
      <c r="I331">
        <v>3</v>
      </c>
      <c r="J331" s="5">
        <v>699</v>
      </c>
      <c r="K331" s="2">
        <v>0.05</v>
      </c>
      <c r="L331" t="s">
        <v>39</v>
      </c>
      <c r="M331" t="s">
        <v>23</v>
      </c>
      <c r="N331" s="1">
        <v>46345</v>
      </c>
      <c r="O331" s="1">
        <v>46345</v>
      </c>
      <c r="P331" s="5">
        <f>Orders[[#This Row],[Quantity]]*Orders[[#This Row],[Unit Price]]</f>
        <v>2097</v>
      </c>
      <c r="Q331" s="5">
        <f>Orders[[#This Row],[Gross Sales]]*Orders[[#This Row],[Discount %]]</f>
        <v>104.85000000000001</v>
      </c>
      <c r="R331" s="5">
        <f>Orders[[#This Row],[Gross Sales]]-Orders[[#This Row],[Discount Amount]]</f>
        <v>1992.15</v>
      </c>
      <c r="S331">
        <f>IF(Orders[[#This Row],[Actual Delivery Date]]="","",Orders[[#This Row],[Actual Delivery Date]]-Orders[[#This Row],[Order Date]])</f>
        <v>7</v>
      </c>
      <c r="T331" t="str">
        <f>IF(Orders[[#This Row],[Actual Delivery Date]]="","Pending",IF(Orders[[#This Row],[Actual Delivery Date]]&lt;=Orders[[#This Row],[Expected Delivery Date]],"On Time","Late"))</f>
        <v>On Time</v>
      </c>
      <c r="U331" t="str">
        <f>TEXT(Orders[[#This Row],[Order Date]],"mmm")</f>
        <v>Nov</v>
      </c>
      <c r="V331" s="8">
        <f>DATE(YEAR(Orders[[#This Row],[Order Date]]),MONTH(Orders[[#This Row],[Order Date]]),1)</f>
        <v>46327</v>
      </c>
      <c r="W331" s="5">
        <f>IF(Orders[[#This Row],[Order Status]]="Cancelled",Orders[[#This Row],[Net Sales]],0)</f>
        <v>0</v>
      </c>
    </row>
    <row r="332" spans="1:23" x14ac:dyDescent="0.3">
      <c r="A332" t="s">
        <v>795</v>
      </c>
      <c r="B332" s="7">
        <v>46151</v>
      </c>
      <c r="C332" t="s">
        <v>470</v>
      </c>
      <c r="D332" t="s">
        <v>796</v>
      </c>
      <c r="E332" t="s">
        <v>79</v>
      </c>
      <c r="F332" t="s">
        <v>86</v>
      </c>
      <c r="G332" t="s">
        <v>64</v>
      </c>
      <c r="H332" t="s">
        <v>21</v>
      </c>
      <c r="I332">
        <v>1</v>
      </c>
      <c r="J332" s="5">
        <v>699</v>
      </c>
      <c r="K332" s="2">
        <v>0.2</v>
      </c>
      <c r="L332" t="s">
        <v>70</v>
      </c>
      <c r="M332" t="s">
        <v>23</v>
      </c>
      <c r="N332" s="1">
        <v>46155</v>
      </c>
      <c r="O332" s="1">
        <v>46153</v>
      </c>
      <c r="P332" s="5">
        <f>Orders[[#This Row],[Quantity]]*Orders[[#This Row],[Unit Price]]</f>
        <v>699</v>
      </c>
      <c r="Q332" s="5">
        <f>Orders[[#This Row],[Gross Sales]]*Orders[[#This Row],[Discount %]]</f>
        <v>139.80000000000001</v>
      </c>
      <c r="R332" s="5">
        <f>Orders[[#This Row],[Gross Sales]]-Orders[[#This Row],[Discount Amount]]</f>
        <v>559.20000000000005</v>
      </c>
      <c r="S332">
        <f>IF(Orders[[#This Row],[Actual Delivery Date]]="","",Orders[[#This Row],[Actual Delivery Date]]-Orders[[#This Row],[Order Date]])</f>
        <v>2</v>
      </c>
      <c r="T332" t="str">
        <f>IF(Orders[[#This Row],[Actual Delivery Date]]="","Pending",IF(Orders[[#This Row],[Actual Delivery Date]]&lt;=Orders[[#This Row],[Expected Delivery Date]],"On Time","Late"))</f>
        <v>On Time</v>
      </c>
      <c r="U332" t="str">
        <f>TEXT(Orders[[#This Row],[Order Date]],"mmm")</f>
        <v>May</v>
      </c>
      <c r="V332" s="8">
        <f>DATE(YEAR(Orders[[#This Row],[Order Date]]),MONTH(Orders[[#This Row],[Order Date]]),1)</f>
        <v>46143</v>
      </c>
      <c r="W332" s="5">
        <f>IF(Orders[[#This Row],[Order Status]]="Cancelled",Orders[[#This Row],[Net Sales]],0)</f>
        <v>0</v>
      </c>
    </row>
    <row r="333" spans="1:23" x14ac:dyDescent="0.3">
      <c r="A333" t="s">
        <v>797</v>
      </c>
      <c r="B333" s="7">
        <v>46253</v>
      </c>
      <c r="C333" t="s">
        <v>798</v>
      </c>
      <c r="D333" t="s">
        <v>352</v>
      </c>
      <c r="E333" t="s">
        <v>18</v>
      </c>
      <c r="F333" t="s">
        <v>95</v>
      </c>
      <c r="G333" t="s">
        <v>218</v>
      </c>
      <c r="H333" t="s">
        <v>21</v>
      </c>
      <c r="I333">
        <v>1</v>
      </c>
      <c r="J333" s="5">
        <v>2999</v>
      </c>
      <c r="K333" s="2">
        <v>0.1</v>
      </c>
      <c r="L333" t="s">
        <v>22</v>
      </c>
      <c r="M333" t="s">
        <v>23</v>
      </c>
      <c r="N333" s="1">
        <v>46259</v>
      </c>
      <c r="O333" s="1">
        <v>46256</v>
      </c>
      <c r="P333" s="5">
        <f>Orders[[#This Row],[Quantity]]*Orders[[#This Row],[Unit Price]]</f>
        <v>2999</v>
      </c>
      <c r="Q333" s="5">
        <f>Orders[[#This Row],[Gross Sales]]*Orders[[#This Row],[Discount %]]</f>
        <v>299.90000000000003</v>
      </c>
      <c r="R333" s="5">
        <f>Orders[[#This Row],[Gross Sales]]-Orders[[#This Row],[Discount Amount]]</f>
        <v>2699.1</v>
      </c>
      <c r="S333">
        <f>IF(Orders[[#This Row],[Actual Delivery Date]]="","",Orders[[#This Row],[Actual Delivery Date]]-Orders[[#This Row],[Order Date]])</f>
        <v>3</v>
      </c>
      <c r="T333" t="str">
        <f>IF(Orders[[#This Row],[Actual Delivery Date]]="","Pending",IF(Orders[[#This Row],[Actual Delivery Date]]&lt;=Orders[[#This Row],[Expected Delivery Date]],"On Time","Late"))</f>
        <v>On Time</v>
      </c>
      <c r="U333" t="str">
        <f>TEXT(Orders[[#This Row],[Order Date]],"mmm")</f>
        <v>Aug</v>
      </c>
      <c r="V333" s="8">
        <f>DATE(YEAR(Orders[[#This Row],[Order Date]]),MONTH(Orders[[#This Row],[Order Date]]),1)</f>
        <v>46235</v>
      </c>
      <c r="W333" s="5">
        <f>IF(Orders[[#This Row],[Order Status]]="Cancelled",Orders[[#This Row],[Net Sales]],0)</f>
        <v>0</v>
      </c>
    </row>
    <row r="334" spans="1:23" x14ac:dyDescent="0.3">
      <c r="A334" t="s">
        <v>799</v>
      </c>
      <c r="B334" s="7">
        <v>46387</v>
      </c>
      <c r="C334" t="s">
        <v>506</v>
      </c>
      <c r="D334" t="s">
        <v>800</v>
      </c>
      <c r="E334" t="s">
        <v>18</v>
      </c>
      <c r="F334" t="s">
        <v>121</v>
      </c>
      <c r="G334" t="s">
        <v>37</v>
      </c>
      <c r="H334" t="s">
        <v>38</v>
      </c>
      <c r="I334">
        <v>2</v>
      </c>
      <c r="J334" s="5">
        <v>699</v>
      </c>
      <c r="K334" s="2">
        <v>0.15</v>
      </c>
      <c r="L334" t="s">
        <v>46</v>
      </c>
      <c r="M334" t="s">
        <v>82</v>
      </c>
      <c r="N334" s="1">
        <v>46391</v>
      </c>
      <c r="O334" s="1">
        <v>46390</v>
      </c>
      <c r="P334" s="5">
        <f>Orders[[#This Row],[Quantity]]*Orders[[#This Row],[Unit Price]]</f>
        <v>1398</v>
      </c>
      <c r="Q334" s="5">
        <f>Orders[[#This Row],[Gross Sales]]*Orders[[#This Row],[Discount %]]</f>
        <v>209.7</v>
      </c>
      <c r="R334" s="5">
        <f>Orders[[#This Row],[Gross Sales]]-Orders[[#This Row],[Discount Amount]]</f>
        <v>1188.3</v>
      </c>
      <c r="S334">
        <f>IF(Orders[[#This Row],[Actual Delivery Date]]="","",Orders[[#This Row],[Actual Delivery Date]]-Orders[[#This Row],[Order Date]])</f>
        <v>3</v>
      </c>
      <c r="T334" t="str">
        <f>IF(Orders[[#This Row],[Actual Delivery Date]]="","Pending",IF(Orders[[#This Row],[Actual Delivery Date]]&lt;=Orders[[#This Row],[Expected Delivery Date]],"On Time","Late"))</f>
        <v>On Time</v>
      </c>
      <c r="U334" t="str">
        <f>TEXT(Orders[[#This Row],[Order Date]],"mmm")</f>
        <v>Dec</v>
      </c>
      <c r="V334" s="8">
        <f>DATE(YEAR(Orders[[#This Row],[Order Date]]),MONTH(Orders[[#This Row],[Order Date]]),1)</f>
        <v>46357</v>
      </c>
      <c r="W334" s="5">
        <f>IF(Orders[[#This Row],[Order Status]]="Cancelled",Orders[[#This Row],[Net Sales]],0)</f>
        <v>0</v>
      </c>
    </row>
    <row r="335" spans="1:23" x14ac:dyDescent="0.3">
      <c r="A335" t="s">
        <v>801</v>
      </c>
      <c r="B335" s="7">
        <v>46305</v>
      </c>
      <c r="C335" t="s">
        <v>802</v>
      </c>
      <c r="D335" t="s">
        <v>433</v>
      </c>
      <c r="E335" t="s">
        <v>79</v>
      </c>
      <c r="F335" t="s">
        <v>80</v>
      </c>
      <c r="G335" t="s">
        <v>218</v>
      </c>
      <c r="H335" t="s">
        <v>21</v>
      </c>
      <c r="I335">
        <v>1</v>
      </c>
      <c r="J335" s="5">
        <v>2999</v>
      </c>
      <c r="K335" s="2">
        <v>0.2</v>
      </c>
      <c r="L335" t="s">
        <v>39</v>
      </c>
      <c r="M335" t="s">
        <v>82</v>
      </c>
      <c r="N335" s="1">
        <v>46309</v>
      </c>
      <c r="O335" s="1">
        <v>46307</v>
      </c>
      <c r="P335" s="5">
        <f>Orders[[#This Row],[Quantity]]*Orders[[#This Row],[Unit Price]]</f>
        <v>2999</v>
      </c>
      <c r="Q335" s="5">
        <f>Orders[[#This Row],[Gross Sales]]*Orders[[#This Row],[Discount %]]</f>
        <v>599.80000000000007</v>
      </c>
      <c r="R335" s="5">
        <f>Orders[[#This Row],[Gross Sales]]-Orders[[#This Row],[Discount Amount]]</f>
        <v>2399.1999999999998</v>
      </c>
      <c r="S335">
        <f>IF(Orders[[#This Row],[Actual Delivery Date]]="","",Orders[[#This Row],[Actual Delivery Date]]-Orders[[#This Row],[Order Date]])</f>
        <v>2</v>
      </c>
      <c r="T335" t="str">
        <f>IF(Orders[[#This Row],[Actual Delivery Date]]="","Pending",IF(Orders[[#This Row],[Actual Delivery Date]]&lt;=Orders[[#This Row],[Expected Delivery Date]],"On Time","Late"))</f>
        <v>On Time</v>
      </c>
      <c r="U335" t="str">
        <f>TEXT(Orders[[#This Row],[Order Date]],"mmm")</f>
        <v>Oct</v>
      </c>
      <c r="V335" s="8">
        <f>DATE(YEAR(Orders[[#This Row],[Order Date]]),MONTH(Orders[[#This Row],[Order Date]]),1)</f>
        <v>46296</v>
      </c>
      <c r="W335" s="5">
        <f>IF(Orders[[#This Row],[Order Status]]="Cancelled",Orders[[#This Row],[Net Sales]],0)</f>
        <v>0</v>
      </c>
    </row>
    <row r="336" spans="1:23" x14ac:dyDescent="0.3">
      <c r="A336" t="s">
        <v>803</v>
      </c>
      <c r="B336" s="7">
        <v>46282</v>
      </c>
      <c r="C336" t="s">
        <v>324</v>
      </c>
      <c r="D336" t="s">
        <v>804</v>
      </c>
      <c r="E336" t="s">
        <v>35</v>
      </c>
      <c r="F336" t="s">
        <v>135</v>
      </c>
      <c r="G336" t="s">
        <v>75</v>
      </c>
      <c r="H336" t="s">
        <v>45</v>
      </c>
      <c r="I336">
        <v>2</v>
      </c>
      <c r="J336" s="5">
        <v>799</v>
      </c>
      <c r="K336" s="2">
        <v>0.2</v>
      </c>
      <c r="L336" t="s">
        <v>22</v>
      </c>
      <c r="M336" t="s">
        <v>23</v>
      </c>
      <c r="N336" s="1">
        <v>46288</v>
      </c>
      <c r="O336" s="1">
        <v>46283</v>
      </c>
      <c r="P336" s="5">
        <f>Orders[[#This Row],[Quantity]]*Orders[[#This Row],[Unit Price]]</f>
        <v>1598</v>
      </c>
      <c r="Q336" s="5">
        <f>Orders[[#This Row],[Gross Sales]]*Orders[[#This Row],[Discount %]]</f>
        <v>319.60000000000002</v>
      </c>
      <c r="R336" s="5">
        <f>Orders[[#This Row],[Gross Sales]]-Orders[[#This Row],[Discount Amount]]</f>
        <v>1278.4000000000001</v>
      </c>
      <c r="S336">
        <f>IF(Orders[[#This Row],[Actual Delivery Date]]="","",Orders[[#This Row],[Actual Delivery Date]]-Orders[[#This Row],[Order Date]])</f>
        <v>1</v>
      </c>
      <c r="T336" t="str">
        <f>IF(Orders[[#This Row],[Actual Delivery Date]]="","Pending",IF(Orders[[#This Row],[Actual Delivery Date]]&lt;=Orders[[#This Row],[Expected Delivery Date]],"On Time","Late"))</f>
        <v>On Time</v>
      </c>
      <c r="U336" t="str">
        <f>TEXT(Orders[[#This Row],[Order Date]],"mmm")</f>
        <v>Sep</v>
      </c>
      <c r="V336" s="8">
        <f>DATE(YEAR(Orders[[#This Row],[Order Date]]),MONTH(Orders[[#This Row],[Order Date]]),1)</f>
        <v>46266</v>
      </c>
      <c r="W336" s="5">
        <f>IF(Orders[[#This Row],[Order Status]]="Cancelled",Orders[[#This Row],[Net Sales]],0)</f>
        <v>0</v>
      </c>
    </row>
    <row r="337" spans="1:23" x14ac:dyDescent="0.3">
      <c r="A337" t="s">
        <v>805</v>
      </c>
      <c r="B337" s="7">
        <v>46137</v>
      </c>
      <c r="C337" t="s">
        <v>806</v>
      </c>
      <c r="D337" t="s">
        <v>752</v>
      </c>
      <c r="E337" t="s">
        <v>79</v>
      </c>
      <c r="F337" t="s">
        <v>108</v>
      </c>
      <c r="G337" t="s">
        <v>218</v>
      </c>
      <c r="H337" t="s">
        <v>21</v>
      </c>
      <c r="I337">
        <v>3</v>
      </c>
      <c r="J337" s="5">
        <v>2999</v>
      </c>
      <c r="K337" s="2">
        <v>0.2</v>
      </c>
      <c r="L337" t="s">
        <v>46</v>
      </c>
      <c r="M337" t="s">
        <v>23</v>
      </c>
      <c r="N337" s="1">
        <v>46142</v>
      </c>
      <c r="O337" s="1">
        <v>46138</v>
      </c>
      <c r="P337" s="5">
        <f>Orders[[#This Row],[Quantity]]*Orders[[#This Row],[Unit Price]]</f>
        <v>8997</v>
      </c>
      <c r="Q337" s="5">
        <f>Orders[[#This Row],[Gross Sales]]*Orders[[#This Row],[Discount %]]</f>
        <v>1799.4</v>
      </c>
      <c r="R337" s="5">
        <f>Orders[[#This Row],[Gross Sales]]-Orders[[#This Row],[Discount Amount]]</f>
        <v>7197.6</v>
      </c>
      <c r="S337">
        <f>IF(Orders[[#This Row],[Actual Delivery Date]]="","",Orders[[#This Row],[Actual Delivery Date]]-Orders[[#This Row],[Order Date]])</f>
        <v>1</v>
      </c>
      <c r="T337" t="str">
        <f>IF(Orders[[#This Row],[Actual Delivery Date]]="","Pending",IF(Orders[[#This Row],[Actual Delivery Date]]&lt;=Orders[[#This Row],[Expected Delivery Date]],"On Time","Late"))</f>
        <v>On Time</v>
      </c>
      <c r="U337" t="str">
        <f>TEXT(Orders[[#This Row],[Order Date]],"mmm")</f>
        <v>Apr</v>
      </c>
      <c r="V337" s="8">
        <f>DATE(YEAR(Orders[[#This Row],[Order Date]]),MONTH(Orders[[#This Row],[Order Date]]),1)</f>
        <v>46113</v>
      </c>
      <c r="W337" s="5">
        <f>IF(Orders[[#This Row],[Order Status]]="Cancelled",Orders[[#This Row],[Net Sales]],0)</f>
        <v>0</v>
      </c>
    </row>
    <row r="338" spans="1:23" x14ac:dyDescent="0.3">
      <c r="A338" t="s">
        <v>807</v>
      </c>
      <c r="B338" s="7">
        <v>46286</v>
      </c>
      <c r="C338" t="s">
        <v>808</v>
      </c>
      <c r="D338" t="s">
        <v>544</v>
      </c>
      <c r="E338" t="s">
        <v>18</v>
      </c>
      <c r="F338" t="s">
        <v>95</v>
      </c>
      <c r="G338" t="s">
        <v>29</v>
      </c>
      <c r="H338" t="s">
        <v>30</v>
      </c>
      <c r="I338">
        <v>1</v>
      </c>
      <c r="J338" s="5">
        <v>599</v>
      </c>
      <c r="K338" s="2">
        <v>0.05</v>
      </c>
      <c r="L338" t="s">
        <v>31</v>
      </c>
      <c r="M338" t="s">
        <v>47</v>
      </c>
      <c r="N338" s="1">
        <v>46292</v>
      </c>
      <c r="O338" s="1"/>
      <c r="P338" s="5">
        <f>Orders[[#This Row],[Quantity]]*Orders[[#This Row],[Unit Price]]</f>
        <v>599</v>
      </c>
      <c r="Q338" s="5">
        <f>Orders[[#This Row],[Gross Sales]]*Orders[[#This Row],[Discount %]]</f>
        <v>29.950000000000003</v>
      </c>
      <c r="R338" s="5">
        <f>Orders[[#This Row],[Gross Sales]]-Orders[[#This Row],[Discount Amount]]</f>
        <v>569.04999999999995</v>
      </c>
      <c r="S338" t="str">
        <f>IF(Orders[[#This Row],[Actual Delivery Date]]="","",Orders[[#This Row],[Actual Delivery Date]]-Orders[[#This Row],[Order Date]])</f>
        <v/>
      </c>
      <c r="T338" t="str">
        <f>IF(Orders[[#This Row],[Actual Delivery Date]]="","Pending",IF(Orders[[#This Row],[Actual Delivery Date]]&lt;=Orders[[#This Row],[Expected Delivery Date]],"On Time","Late"))</f>
        <v>Pending</v>
      </c>
      <c r="U338" t="str">
        <f>TEXT(Orders[[#This Row],[Order Date]],"mmm")</f>
        <v>Sep</v>
      </c>
      <c r="V338" s="8">
        <f>DATE(YEAR(Orders[[#This Row],[Order Date]]),MONTH(Orders[[#This Row],[Order Date]]),1)</f>
        <v>46266</v>
      </c>
      <c r="W338" s="5">
        <f>IF(Orders[[#This Row],[Order Status]]="Cancelled",Orders[[#This Row],[Net Sales]],0)</f>
        <v>0</v>
      </c>
    </row>
    <row r="339" spans="1:23" x14ac:dyDescent="0.3">
      <c r="A339" t="s">
        <v>809</v>
      </c>
      <c r="B339" s="7">
        <v>46141</v>
      </c>
      <c r="C339" t="s">
        <v>810</v>
      </c>
      <c r="D339" t="s">
        <v>811</v>
      </c>
      <c r="E339" t="s">
        <v>35</v>
      </c>
      <c r="F339" t="s">
        <v>135</v>
      </c>
      <c r="G339" t="s">
        <v>96</v>
      </c>
      <c r="H339" t="s">
        <v>38</v>
      </c>
      <c r="I339">
        <v>1</v>
      </c>
      <c r="J339" s="5">
        <v>1599</v>
      </c>
      <c r="K339" s="2">
        <v>0.1</v>
      </c>
      <c r="L339" t="s">
        <v>31</v>
      </c>
      <c r="M339" t="s">
        <v>23</v>
      </c>
      <c r="N339" s="1">
        <v>46148</v>
      </c>
      <c r="O339" s="1">
        <v>46148</v>
      </c>
      <c r="P339" s="5">
        <f>Orders[[#This Row],[Quantity]]*Orders[[#This Row],[Unit Price]]</f>
        <v>1599</v>
      </c>
      <c r="Q339" s="5">
        <f>Orders[[#This Row],[Gross Sales]]*Orders[[#This Row],[Discount %]]</f>
        <v>159.9</v>
      </c>
      <c r="R339" s="5">
        <f>Orders[[#This Row],[Gross Sales]]-Orders[[#This Row],[Discount Amount]]</f>
        <v>1439.1</v>
      </c>
      <c r="S339">
        <f>IF(Orders[[#This Row],[Actual Delivery Date]]="","",Orders[[#This Row],[Actual Delivery Date]]-Orders[[#This Row],[Order Date]])</f>
        <v>7</v>
      </c>
      <c r="T339" t="str">
        <f>IF(Orders[[#This Row],[Actual Delivery Date]]="","Pending",IF(Orders[[#This Row],[Actual Delivery Date]]&lt;=Orders[[#This Row],[Expected Delivery Date]],"On Time","Late"))</f>
        <v>On Time</v>
      </c>
      <c r="U339" t="str">
        <f>TEXT(Orders[[#This Row],[Order Date]],"mmm")</f>
        <v>Apr</v>
      </c>
      <c r="V339" s="8">
        <f>DATE(YEAR(Orders[[#This Row],[Order Date]]),MONTH(Orders[[#This Row],[Order Date]]),1)</f>
        <v>46113</v>
      </c>
      <c r="W339" s="5">
        <f>IF(Orders[[#This Row],[Order Status]]="Cancelled",Orders[[#This Row],[Net Sales]],0)</f>
        <v>0</v>
      </c>
    </row>
    <row r="340" spans="1:23" x14ac:dyDescent="0.3">
      <c r="A340" t="s">
        <v>812</v>
      </c>
      <c r="B340" s="7">
        <v>46355</v>
      </c>
      <c r="C340" t="s">
        <v>248</v>
      </c>
      <c r="D340" t="s">
        <v>813</v>
      </c>
      <c r="E340" t="s">
        <v>79</v>
      </c>
      <c r="F340" t="s">
        <v>170</v>
      </c>
      <c r="G340" t="s">
        <v>75</v>
      </c>
      <c r="H340" t="s">
        <v>45</v>
      </c>
      <c r="I340">
        <v>1</v>
      </c>
      <c r="J340" s="5">
        <v>799</v>
      </c>
      <c r="K340" s="2">
        <v>0.2</v>
      </c>
      <c r="L340" t="s">
        <v>46</v>
      </c>
      <c r="M340" t="s">
        <v>82</v>
      </c>
      <c r="N340" s="1">
        <v>46362</v>
      </c>
      <c r="O340" s="1">
        <v>46360</v>
      </c>
      <c r="P340" s="5">
        <f>Orders[[#This Row],[Quantity]]*Orders[[#This Row],[Unit Price]]</f>
        <v>799</v>
      </c>
      <c r="Q340" s="5">
        <f>Orders[[#This Row],[Gross Sales]]*Orders[[#This Row],[Discount %]]</f>
        <v>159.80000000000001</v>
      </c>
      <c r="R340" s="5">
        <f>Orders[[#This Row],[Gross Sales]]-Orders[[#This Row],[Discount Amount]]</f>
        <v>639.20000000000005</v>
      </c>
      <c r="S340">
        <f>IF(Orders[[#This Row],[Actual Delivery Date]]="","",Orders[[#This Row],[Actual Delivery Date]]-Orders[[#This Row],[Order Date]])</f>
        <v>5</v>
      </c>
      <c r="T340" t="str">
        <f>IF(Orders[[#This Row],[Actual Delivery Date]]="","Pending",IF(Orders[[#This Row],[Actual Delivery Date]]&lt;=Orders[[#This Row],[Expected Delivery Date]],"On Time","Late"))</f>
        <v>On Time</v>
      </c>
      <c r="U340" t="str">
        <f>TEXT(Orders[[#This Row],[Order Date]],"mmm")</f>
        <v>Nov</v>
      </c>
      <c r="V340" s="8">
        <f>DATE(YEAR(Orders[[#This Row],[Order Date]]),MONTH(Orders[[#This Row],[Order Date]]),1)</f>
        <v>46327</v>
      </c>
      <c r="W340" s="5">
        <f>IF(Orders[[#This Row],[Order Status]]="Cancelled",Orders[[#This Row],[Net Sales]],0)</f>
        <v>0</v>
      </c>
    </row>
    <row r="341" spans="1:23" x14ac:dyDescent="0.3">
      <c r="A341" t="s">
        <v>814</v>
      </c>
      <c r="B341" s="7">
        <v>46357</v>
      </c>
      <c r="C341" t="s">
        <v>220</v>
      </c>
      <c r="D341" t="s">
        <v>478</v>
      </c>
      <c r="E341" t="s">
        <v>79</v>
      </c>
      <c r="F341" t="s">
        <v>170</v>
      </c>
      <c r="G341" t="s">
        <v>87</v>
      </c>
      <c r="H341" t="s">
        <v>21</v>
      </c>
      <c r="I341">
        <v>3</v>
      </c>
      <c r="J341" s="5">
        <v>1899</v>
      </c>
      <c r="K341" s="2">
        <v>0</v>
      </c>
      <c r="L341" t="s">
        <v>22</v>
      </c>
      <c r="M341" t="s">
        <v>23</v>
      </c>
      <c r="N341" s="1">
        <v>46362</v>
      </c>
      <c r="O341" s="1">
        <v>46364</v>
      </c>
      <c r="P341" s="5">
        <f>Orders[[#This Row],[Quantity]]*Orders[[#This Row],[Unit Price]]</f>
        <v>5697</v>
      </c>
      <c r="Q341" s="5">
        <f>Orders[[#This Row],[Gross Sales]]*Orders[[#This Row],[Discount %]]</f>
        <v>0</v>
      </c>
      <c r="R341" s="5">
        <f>Orders[[#This Row],[Gross Sales]]-Orders[[#This Row],[Discount Amount]]</f>
        <v>5697</v>
      </c>
      <c r="S341">
        <f>IF(Orders[[#This Row],[Actual Delivery Date]]="","",Orders[[#This Row],[Actual Delivery Date]]-Orders[[#This Row],[Order Date]])</f>
        <v>7</v>
      </c>
      <c r="T341" t="str">
        <f>IF(Orders[[#This Row],[Actual Delivery Date]]="","Pending",IF(Orders[[#This Row],[Actual Delivery Date]]&lt;=Orders[[#This Row],[Expected Delivery Date]],"On Time","Late"))</f>
        <v>Late</v>
      </c>
      <c r="U341" t="str">
        <f>TEXT(Orders[[#This Row],[Order Date]],"mmm")</f>
        <v>Dec</v>
      </c>
      <c r="V341" s="8">
        <f>DATE(YEAR(Orders[[#This Row],[Order Date]]),MONTH(Orders[[#This Row],[Order Date]]),1)</f>
        <v>46357</v>
      </c>
      <c r="W341" s="5">
        <f>IF(Orders[[#This Row],[Order Status]]="Cancelled",Orders[[#This Row],[Net Sales]],0)</f>
        <v>0</v>
      </c>
    </row>
    <row r="342" spans="1:23" x14ac:dyDescent="0.3">
      <c r="A342" t="s">
        <v>815</v>
      </c>
      <c r="B342" s="7">
        <v>46332</v>
      </c>
      <c r="C342" t="s">
        <v>634</v>
      </c>
      <c r="D342" t="s">
        <v>816</v>
      </c>
      <c r="E342" t="s">
        <v>35</v>
      </c>
      <c r="F342" t="s">
        <v>36</v>
      </c>
      <c r="G342" t="s">
        <v>57</v>
      </c>
      <c r="H342" t="s">
        <v>58</v>
      </c>
      <c r="I342">
        <v>1</v>
      </c>
      <c r="J342" s="5">
        <v>499</v>
      </c>
      <c r="K342" s="2">
        <v>0.05</v>
      </c>
      <c r="L342" t="s">
        <v>70</v>
      </c>
      <c r="M342" t="s">
        <v>23</v>
      </c>
      <c r="N342" s="1">
        <v>46335</v>
      </c>
      <c r="O342" s="1">
        <v>46335</v>
      </c>
      <c r="P342" s="5">
        <f>Orders[[#This Row],[Quantity]]*Orders[[#This Row],[Unit Price]]</f>
        <v>499</v>
      </c>
      <c r="Q342" s="5">
        <f>Orders[[#This Row],[Gross Sales]]*Orders[[#This Row],[Discount %]]</f>
        <v>24.950000000000003</v>
      </c>
      <c r="R342" s="5">
        <f>Orders[[#This Row],[Gross Sales]]-Orders[[#This Row],[Discount Amount]]</f>
        <v>474.05</v>
      </c>
      <c r="S342">
        <f>IF(Orders[[#This Row],[Actual Delivery Date]]="","",Orders[[#This Row],[Actual Delivery Date]]-Orders[[#This Row],[Order Date]])</f>
        <v>3</v>
      </c>
      <c r="T342" t="str">
        <f>IF(Orders[[#This Row],[Actual Delivery Date]]="","Pending",IF(Orders[[#This Row],[Actual Delivery Date]]&lt;=Orders[[#This Row],[Expected Delivery Date]],"On Time","Late"))</f>
        <v>On Time</v>
      </c>
      <c r="U342" t="str">
        <f>TEXT(Orders[[#This Row],[Order Date]],"mmm")</f>
        <v>Nov</v>
      </c>
      <c r="V342" s="8">
        <f>DATE(YEAR(Orders[[#This Row],[Order Date]]),MONTH(Orders[[#This Row],[Order Date]]),1)</f>
        <v>46327</v>
      </c>
      <c r="W342" s="5">
        <f>IF(Orders[[#This Row],[Order Status]]="Cancelled",Orders[[#This Row],[Net Sales]],0)</f>
        <v>0</v>
      </c>
    </row>
    <row r="343" spans="1:23" x14ac:dyDescent="0.3">
      <c r="A343" t="s">
        <v>817</v>
      </c>
      <c r="B343" s="7">
        <v>46331</v>
      </c>
      <c r="C343" t="s">
        <v>506</v>
      </c>
      <c r="D343" t="s">
        <v>464</v>
      </c>
      <c r="E343" t="s">
        <v>27</v>
      </c>
      <c r="F343" t="s">
        <v>56</v>
      </c>
      <c r="G343" t="s">
        <v>131</v>
      </c>
      <c r="H343" t="s">
        <v>38</v>
      </c>
      <c r="I343">
        <v>2</v>
      </c>
      <c r="J343" s="5">
        <v>899</v>
      </c>
      <c r="K343" s="2">
        <v>0</v>
      </c>
      <c r="L343" t="s">
        <v>31</v>
      </c>
      <c r="M343" t="s">
        <v>23</v>
      </c>
      <c r="N343" s="1">
        <v>46335</v>
      </c>
      <c r="O343" s="1">
        <v>46335</v>
      </c>
      <c r="P343" s="5">
        <f>Orders[[#This Row],[Quantity]]*Orders[[#This Row],[Unit Price]]</f>
        <v>1798</v>
      </c>
      <c r="Q343" s="5">
        <f>Orders[[#This Row],[Gross Sales]]*Orders[[#This Row],[Discount %]]</f>
        <v>0</v>
      </c>
      <c r="R343" s="5">
        <f>Orders[[#This Row],[Gross Sales]]-Orders[[#This Row],[Discount Amount]]</f>
        <v>1798</v>
      </c>
      <c r="S343">
        <f>IF(Orders[[#This Row],[Actual Delivery Date]]="","",Orders[[#This Row],[Actual Delivery Date]]-Orders[[#This Row],[Order Date]])</f>
        <v>4</v>
      </c>
      <c r="T343" t="str">
        <f>IF(Orders[[#This Row],[Actual Delivery Date]]="","Pending",IF(Orders[[#This Row],[Actual Delivery Date]]&lt;=Orders[[#This Row],[Expected Delivery Date]],"On Time","Late"))</f>
        <v>On Time</v>
      </c>
      <c r="U343" t="str">
        <f>TEXT(Orders[[#This Row],[Order Date]],"mmm")</f>
        <v>Nov</v>
      </c>
      <c r="V343" s="8">
        <f>DATE(YEAR(Orders[[#This Row],[Order Date]]),MONTH(Orders[[#This Row],[Order Date]]),1)</f>
        <v>46327</v>
      </c>
      <c r="W343" s="5">
        <f>IF(Orders[[#This Row],[Order Status]]="Cancelled",Orders[[#This Row],[Net Sales]],0)</f>
        <v>0</v>
      </c>
    </row>
    <row r="344" spans="1:23" x14ac:dyDescent="0.3">
      <c r="A344" t="s">
        <v>818</v>
      </c>
      <c r="B344" s="7">
        <v>46147</v>
      </c>
      <c r="C344" t="s">
        <v>666</v>
      </c>
      <c r="D344" t="s">
        <v>687</v>
      </c>
      <c r="E344" t="s">
        <v>27</v>
      </c>
      <c r="F344" t="s">
        <v>56</v>
      </c>
      <c r="G344" t="s">
        <v>147</v>
      </c>
      <c r="H344" t="s">
        <v>58</v>
      </c>
      <c r="I344">
        <v>1</v>
      </c>
      <c r="J344" s="5">
        <v>399</v>
      </c>
      <c r="K344" s="2">
        <v>0.2</v>
      </c>
      <c r="L344" t="s">
        <v>22</v>
      </c>
      <c r="M344" t="s">
        <v>23</v>
      </c>
      <c r="N344" s="1">
        <v>46150</v>
      </c>
      <c r="O344" s="1">
        <v>46148</v>
      </c>
      <c r="P344" s="5">
        <f>Orders[[#This Row],[Quantity]]*Orders[[#This Row],[Unit Price]]</f>
        <v>399</v>
      </c>
      <c r="Q344" s="5">
        <f>Orders[[#This Row],[Gross Sales]]*Orders[[#This Row],[Discount %]]</f>
        <v>79.800000000000011</v>
      </c>
      <c r="R344" s="5">
        <f>Orders[[#This Row],[Gross Sales]]-Orders[[#This Row],[Discount Amount]]</f>
        <v>319.2</v>
      </c>
      <c r="S344">
        <f>IF(Orders[[#This Row],[Actual Delivery Date]]="","",Orders[[#This Row],[Actual Delivery Date]]-Orders[[#This Row],[Order Date]])</f>
        <v>1</v>
      </c>
      <c r="T344" t="str">
        <f>IF(Orders[[#This Row],[Actual Delivery Date]]="","Pending",IF(Orders[[#This Row],[Actual Delivery Date]]&lt;=Orders[[#This Row],[Expected Delivery Date]],"On Time","Late"))</f>
        <v>On Time</v>
      </c>
      <c r="U344" t="str">
        <f>TEXT(Orders[[#This Row],[Order Date]],"mmm")</f>
        <v>May</v>
      </c>
      <c r="V344" s="8">
        <f>DATE(YEAR(Orders[[#This Row],[Order Date]]),MONTH(Orders[[#This Row],[Order Date]]),1)</f>
        <v>46143</v>
      </c>
      <c r="W344" s="5">
        <f>IF(Orders[[#This Row],[Order Status]]="Cancelled",Orders[[#This Row],[Net Sales]],0)</f>
        <v>0</v>
      </c>
    </row>
    <row r="345" spans="1:23" x14ac:dyDescent="0.3">
      <c r="A345" t="s">
        <v>819</v>
      </c>
      <c r="B345" s="7">
        <v>46287</v>
      </c>
      <c r="C345" t="s">
        <v>89</v>
      </c>
      <c r="D345" t="s">
        <v>325</v>
      </c>
      <c r="E345" t="s">
        <v>18</v>
      </c>
      <c r="F345" t="s">
        <v>95</v>
      </c>
      <c r="G345" t="s">
        <v>20</v>
      </c>
      <c r="H345" t="s">
        <v>21</v>
      </c>
      <c r="I345">
        <v>4</v>
      </c>
      <c r="J345" s="5">
        <v>1799</v>
      </c>
      <c r="K345" s="2">
        <v>0.2</v>
      </c>
      <c r="L345" t="s">
        <v>22</v>
      </c>
      <c r="M345" t="s">
        <v>59</v>
      </c>
      <c r="N345" s="1">
        <v>46289</v>
      </c>
      <c r="O345" s="1">
        <v>46289</v>
      </c>
      <c r="P345" s="5">
        <f>Orders[[#This Row],[Quantity]]*Orders[[#This Row],[Unit Price]]</f>
        <v>7196</v>
      </c>
      <c r="Q345" s="5">
        <f>Orders[[#This Row],[Gross Sales]]*Orders[[#This Row],[Discount %]]</f>
        <v>1439.2</v>
      </c>
      <c r="R345" s="5">
        <f>Orders[[#This Row],[Gross Sales]]-Orders[[#This Row],[Discount Amount]]</f>
        <v>5756.8</v>
      </c>
      <c r="S345">
        <f>IF(Orders[[#This Row],[Actual Delivery Date]]="","",Orders[[#This Row],[Actual Delivery Date]]-Orders[[#This Row],[Order Date]])</f>
        <v>2</v>
      </c>
      <c r="T345" t="str">
        <f>IF(Orders[[#This Row],[Actual Delivery Date]]="","Pending",IF(Orders[[#This Row],[Actual Delivery Date]]&lt;=Orders[[#This Row],[Expected Delivery Date]],"On Time","Late"))</f>
        <v>On Time</v>
      </c>
      <c r="U345" t="str">
        <f>TEXT(Orders[[#This Row],[Order Date]],"mmm")</f>
        <v>Sep</v>
      </c>
      <c r="V345" s="8">
        <f>DATE(YEAR(Orders[[#This Row],[Order Date]]),MONTH(Orders[[#This Row],[Order Date]]),1)</f>
        <v>46266</v>
      </c>
      <c r="W345" s="5">
        <f>IF(Orders[[#This Row],[Order Status]]="Cancelled",Orders[[#This Row],[Net Sales]],0)</f>
        <v>5756.8</v>
      </c>
    </row>
    <row r="346" spans="1:23" x14ac:dyDescent="0.3">
      <c r="A346" t="s">
        <v>820</v>
      </c>
      <c r="B346" s="7">
        <v>46135</v>
      </c>
      <c r="C346" t="s">
        <v>769</v>
      </c>
      <c r="D346" t="s">
        <v>134</v>
      </c>
      <c r="E346" t="s">
        <v>79</v>
      </c>
      <c r="F346" t="s">
        <v>170</v>
      </c>
      <c r="G346" t="s">
        <v>180</v>
      </c>
      <c r="H346" t="s">
        <v>58</v>
      </c>
      <c r="I346">
        <v>3</v>
      </c>
      <c r="J346" s="5">
        <v>599</v>
      </c>
      <c r="K346" s="2">
        <v>0.2</v>
      </c>
      <c r="L346" t="s">
        <v>31</v>
      </c>
      <c r="M346" t="s">
        <v>82</v>
      </c>
      <c r="N346" s="1">
        <v>46141</v>
      </c>
      <c r="O346" s="1">
        <v>46137</v>
      </c>
      <c r="P346" s="5">
        <f>Orders[[#This Row],[Quantity]]*Orders[[#This Row],[Unit Price]]</f>
        <v>1797</v>
      </c>
      <c r="Q346" s="5">
        <f>Orders[[#This Row],[Gross Sales]]*Orders[[#This Row],[Discount %]]</f>
        <v>359.40000000000003</v>
      </c>
      <c r="R346" s="5">
        <f>Orders[[#This Row],[Gross Sales]]-Orders[[#This Row],[Discount Amount]]</f>
        <v>1437.6</v>
      </c>
      <c r="S346">
        <f>IF(Orders[[#This Row],[Actual Delivery Date]]="","",Orders[[#This Row],[Actual Delivery Date]]-Orders[[#This Row],[Order Date]])</f>
        <v>2</v>
      </c>
      <c r="T346" t="str">
        <f>IF(Orders[[#This Row],[Actual Delivery Date]]="","Pending",IF(Orders[[#This Row],[Actual Delivery Date]]&lt;=Orders[[#This Row],[Expected Delivery Date]],"On Time","Late"))</f>
        <v>On Time</v>
      </c>
      <c r="U346" t="str">
        <f>TEXT(Orders[[#This Row],[Order Date]],"mmm")</f>
        <v>Apr</v>
      </c>
      <c r="V346" s="8">
        <f>DATE(YEAR(Orders[[#This Row],[Order Date]]),MONTH(Orders[[#This Row],[Order Date]]),1)</f>
        <v>46113</v>
      </c>
      <c r="W346" s="5">
        <f>IF(Orders[[#This Row],[Order Status]]="Cancelled",Orders[[#This Row],[Net Sales]],0)</f>
        <v>0</v>
      </c>
    </row>
    <row r="347" spans="1:23" x14ac:dyDescent="0.3">
      <c r="A347" t="s">
        <v>821</v>
      </c>
      <c r="B347" s="7">
        <v>46325</v>
      </c>
      <c r="C347" t="s">
        <v>370</v>
      </c>
      <c r="D347" t="s">
        <v>682</v>
      </c>
      <c r="E347" t="s">
        <v>27</v>
      </c>
      <c r="F347" t="s">
        <v>51</v>
      </c>
      <c r="G347" t="s">
        <v>228</v>
      </c>
      <c r="H347" t="s">
        <v>58</v>
      </c>
      <c r="I347">
        <v>1</v>
      </c>
      <c r="J347" s="5">
        <v>1499</v>
      </c>
      <c r="K347" s="2">
        <v>0.15</v>
      </c>
      <c r="L347" t="s">
        <v>70</v>
      </c>
      <c r="M347" t="s">
        <v>23</v>
      </c>
      <c r="N347" s="1">
        <v>46327</v>
      </c>
      <c r="O347" s="1">
        <v>46327</v>
      </c>
      <c r="P347" s="5">
        <f>Orders[[#This Row],[Quantity]]*Orders[[#This Row],[Unit Price]]</f>
        <v>1499</v>
      </c>
      <c r="Q347" s="5">
        <f>Orders[[#This Row],[Gross Sales]]*Orders[[#This Row],[Discount %]]</f>
        <v>224.85</v>
      </c>
      <c r="R347" s="5">
        <f>Orders[[#This Row],[Gross Sales]]-Orders[[#This Row],[Discount Amount]]</f>
        <v>1274.1500000000001</v>
      </c>
      <c r="S347">
        <f>IF(Orders[[#This Row],[Actual Delivery Date]]="","",Orders[[#This Row],[Actual Delivery Date]]-Orders[[#This Row],[Order Date]])</f>
        <v>2</v>
      </c>
      <c r="T347" t="str">
        <f>IF(Orders[[#This Row],[Actual Delivery Date]]="","Pending",IF(Orders[[#This Row],[Actual Delivery Date]]&lt;=Orders[[#This Row],[Expected Delivery Date]],"On Time","Late"))</f>
        <v>On Time</v>
      </c>
      <c r="U347" t="str">
        <f>TEXT(Orders[[#This Row],[Order Date]],"mmm")</f>
        <v>Oct</v>
      </c>
      <c r="V347" s="8">
        <f>DATE(YEAR(Orders[[#This Row],[Order Date]]),MONTH(Orders[[#This Row],[Order Date]]),1)</f>
        <v>46296</v>
      </c>
      <c r="W347" s="5">
        <f>IF(Orders[[#This Row],[Order Status]]="Cancelled",Orders[[#This Row],[Net Sales]],0)</f>
        <v>0</v>
      </c>
    </row>
    <row r="348" spans="1:23" x14ac:dyDescent="0.3">
      <c r="A348" t="s">
        <v>822</v>
      </c>
      <c r="B348" s="7">
        <v>46042</v>
      </c>
      <c r="C348" t="s">
        <v>102</v>
      </c>
      <c r="D348" t="s">
        <v>660</v>
      </c>
      <c r="E348" t="s">
        <v>27</v>
      </c>
      <c r="F348" t="s">
        <v>74</v>
      </c>
      <c r="G348" t="s">
        <v>206</v>
      </c>
      <c r="H348" t="s">
        <v>30</v>
      </c>
      <c r="I348">
        <v>3</v>
      </c>
      <c r="J348" s="5">
        <v>1199</v>
      </c>
      <c r="K348" s="2">
        <v>0.2</v>
      </c>
      <c r="L348" t="s">
        <v>22</v>
      </c>
      <c r="M348" t="s">
        <v>82</v>
      </c>
      <c r="N348" s="1">
        <v>46044</v>
      </c>
      <c r="O348" s="1">
        <v>46043</v>
      </c>
      <c r="P348" s="5">
        <f>Orders[[#This Row],[Quantity]]*Orders[[#This Row],[Unit Price]]</f>
        <v>3597</v>
      </c>
      <c r="Q348" s="5">
        <f>Orders[[#This Row],[Gross Sales]]*Orders[[#This Row],[Discount %]]</f>
        <v>719.40000000000009</v>
      </c>
      <c r="R348" s="5">
        <f>Orders[[#This Row],[Gross Sales]]-Orders[[#This Row],[Discount Amount]]</f>
        <v>2877.6</v>
      </c>
      <c r="S348">
        <f>IF(Orders[[#This Row],[Actual Delivery Date]]="","",Orders[[#This Row],[Actual Delivery Date]]-Orders[[#This Row],[Order Date]])</f>
        <v>1</v>
      </c>
      <c r="T348" t="str">
        <f>IF(Orders[[#This Row],[Actual Delivery Date]]="","Pending",IF(Orders[[#This Row],[Actual Delivery Date]]&lt;=Orders[[#This Row],[Expected Delivery Date]],"On Time","Late"))</f>
        <v>On Time</v>
      </c>
      <c r="U348" t="str">
        <f>TEXT(Orders[[#This Row],[Order Date]],"mmm")</f>
        <v>Jan</v>
      </c>
      <c r="V348" s="8">
        <f>DATE(YEAR(Orders[[#This Row],[Order Date]]),MONTH(Orders[[#This Row],[Order Date]]),1)</f>
        <v>46023</v>
      </c>
      <c r="W348" s="5">
        <f>IF(Orders[[#This Row],[Order Status]]="Cancelled",Orders[[#This Row],[Net Sales]],0)</f>
        <v>0</v>
      </c>
    </row>
    <row r="349" spans="1:23" x14ac:dyDescent="0.3">
      <c r="A349" t="s">
        <v>823</v>
      </c>
      <c r="B349" s="7">
        <v>46380</v>
      </c>
      <c r="C349" t="s">
        <v>106</v>
      </c>
      <c r="D349" t="s">
        <v>246</v>
      </c>
      <c r="E349" t="s">
        <v>79</v>
      </c>
      <c r="F349" t="s">
        <v>170</v>
      </c>
      <c r="G349" t="s">
        <v>64</v>
      </c>
      <c r="H349" t="s">
        <v>21</v>
      </c>
      <c r="I349">
        <v>2</v>
      </c>
      <c r="J349" s="5">
        <v>699</v>
      </c>
      <c r="K349" s="2">
        <v>0.05</v>
      </c>
      <c r="L349" t="s">
        <v>70</v>
      </c>
      <c r="M349" t="s">
        <v>82</v>
      </c>
      <c r="N349" s="1">
        <v>46385</v>
      </c>
      <c r="O349" s="1">
        <v>46385</v>
      </c>
      <c r="P349" s="5">
        <f>Orders[[#This Row],[Quantity]]*Orders[[#This Row],[Unit Price]]</f>
        <v>1398</v>
      </c>
      <c r="Q349" s="5">
        <f>Orders[[#This Row],[Gross Sales]]*Orders[[#This Row],[Discount %]]</f>
        <v>69.900000000000006</v>
      </c>
      <c r="R349" s="5">
        <f>Orders[[#This Row],[Gross Sales]]-Orders[[#This Row],[Discount Amount]]</f>
        <v>1328.1</v>
      </c>
      <c r="S349">
        <f>IF(Orders[[#This Row],[Actual Delivery Date]]="","",Orders[[#This Row],[Actual Delivery Date]]-Orders[[#This Row],[Order Date]])</f>
        <v>5</v>
      </c>
      <c r="T349" t="str">
        <f>IF(Orders[[#This Row],[Actual Delivery Date]]="","Pending",IF(Orders[[#This Row],[Actual Delivery Date]]&lt;=Orders[[#This Row],[Expected Delivery Date]],"On Time","Late"))</f>
        <v>On Time</v>
      </c>
      <c r="U349" t="str">
        <f>TEXT(Orders[[#This Row],[Order Date]],"mmm")</f>
        <v>Dec</v>
      </c>
      <c r="V349" s="8">
        <f>DATE(YEAR(Orders[[#This Row],[Order Date]]),MONTH(Orders[[#This Row],[Order Date]]),1)</f>
        <v>46357</v>
      </c>
      <c r="W349" s="5">
        <f>IF(Orders[[#This Row],[Order Status]]="Cancelled",Orders[[#This Row],[Net Sales]],0)</f>
        <v>0</v>
      </c>
    </row>
    <row r="350" spans="1:23" x14ac:dyDescent="0.3">
      <c r="A350" t="s">
        <v>824</v>
      </c>
      <c r="B350" s="7">
        <v>46065</v>
      </c>
      <c r="C350" t="s">
        <v>786</v>
      </c>
      <c r="D350" t="s">
        <v>254</v>
      </c>
      <c r="E350" t="s">
        <v>27</v>
      </c>
      <c r="F350" t="s">
        <v>51</v>
      </c>
      <c r="G350" t="s">
        <v>180</v>
      </c>
      <c r="H350" t="s">
        <v>58</v>
      </c>
      <c r="I350">
        <v>1</v>
      </c>
      <c r="J350" s="5">
        <v>599</v>
      </c>
      <c r="K350" s="2">
        <v>0.2</v>
      </c>
      <c r="L350" t="s">
        <v>70</v>
      </c>
      <c r="M350" t="s">
        <v>23</v>
      </c>
      <c r="N350" s="1">
        <v>46068</v>
      </c>
      <c r="O350" s="1">
        <v>46068</v>
      </c>
      <c r="P350" s="5">
        <f>Orders[[#This Row],[Quantity]]*Orders[[#This Row],[Unit Price]]</f>
        <v>599</v>
      </c>
      <c r="Q350" s="5">
        <f>Orders[[#This Row],[Gross Sales]]*Orders[[#This Row],[Discount %]]</f>
        <v>119.80000000000001</v>
      </c>
      <c r="R350" s="5">
        <f>Orders[[#This Row],[Gross Sales]]-Orders[[#This Row],[Discount Amount]]</f>
        <v>479.2</v>
      </c>
      <c r="S350">
        <f>IF(Orders[[#This Row],[Actual Delivery Date]]="","",Orders[[#This Row],[Actual Delivery Date]]-Orders[[#This Row],[Order Date]])</f>
        <v>3</v>
      </c>
      <c r="T350" t="str">
        <f>IF(Orders[[#This Row],[Actual Delivery Date]]="","Pending",IF(Orders[[#This Row],[Actual Delivery Date]]&lt;=Orders[[#This Row],[Expected Delivery Date]],"On Time","Late"))</f>
        <v>On Time</v>
      </c>
      <c r="U350" t="str">
        <f>TEXT(Orders[[#This Row],[Order Date]],"mmm")</f>
        <v>Feb</v>
      </c>
      <c r="V350" s="8">
        <f>DATE(YEAR(Orders[[#This Row],[Order Date]]),MONTH(Orders[[#This Row],[Order Date]]),1)</f>
        <v>46054</v>
      </c>
      <c r="W350" s="5">
        <f>IF(Orders[[#This Row],[Order Status]]="Cancelled",Orders[[#This Row],[Net Sales]],0)</f>
        <v>0</v>
      </c>
    </row>
    <row r="351" spans="1:23" x14ac:dyDescent="0.3">
      <c r="A351" t="s">
        <v>825</v>
      </c>
      <c r="B351" s="7">
        <v>46375</v>
      </c>
      <c r="C351" t="s">
        <v>826</v>
      </c>
      <c r="D351" t="s">
        <v>804</v>
      </c>
      <c r="E351" t="s">
        <v>18</v>
      </c>
      <c r="F351" t="s">
        <v>19</v>
      </c>
      <c r="G351" t="s">
        <v>180</v>
      </c>
      <c r="H351" t="s">
        <v>58</v>
      </c>
      <c r="I351">
        <v>3</v>
      </c>
      <c r="J351" s="5">
        <v>599</v>
      </c>
      <c r="K351" s="2">
        <v>0.15</v>
      </c>
      <c r="L351" t="s">
        <v>46</v>
      </c>
      <c r="M351" t="s">
        <v>23</v>
      </c>
      <c r="N351" s="1">
        <v>46378</v>
      </c>
      <c r="O351" s="1">
        <v>46378</v>
      </c>
      <c r="P351" s="5">
        <f>Orders[[#This Row],[Quantity]]*Orders[[#This Row],[Unit Price]]</f>
        <v>1797</v>
      </c>
      <c r="Q351" s="5">
        <f>Orders[[#This Row],[Gross Sales]]*Orders[[#This Row],[Discount %]]</f>
        <v>269.55</v>
      </c>
      <c r="R351" s="5">
        <f>Orders[[#This Row],[Gross Sales]]-Orders[[#This Row],[Discount Amount]]</f>
        <v>1527.45</v>
      </c>
      <c r="S351">
        <f>IF(Orders[[#This Row],[Actual Delivery Date]]="","",Orders[[#This Row],[Actual Delivery Date]]-Orders[[#This Row],[Order Date]])</f>
        <v>3</v>
      </c>
      <c r="T351" t="str">
        <f>IF(Orders[[#This Row],[Actual Delivery Date]]="","Pending",IF(Orders[[#This Row],[Actual Delivery Date]]&lt;=Orders[[#This Row],[Expected Delivery Date]],"On Time","Late"))</f>
        <v>On Time</v>
      </c>
      <c r="U351" t="str">
        <f>TEXT(Orders[[#This Row],[Order Date]],"mmm")</f>
        <v>Dec</v>
      </c>
      <c r="V351" s="8">
        <f>DATE(YEAR(Orders[[#This Row],[Order Date]]),MONTH(Orders[[#This Row],[Order Date]]),1)</f>
        <v>46357</v>
      </c>
      <c r="W351" s="5">
        <f>IF(Orders[[#This Row],[Order Status]]="Cancelled",Orders[[#This Row],[Net Sales]],0)</f>
        <v>0</v>
      </c>
    </row>
    <row r="352" spans="1:23" x14ac:dyDescent="0.3">
      <c r="A352" t="s">
        <v>827</v>
      </c>
      <c r="B352" s="7">
        <v>46371</v>
      </c>
      <c r="C352" t="s">
        <v>440</v>
      </c>
      <c r="D352" t="s">
        <v>526</v>
      </c>
      <c r="E352" t="s">
        <v>79</v>
      </c>
      <c r="F352" t="s">
        <v>80</v>
      </c>
      <c r="G352" t="s">
        <v>91</v>
      </c>
      <c r="H352" t="s">
        <v>30</v>
      </c>
      <c r="I352">
        <v>1</v>
      </c>
      <c r="J352" s="5">
        <v>3299</v>
      </c>
      <c r="K352" s="2">
        <v>0.05</v>
      </c>
      <c r="L352" t="s">
        <v>70</v>
      </c>
      <c r="M352" t="s">
        <v>47</v>
      </c>
      <c r="N352" s="1">
        <v>46377</v>
      </c>
      <c r="O352" s="1"/>
      <c r="P352" s="5">
        <f>Orders[[#This Row],[Quantity]]*Orders[[#This Row],[Unit Price]]</f>
        <v>3299</v>
      </c>
      <c r="Q352" s="5">
        <f>Orders[[#This Row],[Gross Sales]]*Orders[[#This Row],[Discount %]]</f>
        <v>164.95000000000002</v>
      </c>
      <c r="R352" s="5">
        <f>Orders[[#This Row],[Gross Sales]]-Orders[[#This Row],[Discount Amount]]</f>
        <v>3134.05</v>
      </c>
      <c r="S352" t="str">
        <f>IF(Orders[[#This Row],[Actual Delivery Date]]="","",Orders[[#This Row],[Actual Delivery Date]]-Orders[[#This Row],[Order Date]])</f>
        <v/>
      </c>
      <c r="T352" t="str">
        <f>IF(Orders[[#This Row],[Actual Delivery Date]]="","Pending",IF(Orders[[#This Row],[Actual Delivery Date]]&lt;=Orders[[#This Row],[Expected Delivery Date]],"On Time","Late"))</f>
        <v>Pending</v>
      </c>
      <c r="U352" t="str">
        <f>TEXT(Orders[[#This Row],[Order Date]],"mmm")</f>
        <v>Dec</v>
      </c>
      <c r="V352" s="8">
        <f>DATE(YEAR(Orders[[#This Row],[Order Date]]),MONTH(Orders[[#This Row],[Order Date]]),1)</f>
        <v>46357</v>
      </c>
      <c r="W352" s="5">
        <f>IF(Orders[[#This Row],[Order Status]]="Cancelled",Orders[[#This Row],[Net Sales]],0)</f>
        <v>0</v>
      </c>
    </row>
    <row r="353" spans="1:23" x14ac:dyDescent="0.3">
      <c r="A353" t="s">
        <v>828</v>
      </c>
      <c r="B353" s="7">
        <v>46318</v>
      </c>
      <c r="C353" t="s">
        <v>829</v>
      </c>
      <c r="D353" t="s">
        <v>830</v>
      </c>
      <c r="E353" t="s">
        <v>35</v>
      </c>
      <c r="F353" t="s">
        <v>63</v>
      </c>
      <c r="G353" t="s">
        <v>186</v>
      </c>
      <c r="H353" t="s">
        <v>21</v>
      </c>
      <c r="I353">
        <v>1</v>
      </c>
      <c r="J353" s="5">
        <v>1999</v>
      </c>
      <c r="K353" s="2">
        <v>0.15</v>
      </c>
      <c r="L353" t="s">
        <v>31</v>
      </c>
      <c r="M353" t="s">
        <v>82</v>
      </c>
      <c r="N353" s="1">
        <v>46325</v>
      </c>
      <c r="O353" s="1">
        <v>46320</v>
      </c>
      <c r="P353" s="5">
        <f>Orders[[#This Row],[Quantity]]*Orders[[#This Row],[Unit Price]]</f>
        <v>1999</v>
      </c>
      <c r="Q353" s="5">
        <f>Orders[[#This Row],[Gross Sales]]*Orders[[#This Row],[Discount %]]</f>
        <v>299.84999999999997</v>
      </c>
      <c r="R353" s="5">
        <f>Orders[[#This Row],[Gross Sales]]-Orders[[#This Row],[Discount Amount]]</f>
        <v>1699.15</v>
      </c>
      <c r="S353">
        <f>IF(Orders[[#This Row],[Actual Delivery Date]]="","",Orders[[#This Row],[Actual Delivery Date]]-Orders[[#This Row],[Order Date]])</f>
        <v>2</v>
      </c>
      <c r="T353" t="str">
        <f>IF(Orders[[#This Row],[Actual Delivery Date]]="","Pending",IF(Orders[[#This Row],[Actual Delivery Date]]&lt;=Orders[[#This Row],[Expected Delivery Date]],"On Time","Late"))</f>
        <v>On Time</v>
      </c>
      <c r="U353" t="str">
        <f>TEXT(Orders[[#This Row],[Order Date]],"mmm")</f>
        <v>Oct</v>
      </c>
      <c r="V353" s="8">
        <f>DATE(YEAR(Orders[[#This Row],[Order Date]]),MONTH(Orders[[#This Row],[Order Date]]),1)</f>
        <v>46296</v>
      </c>
      <c r="W353" s="5">
        <f>IF(Orders[[#This Row],[Order Status]]="Cancelled",Orders[[#This Row],[Net Sales]],0)</f>
        <v>0</v>
      </c>
    </row>
    <row r="354" spans="1:23" x14ac:dyDescent="0.3">
      <c r="A354" t="s">
        <v>831</v>
      </c>
      <c r="B354" s="7">
        <v>46196</v>
      </c>
      <c r="C354" t="s">
        <v>736</v>
      </c>
      <c r="D354" t="s">
        <v>355</v>
      </c>
      <c r="E354" t="s">
        <v>18</v>
      </c>
      <c r="F354" t="s">
        <v>95</v>
      </c>
      <c r="G354" t="s">
        <v>100</v>
      </c>
      <c r="H354" t="s">
        <v>30</v>
      </c>
      <c r="I354">
        <v>3</v>
      </c>
      <c r="J354" s="5">
        <v>2499</v>
      </c>
      <c r="K354" s="2">
        <v>0.2</v>
      </c>
      <c r="L354" t="s">
        <v>39</v>
      </c>
      <c r="M354" t="s">
        <v>23</v>
      </c>
      <c r="N354" s="1">
        <v>46201</v>
      </c>
      <c r="O354" s="1">
        <v>46202</v>
      </c>
      <c r="P354" s="5">
        <f>Orders[[#This Row],[Quantity]]*Orders[[#This Row],[Unit Price]]</f>
        <v>7497</v>
      </c>
      <c r="Q354" s="5">
        <f>Orders[[#This Row],[Gross Sales]]*Orders[[#This Row],[Discount %]]</f>
        <v>1499.4</v>
      </c>
      <c r="R354" s="5">
        <f>Orders[[#This Row],[Gross Sales]]-Orders[[#This Row],[Discount Amount]]</f>
        <v>5997.6</v>
      </c>
      <c r="S354">
        <f>IF(Orders[[#This Row],[Actual Delivery Date]]="","",Orders[[#This Row],[Actual Delivery Date]]-Orders[[#This Row],[Order Date]])</f>
        <v>6</v>
      </c>
      <c r="T354" t="str">
        <f>IF(Orders[[#This Row],[Actual Delivery Date]]="","Pending",IF(Orders[[#This Row],[Actual Delivery Date]]&lt;=Orders[[#This Row],[Expected Delivery Date]],"On Time","Late"))</f>
        <v>Late</v>
      </c>
      <c r="U354" t="str">
        <f>TEXT(Orders[[#This Row],[Order Date]],"mmm")</f>
        <v>Jun</v>
      </c>
      <c r="V354" s="8">
        <f>DATE(YEAR(Orders[[#This Row],[Order Date]]),MONTH(Orders[[#This Row],[Order Date]]),1)</f>
        <v>46174</v>
      </c>
      <c r="W354" s="5">
        <f>IF(Orders[[#This Row],[Order Status]]="Cancelled",Orders[[#This Row],[Net Sales]],0)</f>
        <v>0</v>
      </c>
    </row>
    <row r="355" spans="1:23" x14ac:dyDescent="0.3">
      <c r="A355" t="s">
        <v>832</v>
      </c>
      <c r="B355" s="7">
        <v>46157</v>
      </c>
      <c r="C355" t="s">
        <v>833</v>
      </c>
      <c r="D355" t="s">
        <v>183</v>
      </c>
      <c r="E355" t="s">
        <v>79</v>
      </c>
      <c r="F355" t="s">
        <v>170</v>
      </c>
      <c r="G355" t="s">
        <v>75</v>
      </c>
      <c r="H355" t="s">
        <v>45</v>
      </c>
      <c r="I355">
        <v>1</v>
      </c>
      <c r="J355" s="5">
        <v>799</v>
      </c>
      <c r="K355" s="2">
        <v>0</v>
      </c>
      <c r="L355" t="s">
        <v>22</v>
      </c>
      <c r="M355" t="s">
        <v>23</v>
      </c>
      <c r="N355" s="1">
        <v>46164</v>
      </c>
      <c r="O355" s="1">
        <v>46161</v>
      </c>
      <c r="P355" s="5">
        <f>Orders[[#This Row],[Quantity]]*Orders[[#This Row],[Unit Price]]</f>
        <v>799</v>
      </c>
      <c r="Q355" s="5">
        <f>Orders[[#This Row],[Gross Sales]]*Orders[[#This Row],[Discount %]]</f>
        <v>0</v>
      </c>
      <c r="R355" s="5">
        <f>Orders[[#This Row],[Gross Sales]]-Orders[[#This Row],[Discount Amount]]</f>
        <v>799</v>
      </c>
      <c r="S355">
        <f>IF(Orders[[#This Row],[Actual Delivery Date]]="","",Orders[[#This Row],[Actual Delivery Date]]-Orders[[#This Row],[Order Date]])</f>
        <v>4</v>
      </c>
      <c r="T355" t="str">
        <f>IF(Orders[[#This Row],[Actual Delivery Date]]="","Pending",IF(Orders[[#This Row],[Actual Delivery Date]]&lt;=Orders[[#This Row],[Expected Delivery Date]],"On Time","Late"))</f>
        <v>On Time</v>
      </c>
      <c r="U355" t="str">
        <f>TEXT(Orders[[#This Row],[Order Date]],"mmm")</f>
        <v>May</v>
      </c>
      <c r="V355" s="8">
        <f>DATE(YEAR(Orders[[#This Row],[Order Date]]),MONTH(Orders[[#This Row],[Order Date]]),1)</f>
        <v>46143</v>
      </c>
      <c r="W355" s="5">
        <f>IF(Orders[[#This Row],[Order Status]]="Cancelled",Orders[[#This Row],[Net Sales]],0)</f>
        <v>0</v>
      </c>
    </row>
    <row r="356" spans="1:23" x14ac:dyDescent="0.3">
      <c r="A356" t="s">
        <v>834</v>
      </c>
      <c r="B356" s="7">
        <v>46028</v>
      </c>
      <c r="C356" t="s">
        <v>577</v>
      </c>
      <c r="D356" t="s">
        <v>835</v>
      </c>
      <c r="E356" t="s">
        <v>18</v>
      </c>
      <c r="F356" t="s">
        <v>95</v>
      </c>
      <c r="G356" t="s">
        <v>57</v>
      </c>
      <c r="H356" t="s">
        <v>58</v>
      </c>
      <c r="I356">
        <v>1</v>
      </c>
      <c r="J356" s="5">
        <v>499</v>
      </c>
      <c r="K356" s="2">
        <v>0.2</v>
      </c>
      <c r="L356" t="s">
        <v>46</v>
      </c>
      <c r="M356" t="s">
        <v>23</v>
      </c>
      <c r="N356" s="1">
        <v>46030</v>
      </c>
      <c r="O356" s="1">
        <v>46029</v>
      </c>
      <c r="P356" s="5">
        <f>Orders[[#This Row],[Quantity]]*Orders[[#This Row],[Unit Price]]</f>
        <v>499</v>
      </c>
      <c r="Q356" s="5">
        <f>Orders[[#This Row],[Gross Sales]]*Orders[[#This Row],[Discount %]]</f>
        <v>99.800000000000011</v>
      </c>
      <c r="R356" s="5">
        <f>Orders[[#This Row],[Gross Sales]]-Orders[[#This Row],[Discount Amount]]</f>
        <v>399.2</v>
      </c>
      <c r="S356">
        <f>IF(Orders[[#This Row],[Actual Delivery Date]]="","",Orders[[#This Row],[Actual Delivery Date]]-Orders[[#This Row],[Order Date]])</f>
        <v>1</v>
      </c>
      <c r="T356" t="str">
        <f>IF(Orders[[#This Row],[Actual Delivery Date]]="","Pending",IF(Orders[[#This Row],[Actual Delivery Date]]&lt;=Orders[[#This Row],[Expected Delivery Date]],"On Time","Late"))</f>
        <v>On Time</v>
      </c>
      <c r="U356" t="str">
        <f>TEXT(Orders[[#This Row],[Order Date]],"mmm")</f>
        <v>Jan</v>
      </c>
      <c r="V356" s="8">
        <f>DATE(YEAR(Orders[[#This Row],[Order Date]]),MONTH(Orders[[#This Row],[Order Date]]),1)</f>
        <v>46023</v>
      </c>
      <c r="W356" s="5">
        <f>IF(Orders[[#This Row],[Order Status]]="Cancelled",Orders[[#This Row],[Net Sales]],0)</f>
        <v>0</v>
      </c>
    </row>
    <row r="357" spans="1:23" x14ac:dyDescent="0.3">
      <c r="A357" t="s">
        <v>836</v>
      </c>
      <c r="B357" s="7">
        <v>46067</v>
      </c>
      <c r="C357" t="s">
        <v>608</v>
      </c>
      <c r="D357" t="s">
        <v>837</v>
      </c>
      <c r="E357" t="s">
        <v>35</v>
      </c>
      <c r="F357" t="s">
        <v>68</v>
      </c>
      <c r="G357" t="s">
        <v>52</v>
      </c>
      <c r="H357" t="s">
        <v>45</v>
      </c>
      <c r="I357">
        <v>5</v>
      </c>
      <c r="J357" s="5">
        <v>1299</v>
      </c>
      <c r="K357" s="2">
        <v>0.15</v>
      </c>
      <c r="L357" t="s">
        <v>46</v>
      </c>
      <c r="M357" t="s">
        <v>59</v>
      </c>
      <c r="N357" s="1">
        <v>46072</v>
      </c>
      <c r="O357" s="1">
        <v>46069</v>
      </c>
      <c r="P357" s="5">
        <f>Orders[[#This Row],[Quantity]]*Orders[[#This Row],[Unit Price]]</f>
        <v>6495</v>
      </c>
      <c r="Q357" s="5">
        <f>Orders[[#This Row],[Gross Sales]]*Orders[[#This Row],[Discount %]]</f>
        <v>974.25</v>
      </c>
      <c r="R357" s="5">
        <f>Orders[[#This Row],[Gross Sales]]-Orders[[#This Row],[Discount Amount]]</f>
        <v>5520.75</v>
      </c>
      <c r="S357">
        <f>IF(Orders[[#This Row],[Actual Delivery Date]]="","",Orders[[#This Row],[Actual Delivery Date]]-Orders[[#This Row],[Order Date]])</f>
        <v>2</v>
      </c>
      <c r="T357" t="str">
        <f>IF(Orders[[#This Row],[Actual Delivery Date]]="","Pending",IF(Orders[[#This Row],[Actual Delivery Date]]&lt;=Orders[[#This Row],[Expected Delivery Date]],"On Time","Late"))</f>
        <v>On Time</v>
      </c>
      <c r="U357" t="str">
        <f>TEXT(Orders[[#This Row],[Order Date]],"mmm")</f>
        <v>Feb</v>
      </c>
      <c r="V357" s="8">
        <f>DATE(YEAR(Orders[[#This Row],[Order Date]]),MONTH(Orders[[#This Row],[Order Date]]),1)</f>
        <v>46054</v>
      </c>
      <c r="W357" s="5">
        <f>IF(Orders[[#This Row],[Order Status]]="Cancelled",Orders[[#This Row],[Net Sales]],0)</f>
        <v>5520.75</v>
      </c>
    </row>
    <row r="358" spans="1:23" x14ac:dyDescent="0.3">
      <c r="A358" t="s">
        <v>838</v>
      </c>
      <c r="B358" s="7">
        <v>46309</v>
      </c>
      <c r="C358" t="s">
        <v>310</v>
      </c>
      <c r="D358" t="s">
        <v>839</v>
      </c>
      <c r="E358" t="s">
        <v>18</v>
      </c>
      <c r="F358" t="s">
        <v>19</v>
      </c>
      <c r="G358" t="s">
        <v>91</v>
      </c>
      <c r="H358" t="s">
        <v>30</v>
      </c>
      <c r="I358">
        <v>4</v>
      </c>
      <c r="J358" s="5">
        <v>3299</v>
      </c>
      <c r="K358" s="2">
        <v>0.1</v>
      </c>
      <c r="L358" t="s">
        <v>46</v>
      </c>
      <c r="M358" t="s">
        <v>82</v>
      </c>
      <c r="N358" s="1">
        <v>46313</v>
      </c>
      <c r="O358" s="1">
        <v>46311</v>
      </c>
      <c r="P358" s="5">
        <f>Orders[[#This Row],[Quantity]]*Orders[[#This Row],[Unit Price]]</f>
        <v>13196</v>
      </c>
      <c r="Q358" s="5">
        <f>Orders[[#This Row],[Gross Sales]]*Orders[[#This Row],[Discount %]]</f>
        <v>1319.6000000000001</v>
      </c>
      <c r="R358" s="5">
        <f>Orders[[#This Row],[Gross Sales]]-Orders[[#This Row],[Discount Amount]]</f>
        <v>11876.4</v>
      </c>
      <c r="S358">
        <f>IF(Orders[[#This Row],[Actual Delivery Date]]="","",Orders[[#This Row],[Actual Delivery Date]]-Orders[[#This Row],[Order Date]])</f>
        <v>2</v>
      </c>
      <c r="T358" t="str">
        <f>IF(Orders[[#This Row],[Actual Delivery Date]]="","Pending",IF(Orders[[#This Row],[Actual Delivery Date]]&lt;=Orders[[#This Row],[Expected Delivery Date]],"On Time","Late"))</f>
        <v>On Time</v>
      </c>
      <c r="U358" t="str">
        <f>TEXT(Orders[[#This Row],[Order Date]],"mmm")</f>
        <v>Oct</v>
      </c>
      <c r="V358" s="8">
        <f>DATE(YEAR(Orders[[#This Row],[Order Date]]),MONTH(Orders[[#This Row],[Order Date]]),1)</f>
        <v>46296</v>
      </c>
      <c r="W358" s="5">
        <f>IF(Orders[[#This Row],[Order Status]]="Cancelled",Orders[[#This Row],[Net Sales]],0)</f>
        <v>0</v>
      </c>
    </row>
    <row r="359" spans="1:23" x14ac:dyDescent="0.3">
      <c r="A359" t="s">
        <v>840</v>
      </c>
      <c r="B359" s="7">
        <v>46282</v>
      </c>
      <c r="C359" t="s">
        <v>802</v>
      </c>
      <c r="D359" t="s">
        <v>841</v>
      </c>
      <c r="E359" t="s">
        <v>18</v>
      </c>
      <c r="F359" t="s">
        <v>121</v>
      </c>
      <c r="G359" t="s">
        <v>96</v>
      </c>
      <c r="H359" t="s">
        <v>38</v>
      </c>
      <c r="I359">
        <v>1</v>
      </c>
      <c r="J359" s="5">
        <v>1599</v>
      </c>
      <c r="K359" s="2">
        <v>0</v>
      </c>
      <c r="L359" t="s">
        <v>22</v>
      </c>
      <c r="M359" t="s">
        <v>23</v>
      </c>
      <c r="N359" s="1">
        <v>46286</v>
      </c>
      <c r="O359" s="1">
        <v>46289</v>
      </c>
      <c r="P359" s="5">
        <f>Orders[[#This Row],[Quantity]]*Orders[[#This Row],[Unit Price]]</f>
        <v>1599</v>
      </c>
      <c r="Q359" s="5">
        <f>Orders[[#This Row],[Gross Sales]]*Orders[[#This Row],[Discount %]]</f>
        <v>0</v>
      </c>
      <c r="R359" s="5">
        <f>Orders[[#This Row],[Gross Sales]]-Orders[[#This Row],[Discount Amount]]</f>
        <v>1599</v>
      </c>
      <c r="S359">
        <f>IF(Orders[[#This Row],[Actual Delivery Date]]="","",Orders[[#This Row],[Actual Delivery Date]]-Orders[[#This Row],[Order Date]])</f>
        <v>7</v>
      </c>
      <c r="T359" t="str">
        <f>IF(Orders[[#This Row],[Actual Delivery Date]]="","Pending",IF(Orders[[#This Row],[Actual Delivery Date]]&lt;=Orders[[#This Row],[Expected Delivery Date]],"On Time","Late"))</f>
        <v>Late</v>
      </c>
      <c r="U359" t="str">
        <f>TEXT(Orders[[#This Row],[Order Date]],"mmm")</f>
        <v>Sep</v>
      </c>
      <c r="V359" s="8">
        <f>DATE(YEAR(Orders[[#This Row],[Order Date]]),MONTH(Orders[[#This Row],[Order Date]]),1)</f>
        <v>46266</v>
      </c>
      <c r="W359" s="5">
        <f>IF(Orders[[#This Row],[Order Status]]="Cancelled",Orders[[#This Row],[Net Sales]],0)</f>
        <v>0</v>
      </c>
    </row>
    <row r="360" spans="1:23" x14ac:dyDescent="0.3">
      <c r="A360" t="s">
        <v>842</v>
      </c>
      <c r="B360" s="7">
        <v>46270</v>
      </c>
      <c r="C360" t="s">
        <v>843</v>
      </c>
      <c r="D360" t="s">
        <v>762</v>
      </c>
      <c r="E360" t="s">
        <v>35</v>
      </c>
      <c r="F360" t="s">
        <v>63</v>
      </c>
      <c r="G360" t="s">
        <v>228</v>
      </c>
      <c r="H360" t="s">
        <v>58</v>
      </c>
      <c r="I360">
        <v>3</v>
      </c>
      <c r="J360" s="5">
        <v>1499</v>
      </c>
      <c r="K360" s="2">
        <v>0.1</v>
      </c>
      <c r="L360" t="s">
        <v>70</v>
      </c>
      <c r="M360" t="s">
        <v>59</v>
      </c>
      <c r="N360" s="1">
        <v>46275</v>
      </c>
      <c r="O360" s="1">
        <v>46276</v>
      </c>
      <c r="P360" s="5">
        <f>Orders[[#This Row],[Quantity]]*Orders[[#This Row],[Unit Price]]</f>
        <v>4497</v>
      </c>
      <c r="Q360" s="5">
        <f>Orders[[#This Row],[Gross Sales]]*Orders[[#This Row],[Discount %]]</f>
        <v>449.70000000000005</v>
      </c>
      <c r="R360" s="5">
        <f>Orders[[#This Row],[Gross Sales]]-Orders[[#This Row],[Discount Amount]]</f>
        <v>4047.3</v>
      </c>
      <c r="S360">
        <f>IF(Orders[[#This Row],[Actual Delivery Date]]="","",Orders[[#This Row],[Actual Delivery Date]]-Orders[[#This Row],[Order Date]])</f>
        <v>6</v>
      </c>
      <c r="T360" t="str">
        <f>IF(Orders[[#This Row],[Actual Delivery Date]]="","Pending",IF(Orders[[#This Row],[Actual Delivery Date]]&lt;=Orders[[#This Row],[Expected Delivery Date]],"On Time","Late"))</f>
        <v>Late</v>
      </c>
      <c r="U360" t="str">
        <f>TEXT(Orders[[#This Row],[Order Date]],"mmm")</f>
        <v>Sep</v>
      </c>
      <c r="V360" s="8">
        <f>DATE(YEAR(Orders[[#This Row],[Order Date]]),MONTH(Orders[[#This Row],[Order Date]]),1)</f>
        <v>46266</v>
      </c>
      <c r="W360" s="5">
        <f>IF(Orders[[#This Row],[Order Status]]="Cancelled",Orders[[#This Row],[Net Sales]],0)</f>
        <v>4047.3</v>
      </c>
    </row>
    <row r="361" spans="1:23" x14ac:dyDescent="0.3">
      <c r="A361" t="s">
        <v>844</v>
      </c>
      <c r="B361" s="7">
        <v>46369</v>
      </c>
      <c r="C361" t="s">
        <v>845</v>
      </c>
      <c r="D361" t="s">
        <v>417</v>
      </c>
      <c r="E361" t="s">
        <v>35</v>
      </c>
      <c r="F361" t="s">
        <v>135</v>
      </c>
      <c r="G361" t="s">
        <v>180</v>
      </c>
      <c r="H361" t="s">
        <v>58</v>
      </c>
      <c r="I361">
        <v>2</v>
      </c>
      <c r="J361" s="5">
        <v>599</v>
      </c>
      <c r="K361" s="2">
        <v>0.1</v>
      </c>
      <c r="L361" t="s">
        <v>70</v>
      </c>
      <c r="M361" t="s">
        <v>23</v>
      </c>
      <c r="N361" s="1">
        <v>46375</v>
      </c>
      <c r="O361" s="1">
        <v>46375</v>
      </c>
      <c r="P361" s="5">
        <f>Orders[[#This Row],[Quantity]]*Orders[[#This Row],[Unit Price]]</f>
        <v>1198</v>
      </c>
      <c r="Q361" s="5">
        <f>Orders[[#This Row],[Gross Sales]]*Orders[[#This Row],[Discount %]]</f>
        <v>119.80000000000001</v>
      </c>
      <c r="R361" s="5">
        <f>Orders[[#This Row],[Gross Sales]]-Orders[[#This Row],[Discount Amount]]</f>
        <v>1078.2</v>
      </c>
      <c r="S361">
        <f>IF(Orders[[#This Row],[Actual Delivery Date]]="","",Orders[[#This Row],[Actual Delivery Date]]-Orders[[#This Row],[Order Date]])</f>
        <v>6</v>
      </c>
      <c r="T361" t="str">
        <f>IF(Orders[[#This Row],[Actual Delivery Date]]="","Pending",IF(Orders[[#This Row],[Actual Delivery Date]]&lt;=Orders[[#This Row],[Expected Delivery Date]],"On Time","Late"))</f>
        <v>On Time</v>
      </c>
      <c r="U361" t="str">
        <f>TEXT(Orders[[#This Row],[Order Date]],"mmm")</f>
        <v>Dec</v>
      </c>
      <c r="V361" s="8">
        <f>DATE(YEAR(Orders[[#This Row],[Order Date]]),MONTH(Orders[[#This Row],[Order Date]]),1)</f>
        <v>46357</v>
      </c>
      <c r="W361" s="5">
        <f>IF(Orders[[#This Row],[Order Status]]="Cancelled",Orders[[#This Row],[Net Sales]],0)</f>
        <v>0</v>
      </c>
    </row>
    <row r="362" spans="1:23" x14ac:dyDescent="0.3">
      <c r="A362" t="s">
        <v>846</v>
      </c>
      <c r="B362" s="7">
        <v>46061</v>
      </c>
      <c r="C362" t="s">
        <v>847</v>
      </c>
      <c r="D362" t="s">
        <v>221</v>
      </c>
      <c r="E362" t="s">
        <v>35</v>
      </c>
      <c r="F362" t="s">
        <v>135</v>
      </c>
      <c r="G362" t="s">
        <v>118</v>
      </c>
      <c r="H362" t="s">
        <v>58</v>
      </c>
      <c r="I362">
        <v>2</v>
      </c>
      <c r="J362" s="5">
        <v>749</v>
      </c>
      <c r="K362" s="2">
        <v>0.05</v>
      </c>
      <c r="L362" t="s">
        <v>70</v>
      </c>
      <c r="M362" t="s">
        <v>23</v>
      </c>
      <c r="N362" s="1">
        <v>46065</v>
      </c>
      <c r="O362" s="1">
        <v>46064</v>
      </c>
      <c r="P362" s="5">
        <f>Orders[[#This Row],[Quantity]]*Orders[[#This Row],[Unit Price]]</f>
        <v>1498</v>
      </c>
      <c r="Q362" s="5">
        <f>Orders[[#This Row],[Gross Sales]]*Orders[[#This Row],[Discount %]]</f>
        <v>74.900000000000006</v>
      </c>
      <c r="R362" s="5">
        <f>Orders[[#This Row],[Gross Sales]]-Orders[[#This Row],[Discount Amount]]</f>
        <v>1423.1</v>
      </c>
      <c r="S362">
        <f>IF(Orders[[#This Row],[Actual Delivery Date]]="","",Orders[[#This Row],[Actual Delivery Date]]-Orders[[#This Row],[Order Date]])</f>
        <v>3</v>
      </c>
      <c r="T362" t="str">
        <f>IF(Orders[[#This Row],[Actual Delivery Date]]="","Pending",IF(Orders[[#This Row],[Actual Delivery Date]]&lt;=Orders[[#This Row],[Expected Delivery Date]],"On Time","Late"))</f>
        <v>On Time</v>
      </c>
      <c r="U362" t="str">
        <f>TEXT(Orders[[#This Row],[Order Date]],"mmm")</f>
        <v>Feb</v>
      </c>
      <c r="V362" s="8">
        <f>DATE(YEAR(Orders[[#This Row],[Order Date]]),MONTH(Orders[[#This Row],[Order Date]]),1)</f>
        <v>46054</v>
      </c>
      <c r="W362" s="5">
        <f>IF(Orders[[#This Row],[Order Status]]="Cancelled",Orders[[#This Row],[Net Sales]],0)</f>
        <v>0</v>
      </c>
    </row>
    <row r="363" spans="1:23" x14ac:dyDescent="0.3">
      <c r="A363" t="s">
        <v>848</v>
      </c>
      <c r="B363" s="7">
        <v>46158</v>
      </c>
      <c r="C363" t="s">
        <v>849</v>
      </c>
      <c r="D363" t="s">
        <v>850</v>
      </c>
      <c r="E363" t="s">
        <v>79</v>
      </c>
      <c r="F363" t="s">
        <v>108</v>
      </c>
      <c r="G363" t="s">
        <v>37</v>
      </c>
      <c r="H363" t="s">
        <v>38</v>
      </c>
      <c r="I363">
        <v>1</v>
      </c>
      <c r="J363" s="5">
        <v>699</v>
      </c>
      <c r="K363" s="2">
        <v>0.05</v>
      </c>
      <c r="L363" t="s">
        <v>31</v>
      </c>
      <c r="M363" t="s">
        <v>82</v>
      </c>
      <c r="N363" s="1">
        <v>46164</v>
      </c>
      <c r="O363" s="1">
        <v>46159</v>
      </c>
      <c r="P363" s="5">
        <f>Orders[[#This Row],[Quantity]]*Orders[[#This Row],[Unit Price]]</f>
        <v>699</v>
      </c>
      <c r="Q363" s="5">
        <f>Orders[[#This Row],[Gross Sales]]*Orders[[#This Row],[Discount %]]</f>
        <v>34.950000000000003</v>
      </c>
      <c r="R363" s="5">
        <f>Orders[[#This Row],[Gross Sales]]-Orders[[#This Row],[Discount Amount]]</f>
        <v>664.05</v>
      </c>
      <c r="S363">
        <f>IF(Orders[[#This Row],[Actual Delivery Date]]="","",Orders[[#This Row],[Actual Delivery Date]]-Orders[[#This Row],[Order Date]])</f>
        <v>1</v>
      </c>
      <c r="T363" t="str">
        <f>IF(Orders[[#This Row],[Actual Delivery Date]]="","Pending",IF(Orders[[#This Row],[Actual Delivery Date]]&lt;=Orders[[#This Row],[Expected Delivery Date]],"On Time","Late"))</f>
        <v>On Time</v>
      </c>
      <c r="U363" t="str">
        <f>TEXT(Orders[[#This Row],[Order Date]],"mmm")</f>
        <v>May</v>
      </c>
      <c r="V363" s="8">
        <f>DATE(YEAR(Orders[[#This Row],[Order Date]]),MONTH(Orders[[#This Row],[Order Date]]),1)</f>
        <v>46143</v>
      </c>
      <c r="W363" s="5">
        <f>IF(Orders[[#This Row],[Order Status]]="Cancelled",Orders[[#This Row],[Net Sales]],0)</f>
        <v>0</v>
      </c>
    </row>
    <row r="364" spans="1:23" x14ac:dyDescent="0.3">
      <c r="A364" t="s">
        <v>851</v>
      </c>
      <c r="B364" s="7">
        <v>46269</v>
      </c>
      <c r="C364" t="s">
        <v>256</v>
      </c>
      <c r="D364" t="s">
        <v>217</v>
      </c>
      <c r="E364" t="s">
        <v>79</v>
      </c>
      <c r="F364" t="s">
        <v>86</v>
      </c>
      <c r="G364" t="s">
        <v>81</v>
      </c>
      <c r="H364" t="s">
        <v>30</v>
      </c>
      <c r="I364">
        <v>1</v>
      </c>
      <c r="J364" s="5">
        <v>899</v>
      </c>
      <c r="K364" s="2">
        <v>0.1</v>
      </c>
      <c r="L364" t="s">
        <v>70</v>
      </c>
      <c r="M364" t="s">
        <v>47</v>
      </c>
      <c r="N364" s="1">
        <v>46273</v>
      </c>
      <c r="O364" s="1"/>
      <c r="P364" s="5">
        <f>Orders[[#This Row],[Quantity]]*Orders[[#This Row],[Unit Price]]</f>
        <v>899</v>
      </c>
      <c r="Q364" s="5">
        <f>Orders[[#This Row],[Gross Sales]]*Orders[[#This Row],[Discount %]]</f>
        <v>89.9</v>
      </c>
      <c r="R364" s="5">
        <f>Orders[[#This Row],[Gross Sales]]-Orders[[#This Row],[Discount Amount]]</f>
        <v>809.1</v>
      </c>
      <c r="S364" t="str">
        <f>IF(Orders[[#This Row],[Actual Delivery Date]]="","",Orders[[#This Row],[Actual Delivery Date]]-Orders[[#This Row],[Order Date]])</f>
        <v/>
      </c>
      <c r="T364" t="str">
        <f>IF(Orders[[#This Row],[Actual Delivery Date]]="","Pending",IF(Orders[[#This Row],[Actual Delivery Date]]&lt;=Orders[[#This Row],[Expected Delivery Date]],"On Time","Late"))</f>
        <v>Pending</v>
      </c>
      <c r="U364" t="str">
        <f>TEXT(Orders[[#This Row],[Order Date]],"mmm")</f>
        <v>Sep</v>
      </c>
      <c r="V364" s="8">
        <f>DATE(YEAR(Orders[[#This Row],[Order Date]]),MONTH(Orders[[#This Row],[Order Date]]),1)</f>
        <v>46266</v>
      </c>
      <c r="W364" s="5">
        <f>IF(Orders[[#This Row],[Order Status]]="Cancelled",Orders[[#This Row],[Net Sales]],0)</f>
        <v>0</v>
      </c>
    </row>
    <row r="365" spans="1:23" x14ac:dyDescent="0.3">
      <c r="A365" t="s">
        <v>852</v>
      </c>
      <c r="B365" s="7">
        <v>46088</v>
      </c>
      <c r="C365" t="s">
        <v>853</v>
      </c>
      <c r="D365" t="s">
        <v>669</v>
      </c>
      <c r="E365" t="s">
        <v>35</v>
      </c>
      <c r="F365" t="s">
        <v>63</v>
      </c>
      <c r="G365" t="s">
        <v>69</v>
      </c>
      <c r="H365" t="s">
        <v>38</v>
      </c>
      <c r="I365">
        <v>1</v>
      </c>
      <c r="J365" s="5">
        <v>3499</v>
      </c>
      <c r="K365" s="2">
        <v>0.15</v>
      </c>
      <c r="L365" t="s">
        <v>70</v>
      </c>
      <c r="M365" t="s">
        <v>47</v>
      </c>
      <c r="N365" s="1">
        <v>46090</v>
      </c>
      <c r="O365" s="1"/>
      <c r="P365" s="5">
        <f>Orders[[#This Row],[Quantity]]*Orders[[#This Row],[Unit Price]]</f>
        <v>3499</v>
      </c>
      <c r="Q365" s="5">
        <f>Orders[[#This Row],[Gross Sales]]*Orders[[#This Row],[Discount %]]</f>
        <v>524.85</v>
      </c>
      <c r="R365" s="5">
        <f>Orders[[#This Row],[Gross Sales]]-Orders[[#This Row],[Discount Amount]]</f>
        <v>2974.15</v>
      </c>
      <c r="S365" t="str">
        <f>IF(Orders[[#This Row],[Actual Delivery Date]]="","",Orders[[#This Row],[Actual Delivery Date]]-Orders[[#This Row],[Order Date]])</f>
        <v/>
      </c>
      <c r="T365" t="str">
        <f>IF(Orders[[#This Row],[Actual Delivery Date]]="","Pending",IF(Orders[[#This Row],[Actual Delivery Date]]&lt;=Orders[[#This Row],[Expected Delivery Date]],"On Time","Late"))</f>
        <v>Pending</v>
      </c>
      <c r="U365" t="str">
        <f>TEXT(Orders[[#This Row],[Order Date]],"mmm")</f>
        <v>Mar</v>
      </c>
      <c r="V365" s="8">
        <f>DATE(YEAR(Orders[[#This Row],[Order Date]]),MONTH(Orders[[#This Row],[Order Date]]),1)</f>
        <v>46082</v>
      </c>
      <c r="W365" s="5">
        <f>IF(Orders[[#This Row],[Order Status]]="Cancelled",Orders[[#This Row],[Net Sales]],0)</f>
        <v>0</v>
      </c>
    </row>
    <row r="366" spans="1:23" x14ac:dyDescent="0.3">
      <c r="A366" t="s">
        <v>854</v>
      </c>
      <c r="B366" s="7">
        <v>46380</v>
      </c>
      <c r="C366" t="s">
        <v>470</v>
      </c>
      <c r="D366" t="s">
        <v>855</v>
      </c>
      <c r="E366" t="s">
        <v>79</v>
      </c>
      <c r="F366" t="s">
        <v>108</v>
      </c>
      <c r="G366" t="s">
        <v>147</v>
      </c>
      <c r="H366" t="s">
        <v>58</v>
      </c>
      <c r="I366">
        <v>2</v>
      </c>
      <c r="J366" s="5">
        <v>399</v>
      </c>
      <c r="K366" s="2">
        <v>0.1</v>
      </c>
      <c r="L366" t="s">
        <v>39</v>
      </c>
      <c r="M366" t="s">
        <v>23</v>
      </c>
      <c r="N366" s="1">
        <v>46387</v>
      </c>
      <c r="O366" s="1">
        <v>46385</v>
      </c>
      <c r="P366" s="5">
        <f>Orders[[#This Row],[Quantity]]*Orders[[#This Row],[Unit Price]]</f>
        <v>798</v>
      </c>
      <c r="Q366" s="5">
        <f>Orders[[#This Row],[Gross Sales]]*Orders[[#This Row],[Discount %]]</f>
        <v>79.800000000000011</v>
      </c>
      <c r="R366" s="5">
        <f>Orders[[#This Row],[Gross Sales]]-Orders[[#This Row],[Discount Amount]]</f>
        <v>718.2</v>
      </c>
      <c r="S366">
        <f>IF(Orders[[#This Row],[Actual Delivery Date]]="","",Orders[[#This Row],[Actual Delivery Date]]-Orders[[#This Row],[Order Date]])</f>
        <v>5</v>
      </c>
      <c r="T366" t="str">
        <f>IF(Orders[[#This Row],[Actual Delivery Date]]="","Pending",IF(Orders[[#This Row],[Actual Delivery Date]]&lt;=Orders[[#This Row],[Expected Delivery Date]],"On Time","Late"))</f>
        <v>On Time</v>
      </c>
      <c r="U366" t="str">
        <f>TEXT(Orders[[#This Row],[Order Date]],"mmm")</f>
        <v>Dec</v>
      </c>
      <c r="V366" s="8">
        <f>DATE(YEAR(Orders[[#This Row],[Order Date]]),MONTH(Orders[[#This Row],[Order Date]]),1)</f>
        <v>46357</v>
      </c>
      <c r="W366" s="5">
        <f>IF(Orders[[#This Row],[Order Status]]="Cancelled",Orders[[#This Row],[Net Sales]],0)</f>
        <v>0</v>
      </c>
    </row>
    <row r="367" spans="1:23" x14ac:dyDescent="0.3">
      <c r="A367" t="s">
        <v>856</v>
      </c>
      <c r="B367" s="7">
        <v>46157</v>
      </c>
      <c r="C367" t="s">
        <v>580</v>
      </c>
      <c r="D367" t="s">
        <v>690</v>
      </c>
      <c r="E367" t="s">
        <v>35</v>
      </c>
      <c r="F367" t="s">
        <v>36</v>
      </c>
      <c r="G367" t="s">
        <v>69</v>
      </c>
      <c r="H367" t="s">
        <v>38</v>
      </c>
      <c r="I367">
        <v>1</v>
      </c>
      <c r="J367" s="5">
        <v>3499</v>
      </c>
      <c r="K367" s="2">
        <v>0.15</v>
      </c>
      <c r="L367" t="s">
        <v>22</v>
      </c>
      <c r="M367" t="s">
        <v>23</v>
      </c>
      <c r="N367" s="1">
        <v>46161</v>
      </c>
      <c r="O367" s="1">
        <v>46161</v>
      </c>
      <c r="P367" s="5">
        <f>Orders[[#This Row],[Quantity]]*Orders[[#This Row],[Unit Price]]</f>
        <v>3499</v>
      </c>
      <c r="Q367" s="5">
        <f>Orders[[#This Row],[Gross Sales]]*Orders[[#This Row],[Discount %]]</f>
        <v>524.85</v>
      </c>
      <c r="R367" s="5">
        <f>Orders[[#This Row],[Gross Sales]]-Orders[[#This Row],[Discount Amount]]</f>
        <v>2974.15</v>
      </c>
      <c r="S367">
        <f>IF(Orders[[#This Row],[Actual Delivery Date]]="","",Orders[[#This Row],[Actual Delivery Date]]-Orders[[#This Row],[Order Date]])</f>
        <v>4</v>
      </c>
      <c r="T367" t="str">
        <f>IF(Orders[[#This Row],[Actual Delivery Date]]="","Pending",IF(Orders[[#This Row],[Actual Delivery Date]]&lt;=Orders[[#This Row],[Expected Delivery Date]],"On Time","Late"))</f>
        <v>On Time</v>
      </c>
      <c r="U367" t="str">
        <f>TEXT(Orders[[#This Row],[Order Date]],"mmm")</f>
        <v>May</v>
      </c>
      <c r="V367" s="8">
        <f>DATE(YEAR(Orders[[#This Row],[Order Date]]),MONTH(Orders[[#This Row],[Order Date]]),1)</f>
        <v>46143</v>
      </c>
      <c r="W367" s="5">
        <f>IF(Orders[[#This Row],[Order Status]]="Cancelled",Orders[[#This Row],[Net Sales]],0)</f>
        <v>0</v>
      </c>
    </row>
    <row r="368" spans="1:23" x14ac:dyDescent="0.3">
      <c r="A368" t="s">
        <v>857</v>
      </c>
      <c r="B368" s="7">
        <v>46253</v>
      </c>
      <c r="C368" t="s">
        <v>858</v>
      </c>
      <c r="D368" t="s">
        <v>859</v>
      </c>
      <c r="E368" t="s">
        <v>35</v>
      </c>
      <c r="F368" t="s">
        <v>36</v>
      </c>
      <c r="G368" t="s">
        <v>118</v>
      </c>
      <c r="H368" t="s">
        <v>58</v>
      </c>
      <c r="I368">
        <v>1</v>
      </c>
      <c r="J368" s="5">
        <v>749</v>
      </c>
      <c r="K368" s="2">
        <v>0.05</v>
      </c>
      <c r="L368" t="s">
        <v>22</v>
      </c>
      <c r="M368" t="s">
        <v>59</v>
      </c>
      <c r="N368" s="1">
        <v>46256</v>
      </c>
      <c r="O368" s="1">
        <v>46256</v>
      </c>
      <c r="P368" s="5">
        <f>Orders[[#This Row],[Quantity]]*Orders[[#This Row],[Unit Price]]</f>
        <v>749</v>
      </c>
      <c r="Q368" s="5">
        <f>Orders[[#This Row],[Gross Sales]]*Orders[[#This Row],[Discount %]]</f>
        <v>37.450000000000003</v>
      </c>
      <c r="R368" s="5">
        <f>Orders[[#This Row],[Gross Sales]]-Orders[[#This Row],[Discount Amount]]</f>
        <v>711.55</v>
      </c>
      <c r="S368">
        <f>IF(Orders[[#This Row],[Actual Delivery Date]]="","",Orders[[#This Row],[Actual Delivery Date]]-Orders[[#This Row],[Order Date]])</f>
        <v>3</v>
      </c>
      <c r="T368" t="str">
        <f>IF(Orders[[#This Row],[Actual Delivery Date]]="","Pending",IF(Orders[[#This Row],[Actual Delivery Date]]&lt;=Orders[[#This Row],[Expected Delivery Date]],"On Time","Late"))</f>
        <v>On Time</v>
      </c>
      <c r="U368" t="str">
        <f>TEXT(Orders[[#This Row],[Order Date]],"mmm")</f>
        <v>Aug</v>
      </c>
      <c r="V368" s="8">
        <f>DATE(YEAR(Orders[[#This Row],[Order Date]]),MONTH(Orders[[#This Row],[Order Date]]),1)</f>
        <v>46235</v>
      </c>
      <c r="W368" s="5">
        <f>IF(Orders[[#This Row],[Order Status]]="Cancelled",Orders[[#This Row],[Net Sales]],0)</f>
        <v>711.55</v>
      </c>
    </row>
    <row r="369" spans="1:23" x14ac:dyDescent="0.3">
      <c r="A369" t="s">
        <v>860</v>
      </c>
      <c r="B369" s="7">
        <v>46099</v>
      </c>
      <c r="C369" t="s">
        <v>861</v>
      </c>
      <c r="D369" t="s">
        <v>124</v>
      </c>
      <c r="E369" t="s">
        <v>79</v>
      </c>
      <c r="F369" t="s">
        <v>170</v>
      </c>
      <c r="G369" t="s">
        <v>37</v>
      </c>
      <c r="H369" t="s">
        <v>38</v>
      </c>
      <c r="I369">
        <v>2</v>
      </c>
      <c r="J369" s="5">
        <v>699</v>
      </c>
      <c r="K369" s="2">
        <v>0</v>
      </c>
      <c r="L369" t="s">
        <v>31</v>
      </c>
      <c r="M369" t="s">
        <v>23</v>
      </c>
      <c r="N369" s="1">
        <v>46104</v>
      </c>
      <c r="O369" s="1">
        <v>46104</v>
      </c>
      <c r="P369" s="5">
        <f>Orders[[#This Row],[Quantity]]*Orders[[#This Row],[Unit Price]]</f>
        <v>1398</v>
      </c>
      <c r="Q369" s="5">
        <f>Orders[[#This Row],[Gross Sales]]*Orders[[#This Row],[Discount %]]</f>
        <v>0</v>
      </c>
      <c r="R369" s="5">
        <f>Orders[[#This Row],[Gross Sales]]-Orders[[#This Row],[Discount Amount]]</f>
        <v>1398</v>
      </c>
      <c r="S369">
        <f>IF(Orders[[#This Row],[Actual Delivery Date]]="","",Orders[[#This Row],[Actual Delivery Date]]-Orders[[#This Row],[Order Date]])</f>
        <v>5</v>
      </c>
      <c r="T369" t="str">
        <f>IF(Orders[[#This Row],[Actual Delivery Date]]="","Pending",IF(Orders[[#This Row],[Actual Delivery Date]]&lt;=Orders[[#This Row],[Expected Delivery Date]],"On Time","Late"))</f>
        <v>On Time</v>
      </c>
      <c r="U369" t="str">
        <f>TEXT(Orders[[#This Row],[Order Date]],"mmm")</f>
        <v>Mar</v>
      </c>
      <c r="V369" s="8">
        <f>DATE(YEAR(Orders[[#This Row],[Order Date]]),MONTH(Orders[[#This Row],[Order Date]]),1)</f>
        <v>46082</v>
      </c>
      <c r="W369" s="5">
        <f>IF(Orders[[#This Row],[Order Status]]="Cancelled",Orders[[#This Row],[Net Sales]],0)</f>
        <v>0</v>
      </c>
    </row>
    <row r="370" spans="1:23" x14ac:dyDescent="0.3">
      <c r="A370" t="s">
        <v>862</v>
      </c>
      <c r="B370" s="7">
        <v>46313</v>
      </c>
      <c r="C370" t="s">
        <v>863</v>
      </c>
      <c r="D370" t="s">
        <v>573</v>
      </c>
      <c r="E370" t="s">
        <v>79</v>
      </c>
      <c r="F370" t="s">
        <v>80</v>
      </c>
      <c r="G370" t="s">
        <v>87</v>
      </c>
      <c r="H370" t="s">
        <v>21</v>
      </c>
      <c r="I370">
        <v>1</v>
      </c>
      <c r="J370" s="5">
        <v>1899</v>
      </c>
      <c r="K370" s="2">
        <v>0</v>
      </c>
      <c r="L370" t="s">
        <v>31</v>
      </c>
      <c r="M370" t="s">
        <v>23</v>
      </c>
      <c r="N370" s="1">
        <v>46316</v>
      </c>
      <c r="O370" s="1">
        <v>46315</v>
      </c>
      <c r="P370" s="5">
        <f>Orders[[#This Row],[Quantity]]*Orders[[#This Row],[Unit Price]]</f>
        <v>1899</v>
      </c>
      <c r="Q370" s="5">
        <f>Orders[[#This Row],[Gross Sales]]*Orders[[#This Row],[Discount %]]</f>
        <v>0</v>
      </c>
      <c r="R370" s="5">
        <f>Orders[[#This Row],[Gross Sales]]-Orders[[#This Row],[Discount Amount]]</f>
        <v>1899</v>
      </c>
      <c r="S370">
        <f>IF(Orders[[#This Row],[Actual Delivery Date]]="","",Orders[[#This Row],[Actual Delivery Date]]-Orders[[#This Row],[Order Date]])</f>
        <v>2</v>
      </c>
      <c r="T370" t="str">
        <f>IF(Orders[[#This Row],[Actual Delivery Date]]="","Pending",IF(Orders[[#This Row],[Actual Delivery Date]]&lt;=Orders[[#This Row],[Expected Delivery Date]],"On Time","Late"))</f>
        <v>On Time</v>
      </c>
      <c r="U370" t="str">
        <f>TEXT(Orders[[#This Row],[Order Date]],"mmm")</f>
        <v>Oct</v>
      </c>
      <c r="V370" s="8">
        <f>DATE(YEAR(Orders[[#This Row],[Order Date]]),MONTH(Orders[[#This Row],[Order Date]]),1)</f>
        <v>46296</v>
      </c>
      <c r="W370" s="5">
        <f>IF(Orders[[#This Row],[Order Status]]="Cancelled",Orders[[#This Row],[Net Sales]],0)</f>
        <v>0</v>
      </c>
    </row>
    <row r="371" spans="1:23" x14ac:dyDescent="0.3">
      <c r="A371" t="s">
        <v>864</v>
      </c>
      <c r="B371" s="7">
        <v>46309</v>
      </c>
      <c r="C371" t="s">
        <v>245</v>
      </c>
      <c r="D371" t="s">
        <v>254</v>
      </c>
      <c r="E371" t="s">
        <v>35</v>
      </c>
      <c r="F371" t="s">
        <v>36</v>
      </c>
      <c r="G371" t="s">
        <v>186</v>
      </c>
      <c r="H371" t="s">
        <v>21</v>
      </c>
      <c r="I371">
        <v>2</v>
      </c>
      <c r="J371" s="5">
        <v>1999</v>
      </c>
      <c r="K371" s="2">
        <v>0.1</v>
      </c>
      <c r="L371" t="s">
        <v>46</v>
      </c>
      <c r="M371" t="s">
        <v>23</v>
      </c>
      <c r="N371" s="1">
        <v>46314</v>
      </c>
      <c r="O371" s="1">
        <v>46314</v>
      </c>
      <c r="P371" s="5">
        <f>Orders[[#This Row],[Quantity]]*Orders[[#This Row],[Unit Price]]</f>
        <v>3998</v>
      </c>
      <c r="Q371" s="5">
        <f>Orders[[#This Row],[Gross Sales]]*Orders[[#This Row],[Discount %]]</f>
        <v>399.8</v>
      </c>
      <c r="R371" s="5">
        <f>Orders[[#This Row],[Gross Sales]]-Orders[[#This Row],[Discount Amount]]</f>
        <v>3598.2</v>
      </c>
      <c r="S371">
        <f>IF(Orders[[#This Row],[Actual Delivery Date]]="","",Orders[[#This Row],[Actual Delivery Date]]-Orders[[#This Row],[Order Date]])</f>
        <v>5</v>
      </c>
      <c r="T371" t="str">
        <f>IF(Orders[[#This Row],[Actual Delivery Date]]="","Pending",IF(Orders[[#This Row],[Actual Delivery Date]]&lt;=Orders[[#This Row],[Expected Delivery Date]],"On Time","Late"))</f>
        <v>On Time</v>
      </c>
      <c r="U371" t="str">
        <f>TEXT(Orders[[#This Row],[Order Date]],"mmm")</f>
        <v>Oct</v>
      </c>
      <c r="V371" s="8">
        <f>DATE(YEAR(Orders[[#This Row],[Order Date]]),MONTH(Orders[[#This Row],[Order Date]]),1)</f>
        <v>46296</v>
      </c>
      <c r="W371" s="5">
        <f>IF(Orders[[#This Row],[Order Status]]="Cancelled",Orders[[#This Row],[Net Sales]],0)</f>
        <v>0</v>
      </c>
    </row>
    <row r="372" spans="1:23" x14ac:dyDescent="0.3">
      <c r="A372" t="s">
        <v>865</v>
      </c>
      <c r="B372" s="7">
        <v>46367</v>
      </c>
      <c r="C372" t="s">
        <v>808</v>
      </c>
      <c r="D372" t="s">
        <v>283</v>
      </c>
      <c r="E372" t="s">
        <v>27</v>
      </c>
      <c r="F372" t="s">
        <v>51</v>
      </c>
      <c r="G372" t="s">
        <v>186</v>
      </c>
      <c r="H372" t="s">
        <v>21</v>
      </c>
      <c r="I372">
        <v>2</v>
      </c>
      <c r="J372" s="5">
        <v>1999</v>
      </c>
      <c r="K372" s="2">
        <v>0.15</v>
      </c>
      <c r="L372" t="s">
        <v>39</v>
      </c>
      <c r="M372" t="s">
        <v>23</v>
      </c>
      <c r="N372" s="1">
        <v>46373</v>
      </c>
      <c r="O372" s="1">
        <v>46373</v>
      </c>
      <c r="P372" s="5">
        <f>Orders[[#This Row],[Quantity]]*Orders[[#This Row],[Unit Price]]</f>
        <v>3998</v>
      </c>
      <c r="Q372" s="5">
        <f>Orders[[#This Row],[Gross Sales]]*Orders[[#This Row],[Discount %]]</f>
        <v>599.69999999999993</v>
      </c>
      <c r="R372" s="5">
        <f>Orders[[#This Row],[Gross Sales]]-Orders[[#This Row],[Discount Amount]]</f>
        <v>3398.3</v>
      </c>
      <c r="S372">
        <f>IF(Orders[[#This Row],[Actual Delivery Date]]="","",Orders[[#This Row],[Actual Delivery Date]]-Orders[[#This Row],[Order Date]])</f>
        <v>6</v>
      </c>
      <c r="T372" t="str">
        <f>IF(Orders[[#This Row],[Actual Delivery Date]]="","Pending",IF(Orders[[#This Row],[Actual Delivery Date]]&lt;=Orders[[#This Row],[Expected Delivery Date]],"On Time","Late"))</f>
        <v>On Time</v>
      </c>
      <c r="U372" t="str">
        <f>TEXT(Orders[[#This Row],[Order Date]],"mmm")</f>
        <v>Dec</v>
      </c>
      <c r="V372" s="8">
        <f>DATE(YEAR(Orders[[#This Row],[Order Date]]),MONTH(Orders[[#This Row],[Order Date]]),1)</f>
        <v>46357</v>
      </c>
      <c r="W372" s="5">
        <f>IF(Orders[[#This Row],[Order Status]]="Cancelled",Orders[[#This Row],[Net Sales]],0)</f>
        <v>0</v>
      </c>
    </row>
    <row r="373" spans="1:23" x14ac:dyDescent="0.3">
      <c r="A373" t="s">
        <v>866</v>
      </c>
      <c r="B373" s="7">
        <v>46230</v>
      </c>
      <c r="C373" t="s">
        <v>867</v>
      </c>
      <c r="D373" t="s">
        <v>146</v>
      </c>
      <c r="E373" t="s">
        <v>35</v>
      </c>
      <c r="F373" t="s">
        <v>63</v>
      </c>
      <c r="G373" t="s">
        <v>206</v>
      </c>
      <c r="H373" t="s">
        <v>30</v>
      </c>
      <c r="I373">
        <v>3</v>
      </c>
      <c r="J373" s="5">
        <v>1199</v>
      </c>
      <c r="K373" s="2">
        <v>0</v>
      </c>
      <c r="L373" t="s">
        <v>39</v>
      </c>
      <c r="M373" t="s">
        <v>23</v>
      </c>
      <c r="N373" s="1">
        <v>46234</v>
      </c>
      <c r="O373" s="1">
        <v>46233</v>
      </c>
      <c r="P373" s="5">
        <f>Orders[[#This Row],[Quantity]]*Orders[[#This Row],[Unit Price]]</f>
        <v>3597</v>
      </c>
      <c r="Q373" s="5">
        <f>Orders[[#This Row],[Gross Sales]]*Orders[[#This Row],[Discount %]]</f>
        <v>0</v>
      </c>
      <c r="R373" s="5">
        <f>Orders[[#This Row],[Gross Sales]]-Orders[[#This Row],[Discount Amount]]</f>
        <v>3597</v>
      </c>
      <c r="S373">
        <f>IF(Orders[[#This Row],[Actual Delivery Date]]="","",Orders[[#This Row],[Actual Delivery Date]]-Orders[[#This Row],[Order Date]])</f>
        <v>3</v>
      </c>
      <c r="T373" t="str">
        <f>IF(Orders[[#This Row],[Actual Delivery Date]]="","Pending",IF(Orders[[#This Row],[Actual Delivery Date]]&lt;=Orders[[#This Row],[Expected Delivery Date]],"On Time","Late"))</f>
        <v>On Time</v>
      </c>
      <c r="U373" t="str">
        <f>TEXT(Orders[[#This Row],[Order Date]],"mmm")</f>
        <v>Jul</v>
      </c>
      <c r="V373" s="8">
        <f>DATE(YEAR(Orders[[#This Row],[Order Date]]),MONTH(Orders[[#This Row],[Order Date]]),1)</f>
        <v>46204</v>
      </c>
      <c r="W373" s="5">
        <f>IF(Orders[[#This Row],[Order Status]]="Cancelled",Orders[[#This Row],[Net Sales]],0)</f>
        <v>0</v>
      </c>
    </row>
    <row r="374" spans="1:23" x14ac:dyDescent="0.3">
      <c r="A374" t="s">
        <v>868</v>
      </c>
      <c r="B374" s="7">
        <v>46323</v>
      </c>
      <c r="C374" t="s">
        <v>480</v>
      </c>
      <c r="D374" t="s">
        <v>869</v>
      </c>
      <c r="E374" t="s">
        <v>79</v>
      </c>
      <c r="F374" t="s">
        <v>80</v>
      </c>
      <c r="G374" t="s">
        <v>118</v>
      </c>
      <c r="H374" t="s">
        <v>58</v>
      </c>
      <c r="I374">
        <v>2</v>
      </c>
      <c r="J374" s="5">
        <v>749</v>
      </c>
      <c r="K374" s="2">
        <v>0.15</v>
      </c>
      <c r="L374" t="s">
        <v>70</v>
      </c>
      <c r="M374" t="s">
        <v>23</v>
      </c>
      <c r="N374" s="1">
        <v>46326</v>
      </c>
      <c r="O374" s="1">
        <v>46324</v>
      </c>
      <c r="P374" s="5">
        <f>Orders[[#This Row],[Quantity]]*Orders[[#This Row],[Unit Price]]</f>
        <v>1498</v>
      </c>
      <c r="Q374" s="5">
        <f>Orders[[#This Row],[Gross Sales]]*Orders[[#This Row],[Discount %]]</f>
        <v>224.7</v>
      </c>
      <c r="R374" s="5">
        <f>Orders[[#This Row],[Gross Sales]]-Orders[[#This Row],[Discount Amount]]</f>
        <v>1273.3</v>
      </c>
      <c r="S374">
        <f>IF(Orders[[#This Row],[Actual Delivery Date]]="","",Orders[[#This Row],[Actual Delivery Date]]-Orders[[#This Row],[Order Date]])</f>
        <v>1</v>
      </c>
      <c r="T374" t="str">
        <f>IF(Orders[[#This Row],[Actual Delivery Date]]="","Pending",IF(Orders[[#This Row],[Actual Delivery Date]]&lt;=Orders[[#This Row],[Expected Delivery Date]],"On Time","Late"))</f>
        <v>On Time</v>
      </c>
      <c r="U374" t="str">
        <f>TEXT(Orders[[#This Row],[Order Date]],"mmm")</f>
        <v>Oct</v>
      </c>
      <c r="V374" s="8">
        <f>DATE(YEAR(Orders[[#This Row],[Order Date]]),MONTH(Orders[[#This Row],[Order Date]]),1)</f>
        <v>46296</v>
      </c>
      <c r="W374" s="5">
        <f>IF(Orders[[#This Row],[Order Status]]="Cancelled",Orders[[#This Row],[Net Sales]],0)</f>
        <v>0</v>
      </c>
    </row>
    <row r="375" spans="1:23" x14ac:dyDescent="0.3">
      <c r="A375" t="s">
        <v>870</v>
      </c>
      <c r="B375" s="7">
        <v>46075</v>
      </c>
      <c r="C375" t="s">
        <v>871</v>
      </c>
      <c r="D375" t="s">
        <v>613</v>
      </c>
      <c r="E375" t="s">
        <v>18</v>
      </c>
      <c r="F375" t="s">
        <v>95</v>
      </c>
      <c r="G375" t="s">
        <v>96</v>
      </c>
      <c r="H375" t="s">
        <v>38</v>
      </c>
      <c r="I375">
        <v>1</v>
      </c>
      <c r="J375" s="5">
        <v>1599</v>
      </c>
      <c r="K375" s="2">
        <v>0.15</v>
      </c>
      <c r="L375" t="s">
        <v>22</v>
      </c>
      <c r="M375" t="s">
        <v>23</v>
      </c>
      <c r="N375" s="1">
        <v>46077</v>
      </c>
      <c r="O375" s="1">
        <v>46076</v>
      </c>
      <c r="P375" s="5">
        <f>Orders[[#This Row],[Quantity]]*Orders[[#This Row],[Unit Price]]</f>
        <v>1599</v>
      </c>
      <c r="Q375" s="5">
        <f>Orders[[#This Row],[Gross Sales]]*Orders[[#This Row],[Discount %]]</f>
        <v>239.85</v>
      </c>
      <c r="R375" s="5">
        <f>Orders[[#This Row],[Gross Sales]]-Orders[[#This Row],[Discount Amount]]</f>
        <v>1359.15</v>
      </c>
      <c r="S375">
        <f>IF(Orders[[#This Row],[Actual Delivery Date]]="","",Orders[[#This Row],[Actual Delivery Date]]-Orders[[#This Row],[Order Date]])</f>
        <v>1</v>
      </c>
      <c r="T375" t="str">
        <f>IF(Orders[[#This Row],[Actual Delivery Date]]="","Pending",IF(Orders[[#This Row],[Actual Delivery Date]]&lt;=Orders[[#This Row],[Expected Delivery Date]],"On Time","Late"))</f>
        <v>On Time</v>
      </c>
      <c r="U375" t="str">
        <f>TEXT(Orders[[#This Row],[Order Date]],"mmm")</f>
        <v>Feb</v>
      </c>
      <c r="V375" s="8">
        <f>DATE(YEAR(Orders[[#This Row],[Order Date]]),MONTH(Orders[[#This Row],[Order Date]]),1)</f>
        <v>46054</v>
      </c>
      <c r="W375" s="5">
        <f>IF(Orders[[#This Row],[Order Status]]="Cancelled",Orders[[#This Row],[Net Sales]],0)</f>
        <v>0</v>
      </c>
    </row>
    <row r="376" spans="1:23" x14ac:dyDescent="0.3">
      <c r="A376" t="s">
        <v>872</v>
      </c>
      <c r="B376" s="7">
        <v>46140</v>
      </c>
      <c r="C376" t="s">
        <v>873</v>
      </c>
      <c r="D376" t="s">
        <v>650</v>
      </c>
      <c r="E376" t="s">
        <v>27</v>
      </c>
      <c r="F376" t="s">
        <v>28</v>
      </c>
      <c r="G376" t="s">
        <v>118</v>
      </c>
      <c r="H376" t="s">
        <v>58</v>
      </c>
      <c r="I376">
        <v>1</v>
      </c>
      <c r="J376" s="5">
        <v>749</v>
      </c>
      <c r="K376" s="2">
        <v>0.1</v>
      </c>
      <c r="L376" t="s">
        <v>70</v>
      </c>
      <c r="M376" t="s">
        <v>59</v>
      </c>
      <c r="N376" s="1">
        <v>46143</v>
      </c>
      <c r="O376" s="1">
        <v>46141</v>
      </c>
      <c r="P376" s="5">
        <f>Orders[[#This Row],[Quantity]]*Orders[[#This Row],[Unit Price]]</f>
        <v>749</v>
      </c>
      <c r="Q376" s="5">
        <f>Orders[[#This Row],[Gross Sales]]*Orders[[#This Row],[Discount %]]</f>
        <v>74.900000000000006</v>
      </c>
      <c r="R376" s="5">
        <f>Orders[[#This Row],[Gross Sales]]-Orders[[#This Row],[Discount Amount]]</f>
        <v>674.1</v>
      </c>
      <c r="S376">
        <f>IF(Orders[[#This Row],[Actual Delivery Date]]="","",Orders[[#This Row],[Actual Delivery Date]]-Orders[[#This Row],[Order Date]])</f>
        <v>1</v>
      </c>
      <c r="T376" t="str">
        <f>IF(Orders[[#This Row],[Actual Delivery Date]]="","Pending",IF(Orders[[#This Row],[Actual Delivery Date]]&lt;=Orders[[#This Row],[Expected Delivery Date]],"On Time","Late"))</f>
        <v>On Time</v>
      </c>
      <c r="U376" t="str">
        <f>TEXT(Orders[[#This Row],[Order Date]],"mmm")</f>
        <v>Apr</v>
      </c>
      <c r="V376" s="8">
        <f>DATE(YEAR(Orders[[#This Row],[Order Date]]),MONTH(Orders[[#This Row],[Order Date]]),1)</f>
        <v>46113</v>
      </c>
      <c r="W376" s="5">
        <f>IF(Orders[[#This Row],[Order Status]]="Cancelled",Orders[[#This Row],[Net Sales]],0)</f>
        <v>674.1</v>
      </c>
    </row>
    <row r="377" spans="1:23" x14ac:dyDescent="0.3">
      <c r="A377" t="s">
        <v>874</v>
      </c>
      <c r="B377" s="7">
        <v>46299</v>
      </c>
      <c r="C377" t="s">
        <v>172</v>
      </c>
      <c r="D377" t="s">
        <v>194</v>
      </c>
      <c r="E377" t="s">
        <v>35</v>
      </c>
      <c r="F377" t="s">
        <v>36</v>
      </c>
      <c r="G377" t="s">
        <v>57</v>
      </c>
      <c r="H377" t="s">
        <v>58</v>
      </c>
      <c r="I377">
        <v>4</v>
      </c>
      <c r="J377" s="5">
        <v>499</v>
      </c>
      <c r="K377" s="2">
        <v>0.2</v>
      </c>
      <c r="L377" t="s">
        <v>70</v>
      </c>
      <c r="M377" t="s">
        <v>23</v>
      </c>
      <c r="N377" s="1">
        <v>46306</v>
      </c>
      <c r="O377" s="1">
        <v>46304</v>
      </c>
      <c r="P377" s="5">
        <f>Orders[[#This Row],[Quantity]]*Orders[[#This Row],[Unit Price]]</f>
        <v>1996</v>
      </c>
      <c r="Q377" s="5">
        <f>Orders[[#This Row],[Gross Sales]]*Orders[[#This Row],[Discount %]]</f>
        <v>399.20000000000005</v>
      </c>
      <c r="R377" s="5">
        <f>Orders[[#This Row],[Gross Sales]]-Orders[[#This Row],[Discount Amount]]</f>
        <v>1596.8</v>
      </c>
      <c r="S377">
        <f>IF(Orders[[#This Row],[Actual Delivery Date]]="","",Orders[[#This Row],[Actual Delivery Date]]-Orders[[#This Row],[Order Date]])</f>
        <v>5</v>
      </c>
      <c r="T377" t="str">
        <f>IF(Orders[[#This Row],[Actual Delivery Date]]="","Pending",IF(Orders[[#This Row],[Actual Delivery Date]]&lt;=Orders[[#This Row],[Expected Delivery Date]],"On Time","Late"))</f>
        <v>On Time</v>
      </c>
      <c r="U377" t="str">
        <f>TEXT(Orders[[#This Row],[Order Date]],"mmm")</f>
        <v>Oct</v>
      </c>
      <c r="V377" s="8">
        <f>DATE(YEAR(Orders[[#This Row],[Order Date]]),MONTH(Orders[[#This Row],[Order Date]]),1)</f>
        <v>46296</v>
      </c>
      <c r="W377" s="5">
        <f>IF(Orders[[#This Row],[Order Status]]="Cancelled",Orders[[#This Row],[Net Sales]],0)</f>
        <v>0</v>
      </c>
    </row>
    <row r="378" spans="1:23" x14ac:dyDescent="0.3">
      <c r="A378" t="s">
        <v>875</v>
      </c>
      <c r="B378" s="7">
        <v>46299</v>
      </c>
      <c r="C378" t="s">
        <v>750</v>
      </c>
      <c r="D378" t="s">
        <v>790</v>
      </c>
      <c r="E378" t="s">
        <v>79</v>
      </c>
      <c r="F378" t="s">
        <v>80</v>
      </c>
      <c r="G378" t="s">
        <v>218</v>
      </c>
      <c r="H378" t="s">
        <v>21</v>
      </c>
      <c r="I378">
        <v>1</v>
      </c>
      <c r="J378" s="5">
        <v>2999</v>
      </c>
      <c r="K378" s="2">
        <v>0</v>
      </c>
      <c r="L378" t="s">
        <v>70</v>
      </c>
      <c r="M378" t="s">
        <v>23</v>
      </c>
      <c r="N378" s="1">
        <v>46303</v>
      </c>
      <c r="O378" s="1">
        <v>46301</v>
      </c>
      <c r="P378" s="5">
        <f>Orders[[#This Row],[Quantity]]*Orders[[#This Row],[Unit Price]]</f>
        <v>2999</v>
      </c>
      <c r="Q378" s="5">
        <f>Orders[[#This Row],[Gross Sales]]*Orders[[#This Row],[Discount %]]</f>
        <v>0</v>
      </c>
      <c r="R378" s="5">
        <f>Orders[[#This Row],[Gross Sales]]-Orders[[#This Row],[Discount Amount]]</f>
        <v>2999</v>
      </c>
      <c r="S378">
        <f>IF(Orders[[#This Row],[Actual Delivery Date]]="","",Orders[[#This Row],[Actual Delivery Date]]-Orders[[#This Row],[Order Date]])</f>
        <v>2</v>
      </c>
      <c r="T378" t="str">
        <f>IF(Orders[[#This Row],[Actual Delivery Date]]="","Pending",IF(Orders[[#This Row],[Actual Delivery Date]]&lt;=Orders[[#This Row],[Expected Delivery Date]],"On Time","Late"))</f>
        <v>On Time</v>
      </c>
      <c r="U378" t="str">
        <f>TEXT(Orders[[#This Row],[Order Date]],"mmm")</f>
        <v>Oct</v>
      </c>
      <c r="V378" s="8">
        <f>DATE(YEAR(Orders[[#This Row],[Order Date]]),MONTH(Orders[[#This Row],[Order Date]]),1)</f>
        <v>46296</v>
      </c>
      <c r="W378" s="5">
        <f>IF(Orders[[#This Row],[Order Status]]="Cancelled",Orders[[#This Row],[Net Sales]],0)</f>
        <v>0</v>
      </c>
    </row>
    <row r="379" spans="1:23" x14ac:dyDescent="0.3">
      <c r="A379" t="s">
        <v>876</v>
      </c>
      <c r="B379" s="7">
        <v>46263</v>
      </c>
      <c r="C379" t="s">
        <v>877</v>
      </c>
      <c r="D379" t="s">
        <v>99</v>
      </c>
      <c r="E379" t="s">
        <v>18</v>
      </c>
      <c r="F379" t="s">
        <v>95</v>
      </c>
      <c r="G379" t="s">
        <v>186</v>
      </c>
      <c r="H379" t="s">
        <v>21</v>
      </c>
      <c r="I379">
        <v>2</v>
      </c>
      <c r="J379" s="5">
        <v>1999</v>
      </c>
      <c r="K379" s="2">
        <v>0.15</v>
      </c>
      <c r="L379" t="s">
        <v>70</v>
      </c>
      <c r="M379" t="s">
        <v>23</v>
      </c>
      <c r="N379" s="1">
        <v>46265</v>
      </c>
      <c r="O379" s="1">
        <v>46265</v>
      </c>
      <c r="P379" s="5">
        <f>Orders[[#This Row],[Quantity]]*Orders[[#This Row],[Unit Price]]</f>
        <v>3998</v>
      </c>
      <c r="Q379" s="5">
        <f>Orders[[#This Row],[Gross Sales]]*Orders[[#This Row],[Discount %]]</f>
        <v>599.69999999999993</v>
      </c>
      <c r="R379" s="5">
        <f>Orders[[#This Row],[Gross Sales]]-Orders[[#This Row],[Discount Amount]]</f>
        <v>3398.3</v>
      </c>
      <c r="S379">
        <f>IF(Orders[[#This Row],[Actual Delivery Date]]="","",Orders[[#This Row],[Actual Delivery Date]]-Orders[[#This Row],[Order Date]])</f>
        <v>2</v>
      </c>
      <c r="T379" t="str">
        <f>IF(Orders[[#This Row],[Actual Delivery Date]]="","Pending",IF(Orders[[#This Row],[Actual Delivery Date]]&lt;=Orders[[#This Row],[Expected Delivery Date]],"On Time","Late"))</f>
        <v>On Time</v>
      </c>
      <c r="U379" t="str">
        <f>TEXT(Orders[[#This Row],[Order Date]],"mmm")</f>
        <v>Aug</v>
      </c>
      <c r="V379" s="8">
        <f>DATE(YEAR(Orders[[#This Row],[Order Date]]),MONTH(Orders[[#This Row],[Order Date]]),1)</f>
        <v>46235</v>
      </c>
      <c r="W379" s="5">
        <f>IF(Orders[[#This Row],[Order Status]]="Cancelled",Orders[[#This Row],[Net Sales]],0)</f>
        <v>0</v>
      </c>
    </row>
    <row r="380" spans="1:23" x14ac:dyDescent="0.3">
      <c r="A380" t="s">
        <v>878</v>
      </c>
      <c r="B380" s="7">
        <v>46246</v>
      </c>
      <c r="C380" t="s">
        <v>879</v>
      </c>
      <c r="D380" t="s">
        <v>880</v>
      </c>
      <c r="E380" t="s">
        <v>35</v>
      </c>
      <c r="F380" t="s">
        <v>68</v>
      </c>
      <c r="G380" t="s">
        <v>228</v>
      </c>
      <c r="H380" t="s">
        <v>58</v>
      </c>
      <c r="I380">
        <v>1</v>
      </c>
      <c r="J380" s="5">
        <v>1499</v>
      </c>
      <c r="K380" s="2">
        <v>0.05</v>
      </c>
      <c r="L380" t="s">
        <v>70</v>
      </c>
      <c r="M380" t="s">
        <v>82</v>
      </c>
      <c r="N380" s="1">
        <v>46251</v>
      </c>
      <c r="O380" s="1">
        <v>46247</v>
      </c>
      <c r="P380" s="5">
        <f>Orders[[#This Row],[Quantity]]*Orders[[#This Row],[Unit Price]]</f>
        <v>1499</v>
      </c>
      <c r="Q380" s="5">
        <f>Orders[[#This Row],[Gross Sales]]*Orders[[#This Row],[Discount %]]</f>
        <v>74.95</v>
      </c>
      <c r="R380" s="5">
        <f>Orders[[#This Row],[Gross Sales]]-Orders[[#This Row],[Discount Amount]]</f>
        <v>1424.05</v>
      </c>
      <c r="S380">
        <f>IF(Orders[[#This Row],[Actual Delivery Date]]="","",Orders[[#This Row],[Actual Delivery Date]]-Orders[[#This Row],[Order Date]])</f>
        <v>1</v>
      </c>
      <c r="T380" t="str">
        <f>IF(Orders[[#This Row],[Actual Delivery Date]]="","Pending",IF(Orders[[#This Row],[Actual Delivery Date]]&lt;=Orders[[#This Row],[Expected Delivery Date]],"On Time","Late"))</f>
        <v>On Time</v>
      </c>
      <c r="U380" t="str">
        <f>TEXT(Orders[[#This Row],[Order Date]],"mmm")</f>
        <v>Aug</v>
      </c>
      <c r="V380" s="8">
        <f>DATE(YEAR(Orders[[#This Row],[Order Date]]),MONTH(Orders[[#This Row],[Order Date]]),1)</f>
        <v>46235</v>
      </c>
      <c r="W380" s="5">
        <f>IF(Orders[[#This Row],[Order Status]]="Cancelled",Orders[[#This Row],[Net Sales]],0)</f>
        <v>0</v>
      </c>
    </row>
    <row r="381" spans="1:23" x14ac:dyDescent="0.3">
      <c r="A381" t="s">
        <v>881</v>
      </c>
      <c r="B381" s="7">
        <v>46234</v>
      </c>
      <c r="C381" t="s">
        <v>560</v>
      </c>
      <c r="D381" t="s">
        <v>882</v>
      </c>
      <c r="E381" t="s">
        <v>35</v>
      </c>
      <c r="F381" t="s">
        <v>36</v>
      </c>
      <c r="G381" t="s">
        <v>91</v>
      </c>
      <c r="H381" t="s">
        <v>30</v>
      </c>
      <c r="I381">
        <v>1</v>
      </c>
      <c r="J381" s="5">
        <v>3299</v>
      </c>
      <c r="K381" s="2">
        <v>0</v>
      </c>
      <c r="L381" t="s">
        <v>31</v>
      </c>
      <c r="M381" t="s">
        <v>23</v>
      </c>
      <c r="N381" s="1">
        <v>46238</v>
      </c>
      <c r="O381" s="1">
        <v>46238</v>
      </c>
      <c r="P381" s="5">
        <f>Orders[[#This Row],[Quantity]]*Orders[[#This Row],[Unit Price]]</f>
        <v>3299</v>
      </c>
      <c r="Q381" s="5">
        <f>Orders[[#This Row],[Gross Sales]]*Orders[[#This Row],[Discount %]]</f>
        <v>0</v>
      </c>
      <c r="R381" s="5">
        <f>Orders[[#This Row],[Gross Sales]]-Orders[[#This Row],[Discount Amount]]</f>
        <v>3299</v>
      </c>
      <c r="S381">
        <f>IF(Orders[[#This Row],[Actual Delivery Date]]="","",Orders[[#This Row],[Actual Delivery Date]]-Orders[[#This Row],[Order Date]])</f>
        <v>4</v>
      </c>
      <c r="T381" t="str">
        <f>IF(Orders[[#This Row],[Actual Delivery Date]]="","Pending",IF(Orders[[#This Row],[Actual Delivery Date]]&lt;=Orders[[#This Row],[Expected Delivery Date]],"On Time","Late"))</f>
        <v>On Time</v>
      </c>
      <c r="U381" t="str">
        <f>TEXT(Orders[[#This Row],[Order Date]],"mmm")</f>
        <v>Jul</v>
      </c>
      <c r="V381" s="8">
        <f>DATE(YEAR(Orders[[#This Row],[Order Date]]),MONTH(Orders[[#This Row],[Order Date]]),1)</f>
        <v>46204</v>
      </c>
      <c r="W381" s="5">
        <f>IF(Orders[[#This Row],[Order Status]]="Cancelled",Orders[[#This Row],[Net Sales]],0)</f>
        <v>0</v>
      </c>
    </row>
    <row r="382" spans="1:23" x14ac:dyDescent="0.3">
      <c r="A382" t="s">
        <v>883</v>
      </c>
      <c r="B382" s="7">
        <v>46100</v>
      </c>
      <c r="C382" t="s">
        <v>251</v>
      </c>
      <c r="D382" t="s">
        <v>130</v>
      </c>
      <c r="E382" t="s">
        <v>79</v>
      </c>
      <c r="F382" t="s">
        <v>108</v>
      </c>
      <c r="G382" t="s">
        <v>64</v>
      </c>
      <c r="H382" t="s">
        <v>21</v>
      </c>
      <c r="I382">
        <v>1</v>
      </c>
      <c r="J382" s="5">
        <v>699</v>
      </c>
      <c r="K382" s="2">
        <v>0.2</v>
      </c>
      <c r="L382" t="s">
        <v>39</v>
      </c>
      <c r="M382" t="s">
        <v>23</v>
      </c>
      <c r="N382" s="1">
        <v>46102</v>
      </c>
      <c r="O382" s="1">
        <v>46101</v>
      </c>
      <c r="P382" s="5">
        <f>Orders[[#This Row],[Quantity]]*Orders[[#This Row],[Unit Price]]</f>
        <v>699</v>
      </c>
      <c r="Q382" s="5">
        <f>Orders[[#This Row],[Gross Sales]]*Orders[[#This Row],[Discount %]]</f>
        <v>139.80000000000001</v>
      </c>
      <c r="R382" s="5">
        <f>Orders[[#This Row],[Gross Sales]]-Orders[[#This Row],[Discount Amount]]</f>
        <v>559.20000000000005</v>
      </c>
      <c r="S382">
        <f>IF(Orders[[#This Row],[Actual Delivery Date]]="","",Orders[[#This Row],[Actual Delivery Date]]-Orders[[#This Row],[Order Date]])</f>
        <v>1</v>
      </c>
      <c r="T382" t="str">
        <f>IF(Orders[[#This Row],[Actual Delivery Date]]="","Pending",IF(Orders[[#This Row],[Actual Delivery Date]]&lt;=Orders[[#This Row],[Expected Delivery Date]],"On Time","Late"))</f>
        <v>On Time</v>
      </c>
      <c r="U382" t="str">
        <f>TEXT(Orders[[#This Row],[Order Date]],"mmm")</f>
        <v>Mar</v>
      </c>
      <c r="V382" s="8">
        <f>DATE(YEAR(Orders[[#This Row],[Order Date]]),MONTH(Orders[[#This Row],[Order Date]]),1)</f>
        <v>46082</v>
      </c>
      <c r="W382" s="5">
        <f>IF(Orders[[#This Row],[Order Status]]="Cancelled",Orders[[#This Row],[Net Sales]],0)</f>
        <v>0</v>
      </c>
    </row>
    <row r="383" spans="1:23" x14ac:dyDescent="0.3">
      <c r="A383" t="s">
        <v>884</v>
      </c>
      <c r="B383" s="7">
        <v>46275</v>
      </c>
      <c r="C383" t="s">
        <v>525</v>
      </c>
      <c r="D383" t="s">
        <v>563</v>
      </c>
      <c r="E383" t="s">
        <v>27</v>
      </c>
      <c r="F383" t="s">
        <v>28</v>
      </c>
      <c r="G383" t="s">
        <v>104</v>
      </c>
      <c r="H383" t="s">
        <v>38</v>
      </c>
      <c r="I383">
        <v>1</v>
      </c>
      <c r="J383" s="5">
        <v>999</v>
      </c>
      <c r="K383" s="2">
        <v>0.15</v>
      </c>
      <c r="L383" t="s">
        <v>46</v>
      </c>
      <c r="M383" t="s">
        <v>82</v>
      </c>
      <c r="N383" s="1">
        <v>46280</v>
      </c>
      <c r="O383" s="1">
        <v>46284</v>
      </c>
      <c r="P383" s="5">
        <f>Orders[[#This Row],[Quantity]]*Orders[[#This Row],[Unit Price]]</f>
        <v>999</v>
      </c>
      <c r="Q383" s="5">
        <f>Orders[[#This Row],[Gross Sales]]*Orders[[#This Row],[Discount %]]</f>
        <v>149.85</v>
      </c>
      <c r="R383" s="5">
        <f>Orders[[#This Row],[Gross Sales]]-Orders[[#This Row],[Discount Amount]]</f>
        <v>849.15</v>
      </c>
      <c r="S383">
        <f>IF(Orders[[#This Row],[Actual Delivery Date]]="","",Orders[[#This Row],[Actual Delivery Date]]-Orders[[#This Row],[Order Date]])</f>
        <v>9</v>
      </c>
      <c r="T383" t="str">
        <f>IF(Orders[[#This Row],[Actual Delivery Date]]="","Pending",IF(Orders[[#This Row],[Actual Delivery Date]]&lt;=Orders[[#This Row],[Expected Delivery Date]],"On Time","Late"))</f>
        <v>Late</v>
      </c>
      <c r="U383" t="str">
        <f>TEXT(Orders[[#This Row],[Order Date]],"mmm")</f>
        <v>Sep</v>
      </c>
      <c r="V383" s="8">
        <f>DATE(YEAR(Orders[[#This Row],[Order Date]]),MONTH(Orders[[#This Row],[Order Date]]),1)</f>
        <v>46266</v>
      </c>
      <c r="W383" s="5">
        <f>IF(Orders[[#This Row],[Order Status]]="Cancelled",Orders[[#This Row],[Net Sales]],0)</f>
        <v>0</v>
      </c>
    </row>
    <row r="384" spans="1:23" x14ac:dyDescent="0.3">
      <c r="A384" t="s">
        <v>885</v>
      </c>
      <c r="B384" s="7">
        <v>46223</v>
      </c>
      <c r="C384" t="s">
        <v>886</v>
      </c>
      <c r="D384" t="s">
        <v>417</v>
      </c>
      <c r="E384" t="s">
        <v>18</v>
      </c>
      <c r="F384" t="s">
        <v>95</v>
      </c>
      <c r="G384" t="s">
        <v>153</v>
      </c>
      <c r="H384" t="s">
        <v>45</v>
      </c>
      <c r="I384">
        <v>1</v>
      </c>
      <c r="J384" s="5">
        <v>1999</v>
      </c>
      <c r="K384" s="2">
        <v>0.15</v>
      </c>
      <c r="L384" t="s">
        <v>31</v>
      </c>
      <c r="M384" t="s">
        <v>23</v>
      </c>
      <c r="N384" s="1">
        <v>46227</v>
      </c>
      <c r="O384" s="1">
        <v>46224</v>
      </c>
      <c r="P384" s="5">
        <f>Orders[[#This Row],[Quantity]]*Orders[[#This Row],[Unit Price]]</f>
        <v>1999</v>
      </c>
      <c r="Q384" s="5">
        <f>Orders[[#This Row],[Gross Sales]]*Orders[[#This Row],[Discount %]]</f>
        <v>299.84999999999997</v>
      </c>
      <c r="R384" s="5">
        <f>Orders[[#This Row],[Gross Sales]]-Orders[[#This Row],[Discount Amount]]</f>
        <v>1699.15</v>
      </c>
      <c r="S384">
        <f>IF(Orders[[#This Row],[Actual Delivery Date]]="","",Orders[[#This Row],[Actual Delivery Date]]-Orders[[#This Row],[Order Date]])</f>
        <v>1</v>
      </c>
      <c r="T384" t="str">
        <f>IF(Orders[[#This Row],[Actual Delivery Date]]="","Pending",IF(Orders[[#This Row],[Actual Delivery Date]]&lt;=Orders[[#This Row],[Expected Delivery Date]],"On Time","Late"))</f>
        <v>On Time</v>
      </c>
      <c r="U384" t="str">
        <f>TEXT(Orders[[#This Row],[Order Date]],"mmm")</f>
        <v>Jul</v>
      </c>
      <c r="V384" s="8">
        <f>DATE(YEAR(Orders[[#This Row],[Order Date]]),MONTH(Orders[[#This Row],[Order Date]]),1)</f>
        <v>46204</v>
      </c>
      <c r="W384" s="5">
        <f>IF(Orders[[#This Row],[Order Status]]="Cancelled",Orders[[#This Row],[Net Sales]],0)</f>
        <v>0</v>
      </c>
    </row>
    <row r="385" spans="1:23" x14ac:dyDescent="0.3">
      <c r="A385" t="s">
        <v>887</v>
      </c>
      <c r="B385" s="7">
        <v>46124</v>
      </c>
      <c r="C385" t="s">
        <v>93</v>
      </c>
      <c r="D385" t="s">
        <v>214</v>
      </c>
      <c r="E385" t="s">
        <v>79</v>
      </c>
      <c r="F385" t="s">
        <v>170</v>
      </c>
      <c r="G385" t="s">
        <v>104</v>
      </c>
      <c r="H385" t="s">
        <v>38</v>
      </c>
      <c r="I385">
        <v>2</v>
      </c>
      <c r="J385" s="5">
        <v>999</v>
      </c>
      <c r="K385" s="2">
        <v>0</v>
      </c>
      <c r="L385" t="s">
        <v>22</v>
      </c>
      <c r="M385" t="s">
        <v>59</v>
      </c>
      <c r="N385" s="1">
        <v>46127</v>
      </c>
      <c r="O385" s="1">
        <v>46127</v>
      </c>
      <c r="P385" s="5">
        <f>Orders[[#This Row],[Quantity]]*Orders[[#This Row],[Unit Price]]</f>
        <v>1998</v>
      </c>
      <c r="Q385" s="5">
        <f>Orders[[#This Row],[Gross Sales]]*Orders[[#This Row],[Discount %]]</f>
        <v>0</v>
      </c>
      <c r="R385" s="5">
        <f>Orders[[#This Row],[Gross Sales]]-Orders[[#This Row],[Discount Amount]]</f>
        <v>1998</v>
      </c>
      <c r="S385">
        <f>IF(Orders[[#This Row],[Actual Delivery Date]]="","",Orders[[#This Row],[Actual Delivery Date]]-Orders[[#This Row],[Order Date]])</f>
        <v>3</v>
      </c>
      <c r="T385" t="str">
        <f>IF(Orders[[#This Row],[Actual Delivery Date]]="","Pending",IF(Orders[[#This Row],[Actual Delivery Date]]&lt;=Orders[[#This Row],[Expected Delivery Date]],"On Time","Late"))</f>
        <v>On Time</v>
      </c>
      <c r="U385" t="str">
        <f>TEXT(Orders[[#This Row],[Order Date]],"mmm")</f>
        <v>Apr</v>
      </c>
      <c r="V385" s="8">
        <f>DATE(YEAR(Orders[[#This Row],[Order Date]]),MONTH(Orders[[#This Row],[Order Date]]),1)</f>
        <v>46113</v>
      </c>
      <c r="W385" s="5">
        <f>IF(Orders[[#This Row],[Order Status]]="Cancelled",Orders[[#This Row],[Net Sales]],0)</f>
        <v>1998</v>
      </c>
    </row>
    <row r="386" spans="1:23" x14ac:dyDescent="0.3">
      <c r="A386" t="s">
        <v>888</v>
      </c>
      <c r="B386" s="7">
        <v>46085</v>
      </c>
      <c r="C386" t="s">
        <v>889</v>
      </c>
      <c r="D386" t="s">
        <v>859</v>
      </c>
      <c r="E386" t="s">
        <v>27</v>
      </c>
      <c r="F386" t="s">
        <v>28</v>
      </c>
      <c r="G386" t="s">
        <v>206</v>
      </c>
      <c r="H386" t="s">
        <v>30</v>
      </c>
      <c r="I386">
        <v>1</v>
      </c>
      <c r="J386" s="5">
        <v>1199</v>
      </c>
      <c r="K386" s="2">
        <v>0.1</v>
      </c>
      <c r="L386" t="s">
        <v>31</v>
      </c>
      <c r="M386" t="s">
        <v>23</v>
      </c>
      <c r="N386" s="1">
        <v>46087</v>
      </c>
      <c r="O386" s="1">
        <v>46086</v>
      </c>
      <c r="P386" s="5">
        <f>Orders[[#This Row],[Quantity]]*Orders[[#This Row],[Unit Price]]</f>
        <v>1199</v>
      </c>
      <c r="Q386" s="5">
        <f>Orders[[#This Row],[Gross Sales]]*Orders[[#This Row],[Discount %]]</f>
        <v>119.9</v>
      </c>
      <c r="R386" s="5">
        <f>Orders[[#This Row],[Gross Sales]]-Orders[[#This Row],[Discount Amount]]</f>
        <v>1079.0999999999999</v>
      </c>
      <c r="S386">
        <f>IF(Orders[[#This Row],[Actual Delivery Date]]="","",Orders[[#This Row],[Actual Delivery Date]]-Orders[[#This Row],[Order Date]])</f>
        <v>1</v>
      </c>
      <c r="T386" t="str">
        <f>IF(Orders[[#This Row],[Actual Delivery Date]]="","Pending",IF(Orders[[#This Row],[Actual Delivery Date]]&lt;=Orders[[#This Row],[Expected Delivery Date]],"On Time","Late"))</f>
        <v>On Time</v>
      </c>
      <c r="U386" t="str">
        <f>TEXT(Orders[[#This Row],[Order Date]],"mmm")</f>
        <v>Mar</v>
      </c>
      <c r="V386" s="8">
        <f>DATE(YEAR(Orders[[#This Row],[Order Date]]),MONTH(Orders[[#This Row],[Order Date]]),1)</f>
        <v>46082</v>
      </c>
      <c r="W386" s="5">
        <f>IF(Orders[[#This Row],[Order Status]]="Cancelled",Orders[[#This Row],[Net Sales]],0)</f>
        <v>0</v>
      </c>
    </row>
    <row r="387" spans="1:23" x14ac:dyDescent="0.3">
      <c r="A387" t="s">
        <v>890</v>
      </c>
      <c r="B387" s="7">
        <v>46164</v>
      </c>
      <c r="C387" t="s">
        <v>142</v>
      </c>
      <c r="D387" t="s">
        <v>891</v>
      </c>
      <c r="E387" t="s">
        <v>79</v>
      </c>
      <c r="F387" t="s">
        <v>80</v>
      </c>
      <c r="G387" t="s">
        <v>52</v>
      </c>
      <c r="H387" t="s">
        <v>45</v>
      </c>
      <c r="I387">
        <v>2</v>
      </c>
      <c r="J387" s="5">
        <v>1299</v>
      </c>
      <c r="K387" s="2">
        <v>0.15</v>
      </c>
      <c r="L387" t="s">
        <v>31</v>
      </c>
      <c r="M387" t="s">
        <v>23</v>
      </c>
      <c r="N387" s="1">
        <v>46166</v>
      </c>
      <c r="O387" s="1">
        <v>46166</v>
      </c>
      <c r="P387" s="5">
        <f>Orders[[#This Row],[Quantity]]*Orders[[#This Row],[Unit Price]]</f>
        <v>2598</v>
      </c>
      <c r="Q387" s="5">
        <f>Orders[[#This Row],[Gross Sales]]*Orders[[#This Row],[Discount %]]</f>
        <v>389.7</v>
      </c>
      <c r="R387" s="5">
        <f>Orders[[#This Row],[Gross Sales]]-Orders[[#This Row],[Discount Amount]]</f>
        <v>2208.3000000000002</v>
      </c>
      <c r="S387">
        <f>IF(Orders[[#This Row],[Actual Delivery Date]]="","",Orders[[#This Row],[Actual Delivery Date]]-Orders[[#This Row],[Order Date]])</f>
        <v>2</v>
      </c>
      <c r="T387" t="str">
        <f>IF(Orders[[#This Row],[Actual Delivery Date]]="","Pending",IF(Orders[[#This Row],[Actual Delivery Date]]&lt;=Orders[[#This Row],[Expected Delivery Date]],"On Time","Late"))</f>
        <v>On Time</v>
      </c>
      <c r="U387" t="str">
        <f>TEXT(Orders[[#This Row],[Order Date]],"mmm")</f>
        <v>May</v>
      </c>
      <c r="V387" s="8">
        <f>DATE(YEAR(Orders[[#This Row],[Order Date]]),MONTH(Orders[[#This Row],[Order Date]]),1)</f>
        <v>46143</v>
      </c>
      <c r="W387" s="5">
        <f>IF(Orders[[#This Row],[Order Status]]="Cancelled",Orders[[#This Row],[Net Sales]],0)</f>
        <v>0</v>
      </c>
    </row>
    <row r="388" spans="1:23" x14ac:dyDescent="0.3">
      <c r="A388" t="s">
        <v>892</v>
      </c>
      <c r="B388" s="7">
        <v>46069</v>
      </c>
      <c r="C388" t="s">
        <v>584</v>
      </c>
      <c r="D388" t="s">
        <v>191</v>
      </c>
      <c r="E388" t="s">
        <v>18</v>
      </c>
      <c r="F388" t="s">
        <v>95</v>
      </c>
      <c r="G388" t="s">
        <v>96</v>
      </c>
      <c r="H388" t="s">
        <v>38</v>
      </c>
      <c r="I388">
        <v>2</v>
      </c>
      <c r="J388" s="5">
        <v>1599</v>
      </c>
      <c r="K388" s="2">
        <v>0.1</v>
      </c>
      <c r="L388" t="s">
        <v>39</v>
      </c>
      <c r="M388" t="s">
        <v>23</v>
      </c>
      <c r="N388" s="1">
        <v>46073</v>
      </c>
      <c r="O388" s="1">
        <v>46070</v>
      </c>
      <c r="P388" s="5">
        <f>Orders[[#This Row],[Quantity]]*Orders[[#This Row],[Unit Price]]</f>
        <v>3198</v>
      </c>
      <c r="Q388" s="5">
        <f>Orders[[#This Row],[Gross Sales]]*Orders[[#This Row],[Discount %]]</f>
        <v>319.8</v>
      </c>
      <c r="R388" s="5">
        <f>Orders[[#This Row],[Gross Sales]]-Orders[[#This Row],[Discount Amount]]</f>
        <v>2878.2</v>
      </c>
      <c r="S388">
        <f>IF(Orders[[#This Row],[Actual Delivery Date]]="","",Orders[[#This Row],[Actual Delivery Date]]-Orders[[#This Row],[Order Date]])</f>
        <v>1</v>
      </c>
      <c r="T388" t="str">
        <f>IF(Orders[[#This Row],[Actual Delivery Date]]="","Pending",IF(Orders[[#This Row],[Actual Delivery Date]]&lt;=Orders[[#This Row],[Expected Delivery Date]],"On Time","Late"))</f>
        <v>On Time</v>
      </c>
      <c r="U388" t="str">
        <f>TEXT(Orders[[#This Row],[Order Date]],"mmm")</f>
        <v>Feb</v>
      </c>
      <c r="V388" s="8">
        <f>DATE(YEAR(Orders[[#This Row],[Order Date]]),MONTH(Orders[[#This Row],[Order Date]]),1)</f>
        <v>46054</v>
      </c>
      <c r="W388" s="5">
        <f>IF(Orders[[#This Row],[Order Status]]="Cancelled",Orders[[#This Row],[Net Sales]],0)</f>
        <v>0</v>
      </c>
    </row>
    <row r="389" spans="1:23" x14ac:dyDescent="0.3">
      <c r="A389" t="s">
        <v>893</v>
      </c>
      <c r="B389" s="7">
        <v>46247</v>
      </c>
      <c r="C389" t="s">
        <v>590</v>
      </c>
      <c r="D389" t="s">
        <v>894</v>
      </c>
      <c r="E389" t="s">
        <v>27</v>
      </c>
      <c r="F389" t="s">
        <v>51</v>
      </c>
      <c r="G389" t="s">
        <v>91</v>
      </c>
      <c r="H389" t="s">
        <v>30</v>
      </c>
      <c r="I389">
        <v>2</v>
      </c>
      <c r="J389" s="5">
        <v>3299</v>
      </c>
      <c r="K389" s="2">
        <v>0</v>
      </c>
      <c r="L389" t="s">
        <v>70</v>
      </c>
      <c r="M389" t="s">
        <v>23</v>
      </c>
      <c r="N389" s="1">
        <v>46254</v>
      </c>
      <c r="O389" s="1">
        <v>46248</v>
      </c>
      <c r="P389" s="5">
        <f>Orders[[#This Row],[Quantity]]*Orders[[#This Row],[Unit Price]]</f>
        <v>6598</v>
      </c>
      <c r="Q389" s="5">
        <f>Orders[[#This Row],[Gross Sales]]*Orders[[#This Row],[Discount %]]</f>
        <v>0</v>
      </c>
      <c r="R389" s="5">
        <f>Orders[[#This Row],[Gross Sales]]-Orders[[#This Row],[Discount Amount]]</f>
        <v>6598</v>
      </c>
      <c r="S389">
        <f>IF(Orders[[#This Row],[Actual Delivery Date]]="","",Orders[[#This Row],[Actual Delivery Date]]-Orders[[#This Row],[Order Date]])</f>
        <v>1</v>
      </c>
      <c r="T389" t="str">
        <f>IF(Orders[[#This Row],[Actual Delivery Date]]="","Pending",IF(Orders[[#This Row],[Actual Delivery Date]]&lt;=Orders[[#This Row],[Expected Delivery Date]],"On Time","Late"))</f>
        <v>On Time</v>
      </c>
      <c r="U389" t="str">
        <f>TEXT(Orders[[#This Row],[Order Date]],"mmm")</f>
        <v>Aug</v>
      </c>
      <c r="V389" s="8">
        <f>DATE(YEAR(Orders[[#This Row],[Order Date]]),MONTH(Orders[[#This Row],[Order Date]]),1)</f>
        <v>46235</v>
      </c>
      <c r="W389" s="5">
        <f>IF(Orders[[#This Row],[Order Status]]="Cancelled",Orders[[#This Row],[Net Sales]],0)</f>
        <v>0</v>
      </c>
    </row>
    <row r="390" spans="1:23" x14ac:dyDescent="0.3">
      <c r="A390" t="s">
        <v>895</v>
      </c>
      <c r="B390" s="7">
        <v>46118</v>
      </c>
      <c r="C390" t="s">
        <v>41</v>
      </c>
      <c r="D390" t="s">
        <v>896</v>
      </c>
      <c r="E390" t="s">
        <v>35</v>
      </c>
      <c r="F390" t="s">
        <v>63</v>
      </c>
      <c r="G390" t="s">
        <v>69</v>
      </c>
      <c r="H390" t="s">
        <v>38</v>
      </c>
      <c r="I390">
        <v>2</v>
      </c>
      <c r="J390" s="5">
        <v>3499</v>
      </c>
      <c r="K390" s="2">
        <v>0.1</v>
      </c>
      <c r="L390" t="s">
        <v>70</v>
      </c>
      <c r="M390" t="s">
        <v>23</v>
      </c>
      <c r="N390" s="1">
        <v>46124</v>
      </c>
      <c r="O390" s="1">
        <v>46126</v>
      </c>
      <c r="P390" s="5">
        <f>Orders[[#This Row],[Quantity]]*Orders[[#This Row],[Unit Price]]</f>
        <v>6998</v>
      </c>
      <c r="Q390" s="5">
        <f>Orders[[#This Row],[Gross Sales]]*Orders[[#This Row],[Discount %]]</f>
        <v>699.80000000000007</v>
      </c>
      <c r="R390" s="5">
        <f>Orders[[#This Row],[Gross Sales]]-Orders[[#This Row],[Discount Amount]]</f>
        <v>6298.2</v>
      </c>
      <c r="S390">
        <f>IF(Orders[[#This Row],[Actual Delivery Date]]="","",Orders[[#This Row],[Actual Delivery Date]]-Orders[[#This Row],[Order Date]])</f>
        <v>8</v>
      </c>
      <c r="T390" t="str">
        <f>IF(Orders[[#This Row],[Actual Delivery Date]]="","Pending",IF(Orders[[#This Row],[Actual Delivery Date]]&lt;=Orders[[#This Row],[Expected Delivery Date]],"On Time","Late"))</f>
        <v>Late</v>
      </c>
      <c r="U390" t="str">
        <f>TEXT(Orders[[#This Row],[Order Date]],"mmm")</f>
        <v>Apr</v>
      </c>
      <c r="V390" s="8">
        <f>DATE(YEAR(Orders[[#This Row],[Order Date]]),MONTH(Orders[[#This Row],[Order Date]]),1)</f>
        <v>46113</v>
      </c>
      <c r="W390" s="5">
        <f>IF(Orders[[#This Row],[Order Status]]="Cancelled",Orders[[#This Row],[Net Sales]],0)</f>
        <v>0</v>
      </c>
    </row>
    <row r="391" spans="1:23" x14ac:dyDescent="0.3">
      <c r="A391" t="s">
        <v>897</v>
      </c>
      <c r="B391" s="7">
        <v>46300</v>
      </c>
      <c r="C391" t="s">
        <v>411</v>
      </c>
      <c r="D391" t="s">
        <v>880</v>
      </c>
      <c r="E391" t="s">
        <v>27</v>
      </c>
      <c r="F391" t="s">
        <v>74</v>
      </c>
      <c r="G391" t="s">
        <v>186</v>
      </c>
      <c r="H391" t="s">
        <v>21</v>
      </c>
      <c r="I391">
        <v>1</v>
      </c>
      <c r="J391" s="5">
        <v>1999</v>
      </c>
      <c r="K391" s="2">
        <v>0</v>
      </c>
      <c r="L391" t="s">
        <v>22</v>
      </c>
      <c r="M391" t="s">
        <v>23</v>
      </c>
      <c r="N391" s="1">
        <v>46307</v>
      </c>
      <c r="O391" s="1">
        <v>46301</v>
      </c>
      <c r="P391" s="5">
        <f>Orders[[#This Row],[Quantity]]*Orders[[#This Row],[Unit Price]]</f>
        <v>1999</v>
      </c>
      <c r="Q391" s="5">
        <f>Orders[[#This Row],[Gross Sales]]*Orders[[#This Row],[Discount %]]</f>
        <v>0</v>
      </c>
      <c r="R391" s="5">
        <f>Orders[[#This Row],[Gross Sales]]-Orders[[#This Row],[Discount Amount]]</f>
        <v>1999</v>
      </c>
      <c r="S391">
        <f>IF(Orders[[#This Row],[Actual Delivery Date]]="","",Orders[[#This Row],[Actual Delivery Date]]-Orders[[#This Row],[Order Date]])</f>
        <v>1</v>
      </c>
      <c r="T391" t="str">
        <f>IF(Orders[[#This Row],[Actual Delivery Date]]="","Pending",IF(Orders[[#This Row],[Actual Delivery Date]]&lt;=Orders[[#This Row],[Expected Delivery Date]],"On Time","Late"))</f>
        <v>On Time</v>
      </c>
      <c r="U391" t="str">
        <f>TEXT(Orders[[#This Row],[Order Date]],"mmm")</f>
        <v>Oct</v>
      </c>
      <c r="V391" s="8">
        <f>DATE(YEAR(Orders[[#This Row],[Order Date]]),MONTH(Orders[[#This Row],[Order Date]]),1)</f>
        <v>46296</v>
      </c>
      <c r="W391" s="5">
        <f>IF(Orders[[#This Row],[Order Status]]="Cancelled",Orders[[#This Row],[Net Sales]],0)</f>
        <v>0</v>
      </c>
    </row>
    <row r="392" spans="1:23" x14ac:dyDescent="0.3">
      <c r="A392" t="s">
        <v>898</v>
      </c>
      <c r="B392" s="7">
        <v>46120</v>
      </c>
      <c r="C392" t="s">
        <v>165</v>
      </c>
      <c r="D392" t="s">
        <v>899</v>
      </c>
      <c r="E392" t="s">
        <v>35</v>
      </c>
      <c r="F392" t="s">
        <v>135</v>
      </c>
      <c r="G392" t="s">
        <v>100</v>
      </c>
      <c r="H392" t="s">
        <v>30</v>
      </c>
      <c r="I392">
        <v>2</v>
      </c>
      <c r="J392" s="5">
        <v>2499</v>
      </c>
      <c r="K392" s="2">
        <v>0.15</v>
      </c>
      <c r="L392" t="s">
        <v>22</v>
      </c>
      <c r="M392" t="s">
        <v>23</v>
      </c>
      <c r="N392" s="1">
        <v>46126</v>
      </c>
      <c r="O392" s="1">
        <v>46124</v>
      </c>
      <c r="P392" s="5">
        <f>Orders[[#This Row],[Quantity]]*Orders[[#This Row],[Unit Price]]</f>
        <v>4998</v>
      </c>
      <c r="Q392" s="5">
        <f>Orders[[#This Row],[Gross Sales]]*Orders[[#This Row],[Discount %]]</f>
        <v>749.69999999999993</v>
      </c>
      <c r="R392" s="5">
        <f>Orders[[#This Row],[Gross Sales]]-Orders[[#This Row],[Discount Amount]]</f>
        <v>4248.3</v>
      </c>
      <c r="S392">
        <f>IF(Orders[[#This Row],[Actual Delivery Date]]="","",Orders[[#This Row],[Actual Delivery Date]]-Orders[[#This Row],[Order Date]])</f>
        <v>4</v>
      </c>
      <c r="T392" t="str">
        <f>IF(Orders[[#This Row],[Actual Delivery Date]]="","Pending",IF(Orders[[#This Row],[Actual Delivery Date]]&lt;=Orders[[#This Row],[Expected Delivery Date]],"On Time","Late"))</f>
        <v>On Time</v>
      </c>
      <c r="U392" t="str">
        <f>TEXT(Orders[[#This Row],[Order Date]],"mmm")</f>
        <v>Apr</v>
      </c>
      <c r="V392" s="8">
        <f>DATE(YEAR(Orders[[#This Row],[Order Date]]),MONTH(Orders[[#This Row],[Order Date]]),1)</f>
        <v>46113</v>
      </c>
      <c r="W392" s="5">
        <f>IF(Orders[[#This Row],[Order Status]]="Cancelled",Orders[[#This Row],[Net Sales]],0)</f>
        <v>0</v>
      </c>
    </row>
    <row r="393" spans="1:23" x14ac:dyDescent="0.3">
      <c r="A393" t="s">
        <v>900</v>
      </c>
      <c r="B393" s="7">
        <v>46114</v>
      </c>
      <c r="C393" t="s">
        <v>304</v>
      </c>
      <c r="D393" t="s">
        <v>901</v>
      </c>
      <c r="E393" t="s">
        <v>18</v>
      </c>
      <c r="F393" t="s">
        <v>19</v>
      </c>
      <c r="G393" t="s">
        <v>52</v>
      </c>
      <c r="H393" t="s">
        <v>45</v>
      </c>
      <c r="I393">
        <v>3</v>
      </c>
      <c r="J393" s="5">
        <v>1299</v>
      </c>
      <c r="K393" s="2">
        <v>0.05</v>
      </c>
      <c r="L393" t="s">
        <v>39</v>
      </c>
      <c r="M393" t="s">
        <v>23</v>
      </c>
      <c r="N393" s="1">
        <v>46117</v>
      </c>
      <c r="O393" s="1">
        <v>46117</v>
      </c>
      <c r="P393" s="5">
        <f>Orders[[#This Row],[Quantity]]*Orders[[#This Row],[Unit Price]]</f>
        <v>3897</v>
      </c>
      <c r="Q393" s="5">
        <f>Orders[[#This Row],[Gross Sales]]*Orders[[#This Row],[Discount %]]</f>
        <v>194.85000000000002</v>
      </c>
      <c r="R393" s="5">
        <f>Orders[[#This Row],[Gross Sales]]-Orders[[#This Row],[Discount Amount]]</f>
        <v>3702.15</v>
      </c>
      <c r="S393">
        <f>IF(Orders[[#This Row],[Actual Delivery Date]]="","",Orders[[#This Row],[Actual Delivery Date]]-Orders[[#This Row],[Order Date]])</f>
        <v>3</v>
      </c>
      <c r="T393" t="str">
        <f>IF(Orders[[#This Row],[Actual Delivery Date]]="","Pending",IF(Orders[[#This Row],[Actual Delivery Date]]&lt;=Orders[[#This Row],[Expected Delivery Date]],"On Time","Late"))</f>
        <v>On Time</v>
      </c>
      <c r="U393" t="str">
        <f>TEXT(Orders[[#This Row],[Order Date]],"mmm")</f>
        <v>Apr</v>
      </c>
      <c r="V393" s="8">
        <f>DATE(YEAR(Orders[[#This Row],[Order Date]]),MONTH(Orders[[#This Row],[Order Date]]),1)</f>
        <v>46113</v>
      </c>
      <c r="W393" s="5">
        <f>IF(Orders[[#This Row],[Order Status]]="Cancelled",Orders[[#This Row],[Net Sales]],0)</f>
        <v>0</v>
      </c>
    </row>
    <row r="394" spans="1:23" x14ac:dyDescent="0.3">
      <c r="A394" t="s">
        <v>902</v>
      </c>
      <c r="B394" s="7">
        <v>46333</v>
      </c>
      <c r="C394" t="s">
        <v>903</v>
      </c>
      <c r="D394" t="s">
        <v>107</v>
      </c>
      <c r="E394" t="s">
        <v>35</v>
      </c>
      <c r="F394" t="s">
        <v>135</v>
      </c>
      <c r="G394" t="s">
        <v>20</v>
      </c>
      <c r="H394" t="s">
        <v>21</v>
      </c>
      <c r="I394">
        <v>2</v>
      </c>
      <c r="J394" s="5">
        <v>1799</v>
      </c>
      <c r="K394" s="2">
        <v>0</v>
      </c>
      <c r="L394" t="s">
        <v>31</v>
      </c>
      <c r="M394" t="s">
        <v>59</v>
      </c>
      <c r="N394" s="1">
        <v>46338</v>
      </c>
      <c r="O394" s="1">
        <v>46339</v>
      </c>
      <c r="P394" s="5">
        <f>Orders[[#This Row],[Quantity]]*Orders[[#This Row],[Unit Price]]</f>
        <v>3598</v>
      </c>
      <c r="Q394" s="5">
        <f>Orders[[#This Row],[Gross Sales]]*Orders[[#This Row],[Discount %]]</f>
        <v>0</v>
      </c>
      <c r="R394" s="5">
        <f>Orders[[#This Row],[Gross Sales]]-Orders[[#This Row],[Discount Amount]]</f>
        <v>3598</v>
      </c>
      <c r="S394">
        <f>IF(Orders[[#This Row],[Actual Delivery Date]]="","",Orders[[#This Row],[Actual Delivery Date]]-Orders[[#This Row],[Order Date]])</f>
        <v>6</v>
      </c>
      <c r="T394" t="str">
        <f>IF(Orders[[#This Row],[Actual Delivery Date]]="","Pending",IF(Orders[[#This Row],[Actual Delivery Date]]&lt;=Orders[[#This Row],[Expected Delivery Date]],"On Time","Late"))</f>
        <v>Late</v>
      </c>
      <c r="U394" t="str">
        <f>TEXT(Orders[[#This Row],[Order Date]],"mmm")</f>
        <v>Nov</v>
      </c>
      <c r="V394" s="8">
        <f>DATE(YEAR(Orders[[#This Row],[Order Date]]),MONTH(Orders[[#This Row],[Order Date]]),1)</f>
        <v>46327</v>
      </c>
      <c r="W394" s="5">
        <f>IF(Orders[[#This Row],[Order Status]]="Cancelled",Orders[[#This Row],[Net Sales]],0)</f>
        <v>3598</v>
      </c>
    </row>
    <row r="395" spans="1:23" x14ac:dyDescent="0.3">
      <c r="A395" t="s">
        <v>904</v>
      </c>
      <c r="B395" s="7">
        <v>46338</v>
      </c>
      <c r="C395" t="s">
        <v>608</v>
      </c>
      <c r="D395" t="s">
        <v>682</v>
      </c>
      <c r="E395" t="s">
        <v>35</v>
      </c>
      <c r="F395" t="s">
        <v>63</v>
      </c>
      <c r="G395" t="s">
        <v>64</v>
      </c>
      <c r="H395" t="s">
        <v>21</v>
      </c>
      <c r="I395">
        <v>1</v>
      </c>
      <c r="J395" s="5">
        <v>699</v>
      </c>
      <c r="K395" s="2">
        <v>0</v>
      </c>
      <c r="L395" t="s">
        <v>39</v>
      </c>
      <c r="M395" t="s">
        <v>82</v>
      </c>
      <c r="N395" s="1">
        <v>46342</v>
      </c>
      <c r="O395" s="1">
        <v>46340</v>
      </c>
      <c r="P395" s="5">
        <f>Orders[[#This Row],[Quantity]]*Orders[[#This Row],[Unit Price]]</f>
        <v>699</v>
      </c>
      <c r="Q395" s="5">
        <f>Orders[[#This Row],[Gross Sales]]*Orders[[#This Row],[Discount %]]</f>
        <v>0</v>
      </c>
      <c r="R395" s="5">
        <f>Orders[[#This Row],[Gross Sales]]-Orders[[#This Row],[Discount Amount]]</f>
        <v>699</v>
      </c>
      <c r="S395">
        <f>IF(Orders[[#This Row],[Actual Delivery Date]]="","",Orders[[#This Row],[Actual Delivery Date]]-Orders[[#This Row],[Order Date]])</f>
        <v>2</v>
      </c>
      <c r="T395" t="str">
        <f>IF(Orders[[#This Row],[Actual Delivery Date]]="","Pending",IF(Orders[[#This Row],[Actual Delivery Date]]&lt;=Orders[[#This Row],[Expected Delivery Date]],"On Time","Late"))</f>
        <v>On Time</v>
      </c>
      <c r="U395" t="str">
        <f>TEXT(Orders[[#This Row],[Order Date]],"mmm")</f>
        <v>Nov</v>
      </c>
      <c r="V395" s="8">
        <f>DATE(YEAR(Orders[[#This Row],[Order Date]]),MONTH(Orders[[#This Row],[Order Date]]),1)</f>
        <v>46327</v>
      </c>
      <c r="W395" s="5">
        <f>IF(Orders[[#This Row],[Order Status]]="Cancelled",Orders[[#This Row],[Net Sales]],0)</f>
        <v>0</v>
      </c>
    </row>
    <row r="396" spans="1:23" x14ac:dyDescent="0.3">
      <c r="A396" t="s">
        <v>905</v>
      </c>
      <c r="B396" s="7">
        <v>46120</v>
      </c>
      <c r="C396" t="s">
        <v>558</v>
      </c>
      <c r="D396" t="s">
        <v>442</v>
      </c>
      <c r="E396" t="s">
        <v>18</v>
      </c>
      <c r="F396" t="s">
        <v>95</v>
      </c>
      <c r="G396" t="s">
        <v>100</v>
      </c>
      <c r="H396" t="s">
        <v>30</v>
      </c>
      <c r="I396">
        <v>1</v>
      </c>
      <c r="J396" s="5">
        <v>2499</v>
      </c>
      <c r="K396" s="2">
        <v>0.05</v>
      </c>
      <c r="L396" t="s">
        <v>22</v>
      </c>
      <c r="M396" t="s">
        <v>59</v>
      </c>
      <c r="N396" s="1">
        <v>46123</v>
      </c>
      <c r="O396" s="1">
        <v>46123</v>
      </c>
      <c r="P396" s="5">
        <f>Orders[[#This Row],[Quantity]]*Orders[[#This Row],[Unit Price]]</f>
        <v>2499</v>
      </c>
      <c r="Q396" s="5">
        <f>Orders[[#This Row],[Gross Sales]]*Orders[[#This Row],[Discount %]]</f>
        <v>124.95</v>
      </c>
      <c r="R396" s="5">
        <f>Orders[[#This Row],[Gross Sales]]-Orders[[#This Row],[Discount Amount]]</f>
        <v>2374.0500000000002</v>
      </c>
      <c r="S396">
        <f>IF(Orders[[#This Row],[Actual Delivery Date]]="","",Orders[[#This Row],[Actual Delivery Date]]-Orders[[#This Row],[Order Date]])</f>
        <v>3</v>
      </c>
      <c r="T396" t="str">
        <f>IF(Orders[[#This Row],[Actual Delivery Date]]="","Pending",IF(Orders[[#This Row],[Actual Delivery Date]]&lt;=Orders[[#This Row],[Expected Delivery Date]],"On Time","Late"))</f>
        <v>On Time</v>
      </c>
      <c r="U396" t="str">
        <f>TEXT(Orders[[#This Row],[Order Date]],"mmm")</f>
        <v>Apr</v>
      </c>
      <c r="V396" s="8">
        <f>DATE(YEAR(Orders[[#This Row],[Order Date]]),MONTH(Orders[[#This Row],[Order Date]]),1)</f>
        <v>46113</v>
      </c>
      <c r="W396" s="5">
        <f>IF(Orders[[#This Row],[Order Status]]="Cancelled",Orders[[#This Row],[Net Sales]],0)</f>
        <v>2374.0500000000002</v>
      </c>
    </row>
    <row r="397" spans="1:23" x14ac:dyDescent="0.3">
      <c r="A397" t="s">
        <v>906</v>
      </c>
      <c r="B397" s="7">
        <v>46108</v>
      </c>
      <c r="C397" t="s">
        <v>675</v>
      </c>
      <c r="D397" t="s">
        <v>907</v>
      </c>
      <c r="E397" t="s">
        <v>35</v>
      </c>
      <c r="F397" t="s">
        <v>63</v>
      </c>
      <c r="G397" t="s">
        <v>147</v>
      </c>
      <c r="H397" t="s">
        <v>58</v>
      </c>
      <c r="I397">
        <v>3</v>
      </c>
      <c r="J397" s="5">
        <v>399</v>
      </c>
      <c r="K397" s="2">
        <v>0.2</v>
      </c>
      <c r="L397" t="s">
        <v>70</v>
      </c>
      <c r="M397" t="s">
        <v>47</v>
      </c>
      <c r="N397" s="1">
        <v>46112</v>
      </c>
      <c r="O397" s="1"/>
      <c r="P397" s="5">
        <f>Orders[[#This Row],[Quantity]]*Orders[[#This Row],[Unit Price]]</f>
        <v>1197</v>
      </c>
      <c r="Q397" s="5">
        <f>Orders[[#This Row],[Gross Sales]]*Orders[[#This Row],[Discount %]]</f>
        <v>239.4</v>
      </c>
      <c r="R397" s="5">
        <f>Orders[[#This Row],[Gross Sales]]-Orders[[#This Row],[Discount Amount]]</f>
        <v>957.6</v>
      </c>
      <c r="S397" t="str">
        <f>IF(Orders[[#This Row],[Actual Delivery Date]]="","",Orders[[#This Row],[Actual Delivery Date]]-Orders[[#This Row],[Order Date]])</f>
        <v/>
      </c>
      <c r="T397" t="str">
        <f>IF(Orders[[#This Row],[Actual Delivery Date]]="","Pending",IF(Orders[[#This Row],[Actual Delivery Date]]&lt;=Orders[[#This Row],[Expected Delivery Date]],"On Time","Late"))</f>
        <v>Pending</v>
      </c>
      <c r="U397" t="str">
        <f>TEXT(Orders[[#This Row],[Order Date]],"mmm")</f>
        <v>Mar</v>
      </c>
      <c r="V397" s="8">
        <f>DATE(YEAR(Orders[[#This Row],[Order Date]]),MONTH(Orders[[#This Row],[Order Date]]),1)</f>
        <v>46082</v>
      </c>
      <c r="W397" s="5">
        <f>IF(Orders[[#This Row],[Order Status]]="Cancelled",Orders[[#This Row],[Net Sales]],0)</f>
        <v>0</v>
      </c>
    </row>
    <row r="398" spans="1:23" x14ac:dyDescent="0.3">
      <c r="A398" t="s">
        <v>908</v>
      </c>
      <c r="B398" s="7">
        <v>46189</v>
      </c>
      <c r="C398" t="s">
        <v>357</v>
      </c>
      <c r="D398" t="s">
        <v>909</v>
      </c>
      <c r="E398" t="s">
        <v>79</v>
      </c>
      <c r="F398" t="s">
        <v>80</v>
      </c>
      <c r="G398" t="s">
        <v>87</v>
      </c>
      <c r="H398" t="s">
        <v>21</v>
      </c>
      <c r="I398">
        <v>3</v>
      </c>
      <c r="J398" s="5">
        <v>1899</v>
      </c>
      <c r="K398" s="2">
        <v>0.15</v>
      </c>
      <c r="L398" t="s">
        <v>70</v>
      </c>
      <c r="M398" t="s">
        <v>82</v>
      </c>
      <c r="N398" s="1">
        <v>46196</v>
      </c>
      <c r="O398" s="1">
        <v>46191</v>
      </c>
      <c r="P398" s="5">
        <f>Orders[[#This Row],[Quantity]]*Orders[[#This Row],[Unit Price]]</f>
        <v>5697</v>
      </c>
      <c r="Q398" s="5">
        <f>Orders[[#This Row],[Gross Sales]]*Orders[[#This Row],[Discount %]]</f>
        <v>854.55</v>
      </c>
      <c r="R398" s="5">
        <f>Orders[[#This Row],[Gross Sales]]-Orders[[#This Row],[Discount Amount]]</f>
        <v>4842.45</v>
      </c>
      <c r="S398">
        <f>IF(Orders[[#This Row],[Actual Delivery Date]]="","",Orders[[#This Row],[Actual Delivery Date]]-Orders[[#This Row],[Order Date]])</f>
        <v>2</v>
      </c>
      <c r="T398" t="str">
        <f>IF(Orders[[#This Row],[Actual Delivery Date]]="","Pending",IF(Orders[[#This Row],[Actual Delivery Date]]&lt;=Orders[[#This Row],[Expected Delivery Date]],"On Time","Late"))</f>
        <v>On Time</v>
      </c>
      <c r="U398" t="str">
        <f>TEXT(Orders[[#This Row],[Order Date]],"mmm")</f>
        <v>Jun</v>
      </c>
      <c r="V398" s="8">
        <f>DATE(YEAR(Orders[[#This Row],[Order Date]]),MONTH(Orders[[#This Row],[Order Date]]),1)</f>
        <v>46174</v>
      </c>
      <c r="W398" s="5">
        <f>IF(Orders[[#This Row],[Order Status]]="Cancelled",Orders[[#This Row],[Net Sales]],0)</f>
        <v>0</v>
      </c>
    </row>
    <row r="399" spans="1:23" x14ac:dyDescent="0.3">
      <c r="A399" t="s">
        <v>910</v>
      </c>
      <c r="B399" s="7">
        <v>46207</v>
      </c>
      <c r="C399" t="s">
        <v>496</v>
      </c>
      <c r="D399" t="s">
        <v>453</v>
      </c>
      <c r="E399" t="s">
        <v>27</v>
      </c>
      <c r="F399" t="s">
        <v>74</v>
      </c>
      <c r="G399" t="s">
        <v>91</v>
      </c>
      <c r="H399" t="s">
        <v>30</v>
      </c>
      <c r="I399">
        <v>4</v>
      </c>
      <c r="J399" s="5">
        <v>3299</v>
      </c>
      <c r="K399" s="2">
        <v>0.15</v>
      </c>
      <c r="L399" t="s">
        <v>70</v>
      </c>
      <c r="M399" t="s">
        <v>23</v>
      </c>
      <c r="N399" s="1">
        <v>46214</v>
      </c>
      <c r="O399" s="1">
        <v>46210</v>
      </c>
      <c r="P399" s="5">
        <f>Orders[[#This Row],[Quantity]]*Orders[[#This Row],[Unit Price]]</f>
        <v>13196</v>
      </c>
      <c r="Q399" s="5">
        <f>Orders[[#This Row],[Gross Sales]]*Orders[[#This Row],[Discount %]]</f>
        <v>1979.3999999999999</v>
      </c>
      <c r="R399" s="5">
        <f>Orders[[#This Row],[Gross Sales]]-Orders[[#This Row],[Discount Amount]]</f>
        <v>11216.6</v>
      </c>
      <c r="S399">
        <f>IF(Orders[[#This Row],[Actual Delivery Date]]="","",Orders[[#This Row],[Actual Delivery Date]]-Orders[[#This Row],[Order Date]])</f>
        <v>3</v>
      </c>
      <c r="T399" t="str">
        <f>IF(Orders[[#This Row],[Actual Delivery Date]]="","Pending",IF(Orders[[#This Row],[Actual Delivery Date]]&lt;=Orders[[#This Row],[Expected Delivery Date]],"On Time","Late"))</f>
        <v>On Time</v>
      </c>
      <c r="U399" t="str">
        <f>TEXT(Orders[[#This Row],[Order Date]],"mmm")</f>
        <v>Jul</v>
      </c>
      <c r="V399" s="8">
        <f>DATE(YEAR(Orders[[#This Row],[Order Date]]),MONTH(Orders[[#This Row],[Order Date]]),1)</f>
        <v>46204</v>
      </c>
      <c r="W399" s="5">
        <f>IF(Orders[[#This Row],[Order Status]]="Cancelled",Orders[[#This Row],[Net Sales]],0)</f>
        <v>0</v>
      </c>
    </row>
    <row r="400" spans="1:23" x14ac:dyDescent="0.3">
      <c r="A400" t="s">
        <v>911</v>
      </c>
      <c r="B400" s="7">
        <v>46136</v>
      </c>
      <c r="C400" t="s">
        <v>769</v>
      </c>
      <c r="D400" t="s">
        <v>644</v>
      </c>
      <c r="E400" t="s">
        <v>27</v>
      </c>
      <c r="F400" t="s">
        <v>51</v>
      </c>
      <c r="G400" t="s">
        <v>153</v>
      </c>
      <c r="H400" t="s">
        <v>45</v>
      </c>
      <c r="I400">
        <v>1</v>
      </c>
      <c r="J400" s="5">
        <v>1999</v>
      </c>
      <c r="K400" s="2">
        <v>0.1</v>
      </c>
      <c r="L400" t="s">
        <v>39</v>
      </c>
      <c r="M400" t="s">
        <v>82</v>
      </c>
      <c r="N400" s="1">
        <v>46143</v>
      </c>
      <c r="O400" s="1">
        <v>46141</v>
      </c>
      <c r="P400" s="5">
        <f>Orders[[#This Row],[Quantity]]*Orders[[#This Row],[Unit Price]]</f>
        <v>1999</v>
      </c>
      <c r="Q400" s="5">
        <f>Orders[[#This Row],[Gross Sales]]*Orders[[#This Row],[Discount %]]</f>
        <v>199.9</v>
      </c>
      <c r="R400" s="5">
        <f>Orders[[#This Row],[Gross Sales]]-Orders[[#This Row],[Discount Amount]]</f>
        <v>1799.1</v>
      </c>
      <c r="S400">
        <f>IF(Orders[[#This Row],[Actual Delivery Date]]="","",Orders[[#This Row],[Actual Delivery Date]]-Orders[[#This Row],[Order Date]])</f>
        <v>5</v>
      </c>
      <c r="T400" t="str">
        <f>IF(Orders[[#This Row],[Actual Delivery Date]]="","Pending",IF(Orders[[#This Row],[Actual Delivery Date]]&lt;=Orders[[#This Row],[Expected Delivery Date]],"On Time","Late"))</f>
        <v>On Time</v>
      </c>
      <c r="U400" t="str">
        <f>TEXT(Orders[[#This Row],[Order Date]],"mmm")</f>
        <v>Apr</v>
      </c>
      <c r="V400" s="8">
        <f>DATE(YEAR(Orders[[#This Row],[Order Date]]),MONTH(Orders[[#This Row],[Order Date]]),1)</f>
        <v>46113</v>
      </c>
      <c r="W400" s="5">
        <f>IF(Orders[[#This Row],[Order Status]]="Cancelled",Orders[[#This Row],[Net Sales]],0)</f>
        <v>0</v>
      </c>
    </row>
    <row r="401" spans="1:23" x14ac:dyDescent="0.3">
      <c r="A401" t="s">
        <v>912</v>
      </c>
      <c r="B401" s="7">
        <v>46205</v>
      </c>
      <c r="C401" t="s">
        <v>312</v>
      </c>
      <c r="D401" t="s">
        <v>203</v>
      </c>
      <c r="E401" t="s">
        <v>27</v>
      </c>
      <c r="F401" t="s">
        <v>28</v>
      </c>
      <c r="G401" t="s">
        <v>160</v>
      </c>
      <c r="H401" t="s">
        <v>45</v>
      </c>
      <c r="I401">
        <v>1</v>
      </c>
      <c r="J401" s="5">
        <v>1499</v>
      </c>
      <c r="K401" s="2">
        <v>0.1</v>
      </c>
      <c r="L401" t="s">
        <v>46</v>
      </c>
      <c r="M401" t="s">
        <v>47</v>
      </c>
      <c r="N401" s="1">
        <v>46208</v>
      </c>
      <c r="O401" s="1"/>
      <c r="P401" s="5">
        <f>Orders[[#This Row],[Quantity]]*Orders[[#This Row],[Unit Price]]</f>
        <v>1499</v>
      </c>
      <c r="Q401" s="5">
        <f>Orders[[#This Row],[Gross Sales]]*Orders[[#This Row],[Discount %]]</f>
        <v>149.9</v>
      </c>
      <c r="R401" s="5">
        <f>Orders[[#This Row],[Gross Sales]]-Orders[[#This Row],[Discount Amount]]</f>
        <v>1349.1</v>
      </c>
      <c r="S401" t="str">
        <f>IF(Orders[[#This Row],[Actual Delivery Date]]="","",Orders[[#This Row],[Actual Delivery Date]]-Orders[[#This Row],[Order Date]])</f>
        <v/>
      </c>
      <c r="T401" t="str">
        <f>IF(Orders[[#This Row],[Actual Delivery Date]]="","Pending",IF(Orders[[#This Row],[Actual Delivery Date]]&lt;=Orders[[#This Row],[Expected Delivery Date]],"On Time","Late"))</f>
        <v>Pending</v>
      </c>
      <c r="U401" t="str">
        <f>TEXT(Orders[[#This Row],[Order Date]],"mmm")</f>
        <v>Jul</v>
      </c>
      <c r="V401" s="8">
        <f>DATE(YEAR(Orders[[#This Row],[Order Date]]),MONTH(Orders[[#This Row],[Order Date]]),1)</f>
        <v>46204</v>
      </c>
      <c r="W401" s="5">
        <f>IF(Orders[[#This Row],[Order Status]]="Cancelled",Orders[[#This Row],[Net Sales]],0)</f>
        <v>0</v>
      </c>
    </row>
    <row r="402" spans="1:23" x14ac:dyDescent="0.3">
      <c r="A402" t="s">
        <v>913</v>
      </c>
      <c r="B402" s="7">
        <v>46314</v>
      </c>
      <c r="C402" t="s">
        <v>914</v>
      </c>
      <c r="D402" t="s">
        <v>713</v>
      </c>
      <c r="E402" t="s">
        <v>35</v>
      </c>
      <c r="F402" t="s">
        <v>135</v>
      </c>
      <c r="G402" t="s">
        <v>100</v>
      </c>
      <c r="H402" t="s">
        <v>30</v>
      </c>
      <c r="I402">
        <v>4</v>
      </c>
      <c r="J402" s="5">
        <v>2499</v>
      </c>
      <c r="K402" s="2">
        <v>0</v>
      </c>
      <c r="L402" t="s">
        <v>46</v>
      </c>
      <c r="M402" t="s">
        <v>82</v>
      </c>
      <c r="N402" s="1">
        <v>46319</v>
      </c>
      <c r="O402" s="1">
        <v>46319</v>
      </c>
      <c r="P402" s="5">
        <f>Orders[[#This Row],[Quantity]]*Orders[[#This Row],[Unit Price]]</f>
        <v>9996</v>
      </c>
      <c r="Q402" s="5">
        <f>Orders[[#This Row],[Gross Sales]]*Orders[[#This Row],[Discount %]]</f>
        <v>0</v>
      </c>
      <c r="R402" s="5">
        <f>Orders[[#This Row],[Gross Sales]]-Orders[[#This Row],[Discount Amount]]</f>
        <v>9996</v>
      </c>
      <c r="S402">
        <f>IF(Orders[[#This Row],[Actual Delivery Date]]="","",Orders[[#This Row],[Actual Delivery Date]]-Orders[[#This Row],[Order Date]])</f>
        <v>5</v>
      </c>
      <c r="T402" t="str">
        <f>IF(Orders[[#This Row],[Actual Delivery Date]]="","Pending",IF(Orders[[#This Row],[Actual Delivery Date]]&lt;=Orders[[#This Row],[Expected Delivery Date]],"On Time","Late"))</f>
        <v>On Time</v>
      </c>
      <c r="U402" t="str">
        <f>TEXT(Orders[[#This Row],[Order Date]],"mmm")</f>
        <v>Oct</v>
      </c>
      <c r="V402" s="8">
        <f>DATE(YEAR(Orders[[#This Row],[Order Date]]),MONTH(Orders[[#This Row],[Order Date]]),1)</f>
        <v>46296</v>
      </c>
      <c r="W402" s="5">
        <f>IF(Orders[[#This Row],[Order Status]]="Cancelled",Orders[[#This Row],[Net Sales]],0)</f>
        <v>0</v>
      </c>
    </row>
    <row r="403" spans="1:23" x14ac:dyDescent="0.3">
      <c r="A403" t="s">
        <v>915</v>
      </c>
      <c r="B403" s="7">
        <v>46194</v>
      </c>
      <c r="C403" t="s">
        <v>916</v>
      </c>
      <c r="D403" t="s">
        <v>73</v>
      </c>
      <c r="E403" t="s">
        <v>18</v>
      </c>
      <c r="F403" t="s">
        <v>43</v>
      </c>
      <c r="G403" t="s">
        <v>75</v>
      </c>
      <c r="H403" t="s">
        <v>45</v>
      </c>
      <c r="I403">
        <v>1</v>
      </c>
      <c r="J403" s="5">
        <v>799</v>
      </c>
      <c r="K403" s="2">
        <v>0.15</v>
      </c>
      <c r="L403" t="s">
        <v>70</v>
      </c>
      <c r="M403" t="s">
        <v>82</v>
      </c>
      <c r="N403" s="1">
        <v>46196</v>
      </c>
      <c r="O403" s="1">
        <v>46195</v>
      </c>
      <c r="P403" s="5">
        <f>Orders[[#This Row],[Quantity]]*Orders[[#This Row],[Unit Price]]</f>
        <v>799</v>
      </c>
      <c r="Q403" s="5">
        <f>Orders[[#This Row],[Gross Sales]]*Orders[[#This Row],[Discount %]]</f>
        <v>119.85</v>
      </c>
      <c r="R403" s="5">
        <f>Orders[[#This Row],[Gross Sales]]-Orders[[#This Row],[Discount Amount]]</f>
        <v>679.15</v>
      </c>
      <c r="S403">
        <f>IF(Orders[[#This Row],[Actual Delivery Date]]="","",Orders[[#This Row],[Actual Delivery Date]]-Orders[[#This Row],[Order Date]])</f>
        <v>1</v>
      </c>
      <c r="T403" t="str">
        <f>IF(Orders[[#This Row],[Actual Delivery Date]]="","Pending",IF(Orders[[#This Row],[Actual Delivery Date]]&lt;=Orders[[#This Row],[Expected Delivery Date]],"On Time","Late"))</f>
        <v>On Time</v>
      </c>
      <c r="U403" t="str">
        <f>TEXT(Orders[[#This Row],[Order Date]],"mmm")</f>
        <v>Jun</v>
      </c>
      <c r="V403" s="8">
        <f>DATE(YEAR(Orders[[#This Row],[Order Date]]),MONTH(Orders[[#This Row],[Order Date]]),1)</f>
        <v>46174</v>
      </c>
      <c r="W403" s="5">
        <f>IF(Orders[[#This Row],[Order Status]]="Cancelled",Orders[[#This Row],[Net Sales]],0)</f>
        <v>0</v>
      </c>
    </row>
    <row r="404" spans="1:23" x14ac:dyDescent="0.3">
      <c r="A404" t="s">
        <v>917</v>
      </c>
      <c r="B404" s="7">
        <v>46186</v>
      </c>
      <c r="C404" t="s">
        <v>918</v>
      </c>
      <c r="D404" t="s">
        <v>211</v>
      </c>
      <c r="E404" t="s">
        <v>18</v>
      </c>
      <c r="F404" t="s">
        <v>121</v>
      </c>
      <c r="G404" t="s">
        <v>81</v>
      </c>
      <c r="H404" t="s">
        <v>30</v>
      </c>
      <c r="I404">
        <v>2</v>
      </c>
      <c r="J404" s="5">
        <v>899</v>
      </c>
      <c r="K404" s="2">
        <v>0.05</v>
      </c>
      <c r="L404" t="s">
        <v>46</v>
      </c>
      <c r="M404" t="s">
        <v>47</v>
      </c>
      <c r="N404" s="1">
        <v>46193</v>
      </c>
      <c r="O404" s="1"/>
      <c r="P404" s="5">
        <f>Orders[[#This Row],[Quantity]]*Orders[[#This Row],[Unit Price]]</f>
        <v>1798</v>
      </c>
      <c r="Q404" s="5">
        <f>Orders[[#This Row],[Gross Sales]]*Orders[[#This Row],[Discount %]]</f>
        <v>89.9</v>
      </c>
      <c r="R404" s="5">
        <f>Orders[[#This Row],[Gross Sales]]-Orders[[#This Row],[Discount Amount]]</f>
        <v>1708.1</v>
      </c>
      <c r="S404" t="str">
        <f>IF(Orders[[#This Row],[Actual Delivery Date]]="","",Orders[[#This Row],[Actual Delivery Date]]-Orders[[#This Row],[Order Date]])</f>
        <v/>
      </c>
      <c r="T404" t="str">
        <f>IF(Orders[[#This Row],[Actual Delivery Date]]="","Pending",IF(Orders[[#This Row],[Actual Delivery Date]]&lt;=Orders[[#This Row],[Expected Delivery Date]],"On Time","Late"))</f>
        <v>Pending</v>
      </c>
      <c r="U404" t="str">
        <f>TEXT(Orders[[#This Row],[Order Date]],"mmm")</f>
        <v>Jun</v>
      </c>
      <c r="V404" s="8">
        <f>DATE(YEAR(Orders[[#This Row],[Order Date]]),MONTH(Orders[[#This Row],[Order Date]]),1)</f>
        <v>46174</v>
      </c>
      <c r="W404" s="5">
        <f>IF(Orders[[#This Row],[Order Status]]="Cancelled",Orders[[#This Row],[Net Sales]],0)</f>
        <v>0</v>
      </c>
    </row>
    <row r="405" spans="1:23" x14ac:dyDescent="0.3">
      <c r="A405" t="s">
        <v>919</v>
      </c>
      <c r="B405" s="7">
        <v>46317</v>
      </c>
      <c r="C405" t="s">
        <v>920</v>
      </c>
      <c r="D405" t="s">
        <v>921</v>
      </c>
      <c r="E405" t="s">
        <v>18</v>
      </c>
      <c r="F405" t="s">
        <v>43</v>
      </c>
      <c r="G405" t="s">
        <v>228</v>
      </c>
      <c r="H405" t="s">
        <v>58</v>
      </c>
      <c r="I405">
        <v>2</v>
      </c>
      <c r="J405" s="5">
        <v>1499</v>
      </c>
      <c r="K405" s="2">
        <v>0.05</v>
      </c>
      <c r="L405" t="s">
        <v>70</v>
      </c>
      <c r="M405" t="s">
        <v>23</v>
      </c>
      <c r="N405" s="1">
        <v>46322</v>
      </c>
      <c r="O405" s="1">
        <v>46320</v>
      </c>
      <c r="P405" s="5">
        <f>Orders[[#This Row],[Quantity]]*Orders[[#This Row],[Unit Price]]</f>
        <v>2998</v>
      </c>
      <c r="Q405" s="5">
        <f>Orders[[#This Row],[Gross Sales]]*Orders[[#This Row],[Discount %]]</f>
        <v>149.9</v>
      </c>
      <c r="R405" s="5">
        <f>Orders[[#This Row],[Gross Sales]]-Orders[[#This Row],[Discount Amount]]</f>
        <v>2848.1</v>
      </c>
      <c r="S405">
        <f>IF(Orders[[#This Row],[Actual Delivery Date]]="","",Orders[[#This Row],[Actual Delivery Date]]-Orders[[#This Row],[Order Date]])</f>
        <v>3</v>
      </c>
      <c r="T405" t="str">
        <f>IF(Orders[[#This Row],[Actual Delivery Date]]="","Pending",IF(Orders[[#This Row],[Actual Delivery Date]]&lt;=Orders[[#This Row],[Expected Delivery Date]],"On Time","Late"))</f>
        <v>On Time</v>
      </c>
      <c r="U405" t="str">
        <f>TEXT(Orders[[#This Row],[Order Date]],"mmm")</f>
        <v>Oct</v>
      </c>
      <c r="V405" s="8">
        <f>DATE(YEAR(Orders[[#This Row],[Order Date]]),MONTH(Orders[[#This Row],[Order Date]]),1)</f>
        <v>46296</v>
      </c>
      <c r="W405" s="5">
        <f>IF(Orders[[#This Row],[Order Status]]="Cancelled",Orders[[#This Row],[Net Sales]],0)</f>
        <v>0</v>
      </c>
    </row>
    <row r="406" spans="1:23" x14ac:dyDescent="0.3">
      <c r="A406" t="s">
        <v>922</v>
      </c>
      <c r="B406" s="7">
        <v>46227</v>
      </c>
      <c r="C406" t="s">
        <v>686</v>
      </c>
      <c r="D406" t="s">
        <v>433</v>
      </c>
      <c r="E406" t="s">
        <v>18</v>
      </c>
      <c r="F406" t="s">
        <v>43</v>
      </c>
      <c r="G406" t="s">
        <v>64</v>
      </c>
      <c r="H406" t="s">
        <v>21</v>
      </c>
      <c r="I406">
        <v>2</v>
      </c>
      <c r="J406" s="5">
        <v>699</v>
      </c>
      <c r="K406" s="2">
        <v>0.05</v>
      </c>
      <c r="L406" t="s">
        <v>31</v>
      </c>
      <c r="M406" t="s">
        <v>23</v>
      </c>
      <c r="N406" s="1">
        <v>46233</v>
      </c>
      <c r="O406" s="1">
        <v>46231</v>
      </c>
      <c r="P406" s="5">
        <f>Orders[[#This Row],[Quantity]]*Orders[[#This Row],[Unit Price]]</f>
        <v>1398</v>
      </c>
      <c r="Q406" s="5">
        <f>Orders[[#This Row],[Gross Sales]]*Orders[[#This Row],[Discount %]]</f>
        <v>69.900000000000006</v>
      </c>
      <c r="R406" s="5">
        <f>Orders[[#This Row],[Gross Sales]]-Orders[[#This Row],[Discount Amount]]</f>
        <v>1328.1</v>
      </c>
      <c r="S406">
        <f>IF(Orders[[#This Row],[Actual Delivery Date]]="","",Orders[[#This Row],[Actual Delivery Date]]-Orders[[#This Row],[Order Date]])</f>
        <v>4</v>
      </c>
      <c r="T406" t="str">
        <f>IF(Orders[[#This Row],[Actual Delivery Date]]="","Pending",IF(Orders[[#This Row],[Actual Delivery Date]]&lt;=Orders[[#This Row],[Expected Delivery Date]],"On Time","Late"))</f>
        <v>On Time</v>
      </c>
      <c r="U406" t="str">
        <f>TEXT(Orders[[#This Row],[Order Date]],"mmm")</f>
        <v>Jul</v>
      </c>
      <c r="V406" s="8">
        <f>DATE(YEAR(Orders[[#This Row],[Order Date]]),MONTH(Orders[[#This Row],[Order Date]]),1)</f>
        <v>46204</v>
      </c>
      <c r="W406" s="5">
        <f>IF(Orders[[#This Row],[Order Status]]="Cancelled",Orders[[#This Row],[Net Sales]],0)</f>
        <v>0</v>
      </c>
    </row>
    <row r="407" spans="1:23" x14ac:dyDescent="0.3">
      <c r="A407" t="s">
        <v>923</v>
      </c>
      <c r="B407" s="7">
        <v>46243</v>
      </c>
      <c r="C407" t="s">
        <v>924</v>
      </c>
      <c r="D407" t="s">
        <v>221</v>
      </c>
      <c r="E407" t="s">
        <v>27</v>
      </c>
      <c r="F407" t="s">
        <v>56</v>
      </c>
      <c r="G407" t="s">
        <v>153</v>
      </c>
      <c r="H407" t="s">
        <v>45</v>
      </c>
      <c r="I407">
        <v>1</v>
      </c>
      <c r="J407" s="5">
        <v>1999</v>
      </c>
      <c r="K407" s="2">
        <v>0.2</v>
      </c>
      <c r="L407" t="s">
        <v>39</v>
      </c>
      <c r="M407" t="s">
        <v>23</v>
      </c>
      <c r="N407" s="1">
        <v>46250</v>
      </c>
      <c r="O407" s="1">
        <v>46246</v>
      </c>
      <c r="P407" s="5">
        <f>Orders[[#This Row],[Quantity]]*Orders[[#This Row],[Unit Price]]</f>
        <v>1999</v>
      </c>
      <c r="Q407" s="5">
        <f>Orders[[#This Row],[Gross Sales]]*Orders[[#This Row],[Discount %]]</f>
        <v>399.8</v>
      </c>
      <c r="R407" s="5">
        <f>Orders[[#This Row],[Gross Sales]]-Orders[[#This Row],[Discount Amount]]</f>
        <v>1599.2</v>
      </c>
      <c r="S407">
        <f>IF(Orders[[#This Row],[Actual Delivery Date]]="","",Orders[[#This Row],[Actual Delivery Date]]-Orders[[#This Row],[Order Date]])</f>
        <v>3</v>
      </c>
      <c r="T407" t="str">
        <f>IF(Orders[[#This Row],[Actual Delivery Date]]="","Pending",IF(Orders[[#This Row],[Actual Delivery Date]]&lt;=Orders[[#This Row],[Expected Delivery Date]],"On Time","Late"))</f>
        <v>On Time</v>
      </c>
      <c r="U407" t="str">
        <f>TEXT(Orders[[#This Row],[Order Date]],"mmm")</f>
        <v>Aug</v>
      </c>
      <c r="V407" s="8">
        <f>DATE(YEAR(Orders[[#This Row],[Order Date]]),MONTH(Orders[[#This Row],[Order Date]]),1)</f>
        <v>46235</v>
      </c>
      <c r="W407" s="5">
        <f>IF(Orders[[#This Row],[Order Status]]="Cancelled",Orders[[#This Row],[Net Sales]],0)</f>
        <v>0</v>
      </c>
    </row>
    <row r="408" spans="1:23" x14ac:dyDescent="0.3">
      <c r="A408" t="s">
        <v>925</v>
      </c>
      <c r="B408" s="7">
        <v>46179</v>
      </c>
      <c r="C408" t="s">
        <v>926</v>
      </c>
      <c r="D408" t="s">
        <v>596</v>
      </c>
      <c r="E408" t="s">
        <v>35</v>
      </c>
      <c r="F408" t="s">
        <v>36</v>
      </c>
      <c r="G408" t="s">
        <v>81</v>
      </c>
      <c r="H408" t="s">
        <v>30</v>
      </c>
      <c r="I408">
        <v>1</v>
      </c>
      <c r="J408" s="5">
        <v>899</v>
      </c>
      <c r="K408" s="2">
        <v>0.1</v>
      </c>
      <c r="L408" t="s">
        <v>22</v>
      </c>
      <c r="M408" t="s">
        <v>82</v>
      </c>
      <c r="N408" s="1">
        <v>46184</v>
      </c>
      <c r="O408" s="1">
        <v>46183</v>
      </c>
      <c r="P408" s="5">
        <f>Orders[[#This Row],[Quantity]]*Orders[[#This Row],[Unit Price]]</f>
        <v>899</v>
      </c>
      <c r="Q408" s="5">
        <f>Orders[[#This Row],[Gross Sales]]*Orders[[#This Row],[Discount %]]</f>
        <v>89.9</v>
      </c>
      <c r="R408" s="5">
        <f>Orders[[#This Row],[Gross Sales]]-Orders[[#This Row],[Discount Amount]]</f>
        <v>809.1</v>
      </c>
      <c r="S408">
        <f>IF(Orders[[#This Row],[Actual Delivery Date]]="","",Orders[[#This Row],[Actual Delivery Date]]-Orders[[#This Row],[Order Date]])</f>
        <v>4</v>
      </c>
      <c r="T408" t="str">
        <f>IF(Orders[[#This Row],[Actual Delivery Date]]="","Pending",IF(Orders[[#This Row],[Actual Delivery Date]]&lt;=Orders[[#This Row],[Expected Delivery Date]],"On Time","Late"))</f>
        <v>On Time</v>
      </c>
      <c r="U408" t="str">
        <f>TEXT(Orders[[#This Row],[Order Date]],"mmm")</f>
        <v>Jun</v>
      </c>
      <c r="V408" s="8">
        <f>DATE(YEAR(Orders[[#This Row],[Order Date]]),MONTH(Orders[[#This Row],[Order Date]]),1)</f>
        <v>46174</v>
      </c>
      <c r="W408" s="5">
        <f>IF(Orders[[#This Row],[Order Status]]="Cancelled",Orders[[#This Row],[Net Sales]],0)</f>
        <v>0</v>
      </c>
    </row>
    <row r="409" spans="1:23" x14ac:dyDescent="0.3">
      <c r="A409" t="s">
        <v>927</v>
      </c>
      <c r="B409" s="7">
        <v>46080</v>
      </c>
      <c r="C409" t="s">
        <v>595</v>
      </c>
      <c r="D409" t="s">
        <v>573</v>
      </c>
      <c r="E409" t="s">
        <v>27</v>
      </c>
      <c r="F409" t="s">
        <v>51</v>
      </c>
      <c r="G409" t="s">
        <v>104</v>
      </c>
      <c r="H409" t="s">
        <v>38</v>
      </c>
      <c r="I409">
        <v>2</v>
      </c>
      <c r="J409" s="5">
        <v>999</v>
      </c>
      <c r="K409" s="2">
        <v>0.05</v>
      </c>
      <c r="L409" t="s">
        <v>22</v>
      </c>
      <c r="M409" t="s">
        <v>23</v>
      </c>
      <c r="N409" s="1">
        <v>46084</v>
      </c>
      <c r="O409" s="1">
        <v>46081</v>
      </c>
      <c r="P409" s="5">
        <f>Orders[[#This Row],[Quantity]]*Orders[[#This Row],[Unit Price]]</f>
        <v>1998</v>
      </c>
      <c r="Q409" s="5">
        <f>Orders[[#This Row],[Gross Sales]]*Orders[[#This Row],[Discount %]]</f>
        <v>99.9</v>
      </c>
      <c r="R409" s="5">
        <f>Orders[[#This Row],[Gross Sales]]-Orders[[#This Row],[Discount Amount]]</f>
        <v>1898.1</v>
      </c>
      <c r="S409">
        <f>IF(Orders[[#This Row],[Actual Delivery Date]]="","",Orders[[#This Row],[Actual Delivery Date]]-Orders[[#This Row],[Order Date]])</f>
        <v>1</v>
      </c>
      <c r="T409" t="str">
        <f>IF(Orders[[#This Row],[Actual Delivery Date]]="","Pending",IF(Orders[[#This Row],[Actual Delivery Date]]&lt;=Orders[[#This Row],[Expected Delivery Date]],"On Time","Late"))</f>
        <v>On Time</v>
      </c>
      <c r="U409" t="str">
        <f>TEXT(Orders[[#This Row],[Order Date]],"mmm")</f>
        <v>Feb</v>
      </c>
      <c r="V409" s="8">
        <f>DATE(YEAR(Orders[[#This Row],[Order Date]]),MONTH(Orders[[#This Row],[Order Date]]),1)</f>
        <v>46054</v>
      </c>
      <c r="W409" s="5">
        <f>IF(Orders[[#This Row],[Order Status]]="Cancelled",Orders[[#This Row],[Net Sales]],0)</f>
        <v>0</v>
      </c>
    </row>
    <row r="410" spans="1:23" x14ac:dyDescent="0.3">
      <c r="A410" t="s">
        <v>928</v>
      </c>
      <c r="B410" s="7">
        <v>46298</v>
      </c>
      <c r="C410" t="s">
        <v>929</v>
      </c>
      <c r="D410" t="s">
        <v>205</v>
      </c>
      <c r="E410" t="s">
        <v>79</v>
      </c>
      <c r="F410" t="s">
        <v>86</v>
      </c>
      <c r="G410" t="s">
        <v>20</v>
      </c>
      <c r="H410" t="s">
        <v>21</v>
      </c>
      <c r="I410">
        <v>1</v>
      </c>
      <c r="J410" s="5">
        <v>1799</v>
      </c>
      <c r="K410" s="2">
        <v>0.2</v>
      </c>
      <c r="L410" t="s">
        <v>22</v>
      </c>
      <c r="M410" t="s">
        <v>82</v>
      </c>
      <c r="N410" s="1">
        <v>46302</v>
      </c>
      <c r="O410" s="1">
        <v>46300</v>
      </c>
      <c r="P410" s="5">
        <f>Orders[[#This Row],[Quantity]]*Orders[[#This Row],[Unit Price]]</f>
        <v>1799</v>
      </c>
      <c r="Q410" s="5">
        <f>Orders[[#This Row],[Gross Sales]]*Orders[[#This Row],[Discount %]]</f>
        <v>359.8</v>
      </c>
      <c r="R410" s="5">
        <f>Orders[[#This Row],[Gross Sales]]-Orders[[#This Row],[Discount Amount]]</f>
        <v>1439.2</v>
      </c>
      <c r="S410">
        <f>IF(Orders[[#This Row],[Actual Delivery Date]]="","",Orders[[#This Row],[Actual Delivery Date]]-Orders[[#This Row],[Order Date]])</f>
        <v>2</v>
      </c>
      <c r="T410" t="str">
        <f>IF(Orders[[#This Row],[Actual Delivery Date]]="","Pending",IF(Orders[[#This Row],[Actual Delivery Date]]&lt;=Orders[[#This Row],[Expected Delivery Date]],"On Time","Late"))</f>
        <v>On Time</v>
      </c>
      <c r="U410" t="str">
        <f>TEXT(Orders[[#This Row],[Order Date]],"mmm")</f>
        <v>Oct</v>
      </c>
      <c r="V410" s="8">
        <f>DATE(YEAR(Orders[[#This Row],[Order Date]]),MONTH(Orders[[#This Row],[Order Date]]),1)</f>
        <v>46296</v>
      </c>
      <c r="W410" s="5">
        <f>IF(Orders[[#This Row],[Order Status]]="Cancelled",Orders[[#This Row],[Net Sales]],0)</f>
        <v>0</v>
      </c>
    </row>
    <row r="411" spans="1:23" x14ac:dyDescent="0.3">
      <c r="A411" t="s">
        <v>930</v>
      </c>
      <c r="B411" s="7">
        <v>46168</v>
      </c>
      <c r="C411" t="s">
        <v>931</v>
      </c>
      <c r="D411" t="s">
        <v>811</v>
      </c>
      <c r="E411" t="s">
        <v>18</v>
      </c>
      <c r="F411" t="s">
        <v>121</v>
      </c>
      <c r="G411" t="s">
        <v>104</v>
      </c>
      <c r="H411" t="s">
        <v>38</v>
      </c>
      <c r="I411">
        <v>1</v>
      </c>
      <c r="J411" s="5">
        <v>999</v>
      </c>
      <c r="K411" s="2">
        <v>0.2</v>
      </c>
      <c r="L411" t="s">
        <v>46</v>
      </c>
      <c r="M411" t="s">
        <v>23</v>
      </c>
      <c r="N411" s="1">
        <v>46173</v>
      </c>
      <c r="O411" s="1">
        <v>46169</v>
      </c>
      <c r="P411" s="5">
        <f>Orders[[#This Row],[Quantity]]*Orders[[#This Row],[Unit Price]]</f>
        <v>999</v>
      </c>
      <c r="Q411" s="5">
        <f>Orders[[#This Row],[Gross Sales]]*Orders[[#This Row],[Discount %]]</f>
        <v>199.8</v>
      </c>
      <c r="R411" s="5">
        <f>Orders[[#This Row],[Gross Sales]]-Orders[[#This Row],[Discount Amount]]</f>
        <v>799.2</v>
      </c>
      <c r="S411">
        <f>IF(Orders[[#This Row],[Actual Delivery Date]]="","",Orders[[#This Row],[Actual Delivery Date]]-Orders[[#This Row],[Order Date]])</f>
        <v>1</v>
      </c>
      <c r="T411" t="str">
        <f>IF(Orders[[#This Row],[Actual Delivery Date]]="","Pending",IF(Orders[[#This Row],[Actual Delivery Date]]&lt;=Orders[[#This Row],[Expected Delivery Date]],"On Time","Late"))</f>
        <v>On Time</v>
      </c>
      <c r="U411" t="str">
        <f>TEXT(Orders[[#This Row],[Order Date]],"mmm")</f>
        <v>May</v>
      </c>
      <c r="V411" s="8">
        <f>DATE(YEAR(Orders[[#This Row],[Order Date]]),MONTH(Orders[[#This Row],[Order Date]]),1)</f>
        <v>46143</v>
      </c>
      <c r="W411" s="5">
        <f>IF(Orders[[#This Row],[Order Status]]="Cancelled",Orders[[#This Row],[Net Sales]],0)</f>
        <v>0</v>
      </c>
    </row>
    <row r="412" spans="1:23" x14ac:dyDescent="0.3">
      <c r="A412" t="s">
        <v>932</v>
      </c>
      <c r="B412" s="7">
        <v>46172</v>
      </c>
      <c r="C412" t="s">
        <v>572</v>
      </c>
      <c r="D412" t="s">
        <v>90</v>
      </c>
      <c r="E412" t="s">
        <v>35</v>
      </c>
      <c r="F412" t="s">
        <v>36</v>
      </c>
      <c r="G412" t="s">
        <v>75</v>
      </c>
      <c r="H412" t="s">
        <v>45</v>
      </c>
      <c r="I412">
        <v>3</v>
      </c>
      <c r="J412" s="5">
        <v>799</v>
      </c>
      <c r="K412" s="2">
        <v>0.15</v>
      </c>
      <c r="L412" t="s">
        <v>31</v>
      </c>
      <c r="M412" t="s">
        <v>23</v>
      </c>
      <c r="N412" s="1">
        <v>46178</v>
      </c>
      <c r="O412" s="1">
        <v>46179</v>
      </c>
      <c r="P412" s="5">
        <f>Orders[[#This Row],[Quantity]]*Orders[[#This Row],[Unit Price]]</f>
        <v>2397</v>
      </c>
      <c r="Q412" s="5">
        <f>Orders[[#This Row],[Gross Sales]]*Orders[[#This Row],[Discount %]]</f>
        <v>359.55</v>
      </c>
      <c r="R412" s="5">
        <f>Orders[[#This Row],[Gross Sales]]-Orders[[#This Row],[Discount Amount]]</f>
        <v>2037.45</v>
      </c>
      <c r="S412">
        <f>IF(Orders[[#This Row],[Actual Delivery Date]]="","",Orders[[#This Row],[Actual Delivery Date]]-Orders[[#This Row],[Order Date]])</f>
        <v>7</v>
      </c>
      <c r="T412" t="str">
        <f>IF(Orders[[#This Row],[Actual Delivery Date]]="","Pending",IF(Orders[[#This Row],[Actual Delivery Date]]&lt;=Orders[[#This Row],[Expected Delivery Date]],"On Time","Late"))</f>
        <v>Late</v>
      </c>
      <c r="U412" t="str">
        <f>TEXT(Orders[[#This Row],[Order Date]],"mmm")</f>
        <v>May</v>
      </c>
      <c r="V412" s="8">
        <f>DATE(YEAR(Orders[[#This Row],[Order Date]]),MONTH(Orders[[#This Row],[Order Date]]),1)</f>
        <v>46143</v>
      </c>
      <c r="W412" s="5">
        <f>IF(Orders[[#This Row],[Order Status]]="Cancelled",Orders[[#This Row],[Net Sales]],0)</f>
        <v>0</v>
      </c>
    </row>
    <row r="413" spans="1:23" x14ac:dyDescent="0.3">
      <c r="A413" t="s">
        <v>933</v>
      </c>
      <c r="B413" s="7">
        <v>46257</v>
      </c>
      <c r="C413" t="s">
        <v>193</v>
      </c>
      <c r="D413" t="s">
        <v>78</v>
      </c>
      <c r="E413" t="s">
        <v>18</v>
      </c>
      <c r="F413" t="s">
        <v>95</v>
      </c>
      <c r="G413" t="s">
        <v>69</v>
      </c>
      <c r="H413" t="s">
        <v>38</v>
      </c>
      <c r="I413">
        <v>2</v>
      </c>
      <c r="J413" s="5">
        <v>3499</v>
      </c>
      <c r="K413" s="2">
        <v>0</v>
      </c>
      <c r="L413" t="s">
        <v>39</v>
      </c>
      <c r="M413" t="s">
        <v>23</v>
      </c>
      <c r="N413" s="1">
        <v>46263</v>
      </c>
      <c r="O413" s="1">
        <v>46261</v>
      </c>
      <c r="P413" s="5">
        <f>Orders[[#This Row],[Quantity]]*Orders[[#This Row],[Unit Price]]</f>
        <v>6998</v>
      </c>
      <c r="Q413" s="5">
        <f>Orders[[#This Row],[Gross Sales]]*Orders[[#This Row],[Discount %]]</f>
        <v>0</v>
      </c>
      <c r="R413" s="5">
        <f>Orders[[#This Row],[Gross Sales]]-Orders[[#This Row],[Discount Amount]]</f>
        <v>6998</v>
      </c>
      <c r="S413">
        <f>IF(Orders[[#This Row],[Actual Delivery Date]]="","",Orders[[#This Row],[Actual Delivery Date]]-Orders[[#This Row],[Order Date]])</f>
        <v>4</v>
      </c>
      <c r="T413" t="str">
        <f>IF(Orders[[#This Row],[Actual Delivery Date]]="","Pending",IF(Orders[[#This Row],[Actual Delivery Date]]&lt;=Orders[[#This Row],[Expected Delivery Date]],"On Time","Late"))</f>
        <v>On Time</v>
      </c>
      <c r="U413" t="str">
        <f>TEXT(Orders[[#This Row],[Order Date]],"mmm")</f>
        <v>Aug</v>
      </c>
      <c r="V413" s="8">
        <f>DATE(YEAR(Orders[[#This Row],[Order Date]]),MONTH(Orders[[#This Row],[Order Date]]),1)</f>
        <v>46235</v>
      </c>
      <c r="W413" s="5">
        <f>IF(Orders[[#This Row],[Order Status]]="Cancelled",Orders[[#This Row],[Net Sales]],0)</f>
        <v>0</v>
      </c>
    </row>
    <row r="414" spans="1:23" x14ac:dyDescent="0.3">
      <c r="A414" t="s">
        <v>934</v>
      </c>
      <c r="B414" s="7">
        <v>46343</v>
      </c>
      <c r="C414" t="s">
        <v>437</v>
      </c>
      <c r="D414" t="s">
        <v>644</v>
      </c>
      <c r="E414" t="s">
        <v>18</v>
      </c>
      <c r="F414" t="s">
        <v>121</v>
      </c>
      <c r="G414" t="s">
        <v>186</v>
      </c>
      <c r="H414" t="s">
        <v>21</v>
      </c>
      <c r="I414">
        <v>1</v>
      </c>
      <c r="J414" s="5">
        <v>1999</v>
      </c>
      <c r="K414" s="2">
        <v>0.2</v>
      </c>
      <c r="L414" t="s">
        <v>46</v>
      </c>
      <c r="M414" t="s">
        <v>82</v>
      </c>
      <c r="N414" s="1">
        <v>46345</v>
      </c>
      <c r="O414" s="1">
        <v>46345</v>
      </c>
      <c r="P414" s="5">
        <f>Orders[[#This Row],[Quantity]]*Orders[[#This Row],[Unit Price]]</f>
        <v>1999</v>
      </c>
      <c r="Q414" s="5">
        <f>Orders[[#This Row],[Gross Sales]]*Orders[[#This Row],[Discount %]]</f>
        <v>399.8</v>
      </c>
      <c r="R414" s="5">
        <f>Orders[[#This Row],[Gross Sales]]-Orders[[#This Row],[Discount Amount]]</f>
        <v>1599.2</v>
      </c>
      <c r="S414">
        <f>IF(Orders[[#This Row],[Actual Delivery Date]]="","",Orders[[#This Row],[Actual Delivery Date]]-Orders[[#This Row],[Order Date]])</f>
        <v>2</v>
      </c>
      <c r="T414" t="str">
        <f>IF(Orders[[#This Row],[Actual Delivery Date]]="","Pending",IF(Orders[[#This Row],[Actual Delivery Date]]&lt;=Orders[[#This Row],[Expected Delivery Date]],"On Time","Late"))</f>
        <v>On Time</v>
      </c>
      <c r="U414" t="str">
        <f>TEXT(Orders[[#This Row],[Order Date]],"mmm")</f>
        <v>Nov</v>
      </c>
      <c r="V414" s="8">
        <f>DATE(YEAR(Orders[[#This Row],[Order Date]]),MONTH(Orders[[#This Row],[Order Date]]),1)</f>
        <v>46327</v>
      </c>
      <c r="W414" s="5">
        <f>IF(Orders[[#This Row],[Order Status]]="Cancelled",Orders[[#This Row],[Net Sales]],0)</f>
        <v>0</v>
      </c>
    </row>
    <row r="415" spans="1:23" x14ac:dyDescent="0.3">
      <c r="A415" t="s">
        <v>935</v>
      </c>
      <c r="B415" s="7">
        <v>46224</v>
      </c>
      <c r="C415" t="s">
        <v>936</v>
      </c>
      <c r="D415" t="s">
        <v>937</v>
      </c>
      <c r="E415" t="s">
        <v>35</v>
      </c>
      <c r="F415" t="s">
        <v>68</v>
      </c>
      <c r="G415" t="s">
        <v>131</v>
      </c>
      <c r="H415" t="s">
        <v>38</v>
      </c>
      <c r="I415">
        <v>2</v>
      </c>
      <c r="J415" s="5">
        <v>899</v>
      </c>
      <c r="K415" s="2">
        <v>0</v>
      </c>
      <c r="L415" t="s">
        <v>70</v>
      </c>
      <c r="M415" t="s">
        <v>47</v>
      </c>
      <c r="N415" s="1">
        <v>46231</v>
      </c>
      <c r="O415" s="1"/>
      <c r="P415" s="5">
        <f>Orders[[#This Row],[Quantity]]*Orders[[#This Row],[Unit Price]]</f>
        <v>1798</v>
      </c>
      <c r="Q415" s="5">
        <f>Orders[[#This Row],[Gross Sales]]*Orders[[#This Row],[Discount %]]</f>
        <v>0</v>
      </c>
      <c r="R415" s="5">
        <f>Orders[[#This Row],[Gross Sales]]-Orders[[#This Row],[Discount Amount]]</f>
        <v>1798</v>
      </c>
      <c r="S415" t="str">
        <f>IF(Orders[[#This Row],[Actual Delivery Date]]="","",Orders[[#This Row],[Actual Delivery Date]]-Orders[[#This Row],[Order Date]])</f>
        <v/>
      </c>
      <c r="T415" t="str">
        <f>IF(Orders[[#This Row],[Actual Delivery Date]]="","Pending",IF(Orders[[#This Row],[Actual Delivery Date]]&lt;=Orders[[#This Row],[Expected Delivery Date]],"On Time","Late"))</f>
        <v>Pending</v>
      </c>
      <c r="U415" t="str">
        <f>TEXT(Orders[[#This Row],[Order Date]],"mmm")</f>
        <v>Jul</v>
      </c>
      <c r="V415" s="8">
        <f>DATE(YEAR(Orders[[#This Row],[Order Date]]),MONTH(Orders[[#This Row],[Order Date]]),1)</f>
        <v>46204</v>
      </c>
      <c r="W415" s="5">
        <f>IF(Orders[[#This Row],[Order Status]]="Cancelled",Orders[[#This Row],[Net Sales]],0)</f>
        <v>0</v>
      </c>
    </row>
    <row r="416" spans="1:23" x14ac:dyDescent="0.3">
      <c r="A416" t="s">
        <v>938</v>
      </c>
      <c r="B416" s="7">
        <v>46332</v>
      </c>
      <c r="C416" t="s">
        <v>593</v>
      </c>
      <c r="D416" t="s">
        <v>294</v>
      </c>
      <c r="E416" t="s">
        <v>27</v>
      </c>
      <c r="F416" t="s">
        <v>56</v>
      </c>
      <c r="G416" t="s">
        <v>118</v>
      </c>
      <c r="H416" t="s">
        <v>58</v>
      </c>
      <c r="I416">
        <v>1</v>
      </c>
      <c r="J416" s="5">
        <v>749</v>
      </c>
      <c r="K416" s="2">
        <v>0.2</v>
      </c>
      <c r="L416" t="s">
        <v>31</v>
      </c>
      <c r="M416" t="s">
        <v>23</v>
      </c>
      <c r="N416" s="1">
        <v>46339</v>
      </c>
      <c r="O416" s="1">
        <v>46337</v>
      </c>
      <c r="P416" s="5">
        <f>Orders[[#This Row],[Quantity]]*Orders[[#This Row],[Unit Price]]</f>
        <v>749</v>
      </c>
      <c r="Q416" s="5">
        <f>Orders[[#This Row],[Gross Sales]]*Orders[[#This Row],[Discount %]]</f>
        <v>149.80000000000001</v>
      </c>
      <c r="R416" s="5">
        <f>Orders[[#This Row],[Gross Sales]]-Orders[[#This Row],[Discount Amount]]</f>
        <v>599.20000000000005</v>
      </c>
      <c r="S416">
        <f>IF(Orders[[#This Row],[Actual Delivery Date]]="","",Orders[[#This Row],[Actual Delivery Date]]-Orders[[#This Row],[Order Date]])</f>
        <v>5</v>
      </c>
      <c r="T416" t="str">
        <f>IF(Orders[[#This Row],[Actual Delivery Date]]="","Pending",IF(Orders[[#This Row],[Actual Delivery Date]]&lt;=Orders[[#This Row],[Expected Delivery Date]],"On Time","Late"))</f>
        <v>On Time</v>
      </c>
      <c r="U416" t="str">
        <f>TEXT(Orders[[#This Row],[Order Date]],"mmm")</f>
        <v>Nov</v>
      </c>
      <c r="V416" s="8">
        <f>DATE(YEAR(Orders[[#This Row],[Order Date]]),MONTH(Orders[[#This Row],[Order Date]]),1)</f>
        <v>46327</v>
      </c>
      <c r="W416" s="5">
        <f>IF(Orders[[#This Row],[Order Status]]="Cancelled",Orders[[#This Row],[Net Sales]],0)</f>
        <v>0</v>
      </c>
    </row>
    <row r="417" spans="1:23" x14ac:dyDescent="0.3">
      <c r="A417" t="s">
        <v>939</v>
      </c>
      <c r="B417" s="7">
        <v>46358</v>
      </c>
      <c r="C417" t="s">
        <v>940</v>
      </c>
      <c r="D417" t="s">
        <v>941</v>
      </c>
      <c r="E417" t="s">
        <v>35</v>
      </c>
      <c r="F417" t="s">
        <v>68</v>
      </c>
      <c r="G417" t="s">
        <v>180</v>
      </c>
      <c r="H417" t="s">
        <v>58</v>
      </c>
      <c r="I417">
        <v>4</v>
      </c>
      <c r="J417" s="5">
        <v>599</v>
      </c>
      <c r="K417" s="2">
        <v>0.05</v>
      </c>
      <c r="L417" t="s">
        <v>46</v>
      </c>
      <c r="M417" t="s">
        <v>23</v>
      </c>
      <c r="N417" s="1">
        <v>46364</v>
      </c>
      <c r="O417" s="1">
        <v>46364</v>
      </c>
      <c r="P417" s="5">
        <f>Orders[[#This Row],[Quantity]]*Orders[[#This Row],[Unit Price]]</f>
        <v>2396</v>
      </c>
      <c r="Q417" s="5">
        <f>Orders[[#This Row],[Gross Sales]]*Orders[[#This Row],[Discount %]]</f>
        <v>119.80000000000001</v>
      </c>
      <c r="R417" s="5">
        <f>Orders[[#This Row],[Gross Sales]]-Orders[[#This Row],[Discount Amount]]</f>
        <v>2276.1999999999998</v>
      </c>
      <c r="S417">
        <f>IF(Orders[[#This Row],[Actual Delivery Date]]="","",Orders[[#This Row],[Actual Delivery Date]]-Orders[[#This Row],[Order Date]])</f>
        <v>6</v>
      </c>
      <c r="T417" t="str">
        <f>IF(Orders[[#This Row],[Actual Delivery Date]]="","Pending",IF(Orders[[#This Row],[Actual Delivery Date]]&lt;=Orders[[#This Row],[Expected Delivery Date]],"On Time","Late"))</f>
        <v>On Time</v>
      </c>
      <c r="U417" t="str">
        <f>TEXT(Orders[[#This Row],[Order Date]],"mmm")</f>
        <v>Dec</v>
      </c>
      <c r="V417" s="8">
        <f>DATE(YEAR(Orders[[#This Row],[Order Date]]),MONTH(Orders[[#This Row],[Order Date]]),1)</f>
        <v>46357</v>
      </c>
      <c r="W417" s="5">
        <f>IF(Orders[[#This Row],[Order Status]]="Cancelled",Orders[[#This Row],[Net Sales]],0)</f>
        <v>0</v>
      </c>
    </row>
    <row r="418" spans="1:23" x14ac:dyDescent="0.3">
      <c r="A418" t="s">
        <v>942</v>
      </c>
      <c r="B418" s="7">
        <v>46234</v>
      </c>
      <c r="C418" t="s">
        <v>602</v>
      </c>
      <c r="D418" t="s">
        <v>943</v>
      </c>
      <c r="E418" t="s">
        <v>35</v>
      </c>
      <c r="F418" t="s">
        <v>68</v>
      </c>
      <c r="G418" t="s">
        <v>153</v>
      </c>
      <c r="H418" t="s">
        <v>45</v>
      </c>
      <c r="I418">
        <v>4</v>
      </c>
      <c r="J418" s="5">
        <v>1999</v>
      </c>
      <c r="K418" s="2">
        <v>0.1</v>
      </c>
      <c r="L418" t="s">
        <v>70</v>
      </c>
      <c r="M418" t="s">
        <v>59</v>
      </c>
      <c r="N418" s="1">
        <v>46241</v>
      </c>
      <c r="O418" s="1">
        <v>46244</v>
      </c>
      <c r="P418" s="5">
        <f>Orders[[#This Row],[Quantity]]*Orders[[#This Row],[Unit Price]]</f>
        <v>7996</v>
      </c>
      <c r="Q418" s="5">
        <f>Orders[[#This Row],[Gross Sales]]*Orders[[#This Row],[Discount %]]</f>
        <v>799.6</v>
      </c>
      <c r="R418" s="5">
        <f>Orders[[#This Row],[Gross Sales]]-Orders[[#This Row],[Discount Amount]]</f>
        <v>7196.4</v>
      </c>
      <c r="S418">
        <f>IF(Orders[[#This Row],[Actual Delivery Date]]="","",Orders[[#This Row],[Actual Delivery Date]]-Orders[[#This Row],[Order Date]])</f>
        <v>10</v>
      </c>
      <c r="T418" t="str">
        <f>IF(Orders[[#This Row],[Actual Delivery Date]]="","Pending",IF(Orders[[#This Row],[Actual Delivery Date]]&lt;=Orders[[#This Row],[Expected Delivery Date]],"On Time","Late"))</f>
        <v>Late</v>
      </c>
      <c r="U418" t="str">
        <f>TEXT(Orders[[#This Row],[Order Date]],"mmm")</f>
        <v>Jul</v>
      </c>
      <c r="V418" s="8">
        <f>DATE(YEAR(Orders[[#This Row],[Order Date]]),MONTH(Orders[[#This Row],[Order Date]]),1)</f>
        <v>46204</v>
      </c>
      <c r="W418" s="5">
        <f>IF(Orders[[#This Row],[Order Status]]="Cancelled",Orders[[#This Row],[Net Sales]],0)</f>
        <v>7196.4</v>
      </c>
    </row>
    <row r="419" spans="1:23" x14ac:dyDescent="0.3">
      <c r="A419" t="s">
        <v>944</v>
      </c>
      <c r="B419" s="7">
        <v>46336</v>
      </c>
      <c r="C419" t="s">
        <v>877</v>
      </c>
      <c r="D419" t="s">
        <v>227</v>
      </c>
      <c r="E419" t="s">
        <v>18</v>
      </c>
      <c r="F419" t="s">
        <v>95</v>
      </c>
      <c r="G419" t="s">
        <v>104</v>
      </c>
      <c r="H419" t="s">
        <v>38</v>
      </c>
      <c r="I419">
        <v>2</v>
      </c>
      <c r="J419" s="5">
        <v>999</v>
      </c>
      <c r="K419" s="2">
        <v>0.2</v>
      </c>
      <c r="L419" t="s">
        <v>22</v>
      </c>
      <c r="M419" t="s">
        <v>47</v>
      </c>
      <c r="N419" s="1">
        <v>46339</v>
      </c>
      <c r="O419" s="1"/>
      <c r="P419" s="5">
        <f>Orders[[#This Row],[Quantity]]*Orders[[#This Row],[Unit Price]]</f>
        <v>1998</v>
      </c>
      <c r="Q419" s="5">
        <f>Orders[[#This Row],[Gross Sales]]*Orders[[#This Row],[Discount %]]</f>
        <v>399.6</v>
      </c>
      <c r="R419" s="5">
        <f>Orders[[#This Row],[Gross Sales]]-Orders[[#This Row],[Discount Amount]]</f>
        <v>1598.4</v>
      </c>
      <c r="S419" t="str">
        <f>IF(Orders[[#This Row],[Actual Delivery Date]]="","",Orders[[#This Row],[Actual Delivery Date]]-Orders[[#This Row],[Order Date]])</f>
        <v/>
      </c>
      <c r="T419" t="str">
        <f>IF(Orders[[#This Row],[Actual Delivery Date]]="","Pending",IF(Orders[[#This Row],[Actual Delivery Date]]&lt;=Orders[[#This Row],[Expected Delivery Date]],"On Time","Late"))</f>
        <v>Pending</v>
      </c>
      <c r="U419" t="str">
        <f>TEXT(Orders[[#This Row],[Order Date]],"mmm")</f>
        <v>Nov</v>
      </c>
      <c r="V419" s="8">
        <f>DATE(YEAR(Orders[[#This Row],[Order Date]]),MONTH(Orders[[#This Row],[Order Date]]),1)</f>
        <v>46327</v>
      </c>
      <c r="W419" s="5">
        <f>IF(Orders[[#This Row],[Order Status]]="Cancelled",Orders[[#This Row],[Net Sales]],0)</f>
        <v>0</v>
      </c>
    </row>
    <row r="420" spans="1:23" x14ac:dyDescent="0.3">
      <c r="A420" t="s">
        <v>945</v>
      </c>
      <c r="B420" s="7">
        <v>46091</v>
      </c>
      <c r="C420" t="s">
        <v>304</v>
      </c>
      <c r="D420" t="s">
        <v>321</v>
      </c>
      <c r="E420" t="s">
        <v>18</v>
      </c>
      <c r="F420" t="s">
        <v>121</v>
      </c>
      <c r="G420" t="s">
        <v>160</v>
      </c>
      <c r="H420" t="s">
        <v>45</v>
      </c>
      <c r="I420">
        <v>2</v>
      </c>
      <c r="J420" s="5">
        <v>1499</v>
      </c>
      <c r="K420" s="2">
        <v>0.2</v>
      </c>
      <c r="L420" t="s">
        <v>70</v>
      </c>
      <c r="M420" t="s">
        <v>59</v>
      </c>
      <c r="N420" s="1">
        <v>46098</v>
      </c>
      <c r="O420" s="1">
        <v>46098</v>
      </c>
      <c r="P420" s="5">
        <f>Orders[[#This Row],[Quantity]]*Orders[[#This Row],[Unit Price]]</f>
        <v>2998</v>
      </c>
      <c r="Q420" s="5">
        <f>Orders[[#This Row],[Gross Sales]]*Orders[[#This Row],[Discount %]]</f>
        <v>599.6</v>
      </c>
      <c r="R420" s="5">
        <f>Orders[[#This Row],[Gross Sales]]-Orders[[#This Row],[Discount Amount]]</f>
        <v>2398.4</v>
      </c>
      <c r="S420">
        <f>IF(Orders[[#This Row],[Actual Delivery Date]]="","",Orders[[#This Row],[Actual Delivery Date]]-Orders[[#This Row],[Order Date]])</f>
        <v>7</v>
      </c>
      <c r="T420" t="str">
        <f>IF(Orders[[#This Row],[Actual Delivery Date]]="","Pending",IF(Orders[[#This Row],[Actual Delivery Date]]&lt;=Orders[[#This Row],[Expected Delivery Date]],"On Time","Late"))</f>
        <v>On Time</v>
      </c>
      <c r="U420" t="str">
        <f>TEXT(Orders[[#This Row],[Order Date]],"mmm")</f>
        <v>Mar</v>
      </c>
      <c r="V420" s="8">
        <f>DATE(YEAR(Orders[[#This Row],[Order Date]]),MONTH(Orders[[#This Row],[Order Date]]),1)</f>
        <v>46082</v>
      </c>
      <c r="W420" s="5">
        <f>IF(Orders[[#This Row],[Order Status]]="Cancelled",Orders[[#This Row],[Net Sales]],0)</f>
        <v>2398.4</v>
      </c>
    </row>
    <row r="421" spans="1:23" x14ac:dyDescent="0.3">
      <c r="A421" t="s">
        <v>946</v>
      </c>
      <c r="B421" s="7">
        <v>46138</v>
      </c>
      <c r="C421" t="s">
        <v>133</v>
      </c>
      <c r="D421" t="s">
        <v>422</v>
      </c>
      <c r="E421" t="s">
        <v>79</v>
      </c>
      <c r="F421" t="s">
        <v>108</v>
      </c>
      <c r="G421" t="s">
        <v>37</v>
      </c>
      <c r="H421" t="s">
        <v>38</v>
      </c>
      <c r="I421">
        <v>1</v>
      </c>
      <c r="J421" s="5">
        <v>699</v>
      </c>
      <c r="K421" s="2">
        <v>0</v>
      </c>
      <c r="L421" t="s">
        <v>46</v>
      </c>
      <c r="M421" t="s">
        <v>23</v>
      </c>
      <c r="N421" s="1">
        <v>46141</v>
      </c>
      <c r="O421" s="1">
        <v>46139</v>
      </c>
      <c r="P421" s="5">
        <f>Orders[[#This Row],[Quantity]]*Orders[[#This Row],[Unit Price]]</f>
        <v>699</v>
      </c>
      <c r="Q421" s="5">
        <f>Orders[[#This Row],[Gross Sales]]*Orders[[#This Row],[Discount %]]</f>
        <v>0</v>
      </c>
      <c r="R421" s="5">
        <f>Orders[[#This Row],[Gross Sales]]-Orders[[#This Row],[Discount Amount]]</f>
        <v>699</v>
      </c>
      <c r="S421">
        <f>IF(Orders[[#This Row],[Actual Delivery Date]]="","",Orders[[#This Row],[Actual Delivery Date]]-Orders[[#This Row],[Order Date]])</f>
        <v>1</v>
      </c>
      <c r="T421" t="str">
        <f>IF(Orders[[#This Row],[Actual Delivery Date]]="","Pending",IF(Orders[[#This Row],[Actual Delivery Date]]&lt;=Orders[[#This Row],[Expected Delivery Date]],"On Time","Late"))</f>
        <v>On Time</v>
      </c>
      <c r="U421" t="str">
        <f>TEXT(Orders[[#This Row],[Order Date]],"mmm")</f>
        <v>Apr</v>
      </c>
      <c r="V421" s="8">
        <f>DATE(YEAR(Orders[[#This Row],[Order Date]]),MONTH(Orders[[#This Row],[Order Date]]),1)</f>
        <v>46113</v>
      </c>
      <c r="W421" s="5">
        <f>IF(Orders[[#This Row],[Order Status]]="Cancelled",Orders[[#This Row],[Net Sales]],0)</f>
        <v>0</v>
      </c>
    </row>
    <row r="422" spans="1:23" x14ac:dyDescent="0.3">
      <c r="A422" t="s">
        <v>947</v>
      </c>
      <c r="B422" s="7">
        <v>46375</v>
      </c>
      <c r="C422" t="s">
        <v>196</v>
      </c>
      <c r="D422" t="s">
        <v>547</v>
      </c>
      <c r="E422" t="s">
        <v>27</v>
      </c>
      <c r="F422" t="s">
        <v>74</v>
      </c>
      <c r="G422" t="s">
        <v>100</v>
      </c>
      <c r="H422" t="s">
        <v>30</v>
      </c>
      <c r="I422">
        <v>1</v>
      </c>
      <c r="J422" s="5">
        <v>2499</v>
      </c>
      <c r="K422" s="2">
        <v>0.15</v>
      </c>
      <c r="L422" t="s">
        <v>31</v>
      </c>
      <c r="M422" t="s">
        <v>23</v>
      </c>
      <c r="N422" s="1">
        <v>46380</v>
      </c>
      <c r="O422" s="1">
        <v>46380</v>
      </c>
      <c r="P422" s="5">
        <f>Orders[[#This Row],[Quantity]]*Orders[[#This Row],[Unit Price]]</f>
        <v>2499</v>
      </c>
      <c r="Q422" s="5">
        <f>Orders[[#This Row],[Gross Sales]]*Orders[[#This Row],[Discount %]]</f>
        <v>374.84999999999997</v>
      </c>
      <c r="R422" s="5">
        <f>Orders[[#This Row],[Gross Sales]]-Orders[[#This Row],[Discount Amount]]</f>
        <v>2124.15</v>
      </c>
      <c r="S422">
        <f>IF(Orders[[#This Row],[Actual Delivery Date]]="","",Orders[[#This Row],[Actual Delivery Date]]-Orders[[#This Row],[Order Date]])</f>
        <v>5</v>
      </c>
      <c r="T422" t="str">
        <f>IF(Orders[[#This Row],[Actual Delivery Date]]="","Pending",IF(Orders[[#This Row],[Actual Delivery Date]]&lt;=Orders[[#This Row],[Expected Delivery Date]],"On Time","Late"))</f>
        <v>On Time</v>
      </c>
      <c r="U422" t="str">
        <f>TEXT(Orders[[#This Row],[Order Date]],"mmm")</f>
        <v>Dec</v>
      </c>
      <c r="V422" s="8">
        <f>DATE(YEAR(Orders[[#This Row],[Order Date]]),MONTH(Orders[[#This Row],[Order Date]]),1)</f>
        <v>46357</v>
      </c>
      <c r="W422" s="5">
        <f>IF(Orders[[#This Row],[Order Status]]="Cancelled",Orders[[#This Row],[Net Sales]],0)</f>
        <v>0</v>
      </c>
    </row>
    <row r="423" spans="1:23" x14ac:dyDescent="0.3">
      <c r="A423" t="s">
        <v>948</v>
      </c>
      <c r="B423" s="7">
        <v>46254</v>
      </c>
      <c r="C423" t="s">
        <v>291</v>
      </c>
      <c r="D423" t="s">
        <v>949</v>
      </c>
      <c r="E423" t="s">
        <v>79</v>
      </c>
      <c r="F423" t="s">
        <v>86</v>
      </c>
      <c r="G423" t="s">
        <v>81</v>
      </c>
      <c r="H423" t="s">
        <v>30</v>
      </c>
      <c r="I423">
        <v>2</v>
      </c>
      <c r="J423" s="5">
        <v>899</v>
      </c>
      <c r="K423" s="2">
        <v>0</v>
      </c>
      <c r="L423" t="s">
        <v>31</v>
      </c>
      <c r="M423" t="s">
        <v>47</v>
      </c>
      <c r="N423" s="1">
        <v>46260</v>
      </c>
      <c r="O423" s="1"/>
      <c r="P423" s="5">
        <f>Orders[[#This Row],[Quantity]]*Orders[[#This Row],[Unit Price]]</f>
        <v>1798</v>
      </c>
      <c r="Q423" s="5">
        <f>Orders[[#This Row],[Gross Sales]]*Orders[[#This Row],[Discount %]]</f>
        <v>0</v>
      </c>
      <c r="R423" s="5">
        <f>Orders[[#This Row],[Gross Sales]]-Orders[[#This Row],[Discount Amount]]</f>
        <v>1798</v>
      </c>
      <c r="S423" t="str">
        <f>IF(Orders[[#This Row],[Actual Delivery Date]]="","",Orders[[#This Row],[Actual Delivery Date]]-Orders[[#This Row],[Order Date]])</f>
        <v/>
      </c>
      <c r="T423" t="str">
        <f>IF(Orders[[#This Row],[Actual Delivery Date]]="","Pending",IF(Orders[[#This Row],[Actual Delivery Date]]&lt;=Orders[[#This Row],[Expected Delivery Date]],"On Time","Late"))</f>
        <v>Pending</v>
      </c>
      <c r="U423" t="str">
        <f>TEXT(Orders[[#This Row],[Order Date]],"mmm")</f>
        <v>Aug</v>
      </c>
      <c r="V423" s="8">
        <f>DATE(YEAR(Orders[[#This Row],[Order Date]]),MONTH(Orders[[#This Row],[Order Date]]),1)</f>
        <v>46235</v>
      </c>
      <c r="W423" s="5">
        <f>IF(Orders[[#This Row],[Order Status]]="Cancelled",Orders[[#This Row],[Net Sales]],0)</f>
        <v>0</v>
      </c>
    </row>
    <row r="424" spans="1:23" x14ac:dyDescent="0.3">
      <c r="A424" t="s">
        <v>950</v>
      </c>
      <c r="B424" s="7">
        <v>46248</v>
      </c>
      <c r="C424" t="s">
        <v>794</v>
      </c>
      <c r="D424" t="s">
        <v>382</v>
      </c>
      <c r="E424" t="s">
        <v>79</v>
      </c>
      <c r="F424" t="s">
        <v>86</v>
      </c>
      <c r="G424" t="s">
        <v>131</v>
      </c>
      <c r="H424" t="s">
        <v>38</v>
      </c>
      <c r="I424">
        <v>1</v>
      </c>
      <c r="J424" s="5">
        <v>899</v>
      </c>
      <c r="K424" s="2">
        <v>0.1</v>
      </c>
      <c r="L424" t="s">
        <v>46</v>
      </c>
      <c r="M424" t="s">
        <v>23</v>
      </c>
      <c r="N424" s="1">
        <v>46251</v>
      </c>
      <c r="O424" s="1">
        <v>46251</v>
      </c>
      <c r="P424" s="5">
        <f>Orders[[#This Row],[Quantity]]*Orders[[#This Row],[Unit Price]]</f>
        <v>899</v>
      </c>
      <c r="Q424" s="5">
        <f>Orders[[#This Row],[Gross Sales]]*Orders[[#This Row],[Discount %]]</f>
        <v>89.9</v>
      </c>
      <c r="R424" s="5">
        <f>Orders[[#This Row],[Gross Sales]]-Orders[[#This Row],[Discount Amount]]</f>
        <v>809.1</v>
      </c>
      <c r="S424">
        <f>IF(Orders[[#This Row],[Actual Delivery Date]]="","",Orders[[#This Row],[Actual Delivery Date]]-Orders[[#This Row],[Order Date]])</f>
        <v>3</v>
      </c>
      <c r="T424" t="str">
        <f>IF(Orders[[#This Row],[Actual Delivery Date]]="","Pending",IF(Orders[[#This Row],[Actual Delivery Date]]&lt;=Orders[[#This Row],[Expected Delivery Date]],"On Time","Late"))</f>
        <v>On Time</v>
      </c>
      <c r="U424" t="str">
        <f>TEXT(Orders[[#This Row],[Order Date]],"mmm")</f>
        <v>Aug</v>
      </c>
      <c r="V424" s="8">
        <f>DATE(YEAR(Orders[[#This Row],[Order Date]]),MONTH(Orders[[#This Row],[Order Date]]),1)</f>
        <v>46235</v>
      </c>
      <c r="W424" s="5">
        <f>IF(Orders[[#This Row],[Order Status]]="Cancelled",Orders[[#This Row],[Net Sales]],0)</f>
        <v>0</v>
      </c>
    </row>
    <row r="425" spans="1:23" x14ac:dyDescent="0.3">
      <c r="A425" t="s">
        <v>951</v>
      </c>
      <c r="B425" s="7">
        <v>46279</v>
      </c>
      <c r="C425" t="s">
        <v>952</v>
      </c>
      <c r="D425" t="s">
        <v>526</v>
      </c>
      <c r="E425" t="s">
        <v>27</v>
      </c>
      <c r="F425" t="s">
        <v>74</v>
      </c>
      <c r="G425" t="s">
        <v>147</v>
      </c>
      <c r="H425" t="s">
        <v>58</v>
      </c>
      <c r="I425">
        <v>1</v>
      </c>
      <c r="J425" s="5">
        <v>399</v>
      </c>
      <c r="K425" s="2">
        <v>0.2</v>
      </c>
      <c r="L425" t="s">
        <v>22</v>
      </c>
      <c r="M425" t="s">
        <v>23</v>
      </c>
      <c r="N425" s="1">
        <v>46284</v>
      </c>
      <c r="O425" s="1">
        <v>46283</v>
      </c>
      <c r="P425" s="5">
        <f>Orders[[#This Row],[Quantity]]*Orders[[#This Row],[Unit Price]]</f>
        <v>399</v>
      </c>
      <c r="Q425" s="5">
        <f>Orders[[#This Row],[Gross Sales]]*Orders[[#This Row],[Discount %]]</f>
        <v>79.800000000000011</v>
      </c>
      <c r="R425" s="5">
        <f>Orders[[#This Row],[Gross Sales]]-Orders[[#This Row],[Discount Amount]]</f>
        <v>319.2</v>
      </c>
      <c r="S425">
        <f>IF(Orders[[#This Row],[Actual Delivery Date]]="","",Orders[[#This Row],[Actual Delivery Date]]-Orders[[#This Row],[Order Date]])</f>
        <v>4</v>
      </c>
      <c r="T425" t="str">
        <f>IF(Orders[[#This Row],[Actual Delivery Date]]="","Pending",IF(Orders[[#This Row],[Actual Delivery Date]]&lt;=Orders[[#This Row],[Expected Delivery Date]],"On Time","Late"))</f>
        <v>On Time</v>
      </c>
      <c r="U425" t="str">
        <f>TEXT(Orders[[#This Row],[Order Date]],"mmm")</f>
        <v>Sep</v>
      </c>
      <c r="V425" s="8">
        <f>DATE(YEAR(Orders[[#This Row],[Order Date]]),MONTH(Orders[[#This Row],[Order Date]]),1)</f>
        <v>46266</v>
      </c>
      <c r="W425" s="5">
        <f>IF(Orders[[#This Row],[Order Status]]="Cancelled",Orders[[#This Row],[Net Sales]],0)</f>
        <v>0</v>
      </c>
    </row>
    <row r="426" spans="1:23" x14ac:dyDescent="0.3">
      <c r="A426" t="s">
        <v>953</v>
      </c>
      <c r="B426" s="7">
        <v>46151</v>
      </c>
      <c r="C426" t="s">
        <v>89</v>
      </c>
      <c r="D426" t="s">
        <v>954</v>
      </c>
      <c r="E426" t="s">
        <v>79</v>
      </c>
      <c r="F426" t="s">
        <v>108</v>
      </c>
      <c r="G426" t="s">
        <v>147</v>
      </c>
      <c r="H426" t="s">
        <v>58</v>
      </c>
      <c r="I426">
        <v>1</v>
      </c>
      <c r="J426" s="5">
        <v>399</v>
      </c>
      <c r="K426" s="2">
        <v>0.05</v>
      </c>
      <c r="L426" t="s">
        <v>39</v>
      </c>
      <c r="M426" t="s">
        <v>23</v>
      </c>
      <c r="N426" s="1">
        <v>46153</v>
      </c>
      <c r="O426" s="1">
        <v>46153</v>
      </c>
      <c r="P426" s="5">
        <f>Orders[[#This Row],[Quantity]]*Orders[[#This Row],[Unit Price]]</f>
        <v>399</v>
      </c>
      <c r="Q426" s="5">
        <f>Orders[[#This Row],[Gross Sales]]*Orders[[#This Row],[Discount %]]</f>
        <v>19.950000000000003</v>
      </c>
      <c r="R426" s="5">
        <f>Orders[[#This Row],[Gross Sales]]-Orders[[#This Row],[Discount Amount]]</f>
        <v>379.05</v>
      </c>
      <c r="S426">
        <f>IF(Orders[[#This Row],[Actual Delivery Date]]="","",Orders[[#This Row],[Actual Delivery Date]]-Orders[[#This Row],[Order Date]])</f>
        <v>2</v>
      </c>
      <c r="T426" t="str">
        <f>IF(Orders[[#This Row],[Actual Delivery Date]]="","Pending",IF(Orders[[#This Row],[Actual Delivery Date]]&lt;=Orders[[#This Row],[Expected Delivery Date]],"On Time","Late"))</f>
        <v>On Time</v>
      </c>
      <c r="U426" t="str">
        <f>TEXT(Orders[[#This Row],[Order Date]],"mmm")</f>
        <v>May</v>
      </c>
      <c r="V426" s="8">
        <f>DATE(YEAR(Orders[[#This Row],[Order Date]]),MONTH(Orders[[#This Row],[Order Date]]),1)</f>
        <v>46143</v>
      </c>
      <c r="W426" s="5">
        <f>IF(Orders[[#This Row],[Order Status]]="Cancelled",Orders[[#This Row],[Net Sales]],0)</f>
        <v>0</v>
      </c>
    </row>
    <row r="427" spans="1:23" x14ac:dyDescent="0.3">
      <c r="A427" t="s">
        <v>955</v>
      </c>
      <c r="B427" s="7">
        <v>46217</v>
      </c>
      <c r="C427" t="s">
        <v>370</v>
      </c>
      <c r="D427" t="s">
        <v>702</v>
      </c>
      <c r="E427" t="s">
        <v>79</v>
      </c>
      <c r="F427" t="s">
        <v>108</v>
      </c>
      <c r="G427" t="s">
        <v>228</v>
      </c>
      <c r="H427" t="s">
        <v>58</v>
      </c>
      <c r="I427">
        <v>1</v>
      </c>
      <c r="J427" s="5">
        <v>1499</v>
      </c>
      <c r="K427" s="2">
        <v>0.05</v>
      </c>
      <c r="L427" t="s">
        <v>46</v>
      </c>
      <c r="M427" t="s">
        <v>47</v>
      </c>
      <c r="N427" s="1">
        <v>46224</v>
      </c>
      <c r="O427" s="1"/>
      <c r="P427" s="5">
        <f>Orders[[#This Row],[Quantity]]*Orders[[#This Row],[Unit Price]]</f>
        <v>1499</v>
      </c>
      <c r="Q427" s="5">
        <f>Orders[[#This Row],[Gross Sales]]*Orders[[#This Row],[Discount %]]</f>
        <v>74.95</v>
      </c>
      <c r="R427" s="5">
        <f>Orders[[#This Row],[Gross Sales]]-Orders[[#This Row],[Discount Amount]]</f>
        <v>1424.05</v>
      </c>
      <c r="S427" t="str">
        <f>IF(Orders[[#This Row],[Actual Delivery Date]]="","",Orders[[#This Row],[Actual Delivery Date]]-Orders[[#This Row],[Order Date]])</f>
        <v/>
      </c>
      <c r="T427" t="str">
        <f>IF(Orders[[#This Row],[Actual Delivery Date]]="","Pending",IF(Orders[[#This Row],[Actual Delivery Date]]&lt;=Orders[[#This Row],[Expected Delivery Date]],"On Time","Late"))</f>
        <v>Pending</v>
      </c>
      <c r="U427" t="str">
        <f>TEXT(Orders[[#This Row],[Order Date]],"mmm")</f>
        <v>Jul</v>
      </c>
      <c r="V427" s="8">
        <f>DATE(YEAR(Orders[[#This Row],[Order Date]]),MONTH(Orders[[#This Row],[Order Date]]),1)</f>
        <v>46204</v>
      </c>
      <c r="W427" s="5">
        <f>IF(Orders[[#This Row],[Order Status]]="Cancelled",Orders[[#This Row],[Net Sales]],0)</f>
        <v>0</v>
      </c>
    </row>
    <row r="428" spans="1:23" x14ac:dyDescent="0.3">
      <c r="A428" t="s">
        <v>956</v>
      </c>
      <c r="B428" s="7">
        <v>46180</v>
      </c>
      <c r="C428" t="s">
        <v>593</v>
      </c>
      <c r="D428" t="s">
        <v>271</v>
      </c>
      <c r="E428" t="s">
        <v>27</v>
      </c>
      <c r="F428" t="s">
        <v>56</v>
      </c>
      <c r="G428" t="s">
        <v>160</v>
      </c>
      <c r="H428" t="s">
        <v>45</v>
      </c>
      <c r="I428">
        <v>1</v>
      </c>
      <c r="J428" s="5">
        <v>1499</v>
      </c>
      <c r="K428" s="2">
        <v>0.15</v>
      </c>
      <c r="L428" t="s">
        <v>46</v>
      </c>
      <c r="M428" t="s">
        <v>59</v>
      </c>
      <c r="N428" s="1">
        <v>46183</v>
      </c>
      <c r="O428" s="1">
        <v>46181</v>
      </c>
      <c r="P428" s="5">
        <f>Orders[[#This Row],[Quantity]]*Orders[[#This Row],[Unit Price]]</f>
        <v>1499</v>
      </c>
      <c r="Q428" s="5">
        <f>Orders[[#This Row],[Gross Sales]]*Orders[[#This Row],[Discount %]]</f>
        <v>224.85</v>
      </c>
      <c r="R428" s="5">
        <f>Orders[[#This Row],[Gross Sales]]-Orders[[#This Row],[Discount Amount]]</f>
        <v>1274.1500000000001</v>
      </c>
      <c r="S428">
        <f>IF(Orders[[#This Row],[Actual Delivery Date]]="","",Orders[[#This Row],[Actual Delivery Date]]-Orders[[#This Row],[Order Date]])</f>
        <v>1</v>
      </c>
      <c r="T428" t="str">
        <f>IF(Orders[[#This Row],[Actual Delivery Date]]="","Pending",IF(Orders[[#This Row],[Actual Delivery Date]]&lt;=Orders[[#This Row],[Expected Delivery Date]],"On Time","Late"))</f>
        <v>On Time</v>
      </c>
      <c r="U428" t="str">
        <f>TEXT(Orders[[#This Row],[Order Date]],"mmm")</f>
        <v>Jun</v>
      </c>
      <c r="V428" s="8">
        <f>DATE(YEAR(Orders[[#This Row],[Order Date]]),MONTH(Orders[[#This Row],[Order Date]]),1)</f>
        <v>46174</v>
      </c>
      <c r="W428" s="5">
        <f>IF(Orders[[#This Row],[Order Status]]="Cancelled",Orders[[#This Row],[Net Sales]],0)</f>
        <v>1274.1500000000001</v>
      </c>
    </row>
    <row r="429" spans="1:23" x14ac:dyDescent="0.3">
      <c r="A429" t="s">
        <v>957</v>
      </c>
      <c r="B429" s="7">
        <v>46278</v>
      </c>
      <c r="C429" t="s">
        <v>684</v>
      </c>
      <c r="D429" t="s">
        <v>305</v>
      </c>
      <c r="E429" t="s">
        <v>35</v>
      </c>
      <c r="F429" t="s">
        <v>135</v>
      </c>
      <c r="G429" t="s">
        <v>57</v>
      </c>
      <c r="H429" t="s">
        <v>58</v>
      </c>
      <c r="I429">
        <v>2</v>
      </c>
      <c r="J429" s="5">
        <v>499</v>
      </c>
      <c r="K429" s="2">
        <v>0</v>
      </c>
      <c r="L429" t="s">
        <v>22</v>
      </c>
      <c r="M429" t="s">
        <v>23</v>
      </c>
      <c r="N429" s="1">
        <v>46281</v>
      </c>
      <c r="O429" s="1">
        <v>46281</v>
      </c>
      <c r="P429" s="5">
        <f>Orders[[#This Row],[Quantity]]*Orders[[#This Row],[Unit Price]]</f>
        <v>998</v>
      </c>
      <c r="Q429" s="5">
        <f>Orders[[#This Row],[Gross Sales]]*Orders[[#This Row],[Discount %]]</f>
        <v>0</v>
      </c>
      <c r="R429" s="5">
        <f>Orders[[#This Row],[Gross Sales]]-Orders[[#This Row],[Discount Amount]]</f>
        <v>998</v>
      </c>
      <c r="S429">
        <f>IF(Orders[[#This Row],[Actual Delivery Date]]="","",Orders[[#This Row],[Actual Delivery Date]]-Orders[[#This Row],[Order Date]])</f>
        <v>3</v>
      </c>
      <c r="T429" t="str">
        <f>IF(Orders[[#This Row],[Actual Delivery Date]]="","Pending",IF(Orders[[#This Row],[Actual Delivery Date]]&lt;=Orders[[#This Row],[Expected Delivery Date]],"On Time","Late"))</f>
        <v>On Time</v>
      </c>
      <c r="U429" t="str">
        <f>TEXT(Orders[[#This Row],[Order Date]],"mmm")</f>
        <v>Sep</v>
      </c>
      <c r="V429" s="8">
        <f>DATE(YEAR(Orders[[#This Row],[Order Date]]),MONTH(Orders[[#This Row],[Order Date]]),1)</f>
        <v>46266</v>
      </c>
      <c r="W429" s="5">
        <f>IF(Orders[[#This Row],[Order Status]]="Cancelled",Orders[[#This Row],[Net Sales]],0)</f>
        <v>0</v>
      </c>
    </row>
    <row r="430" spans="1:23" x14ac:dyDescent="0.3">
      <c r="A430" t="s">
        <v>958</v>
      </c>
      <c r="B430" s="7">
        <v>46330</v>
      </c>
      <c r="C430" t="s">
        <v>783</v>
      </c>
      <c r="D430" t="s">
        <v>241</v>
      </c>
      <c r="E430" t="s">
        <v>79</v>
      </c>
      <c r="F430" t="s">
        <v>170</v>
      </c>
      <c r="G430" t="s">
        <v>44</v>
      </c>
      <c r="H430" t="s">
        <v>45</v>
      </c>
      <c r="I430">
        <v>1</v>
      </c>
      <c r="J430" s="5">
        <v>1799</v>
      </c>
      <c r="K430" s="2">
        <v>0.2</v>
      </c>
      <c r="L430" t="s">
        <v>46</v>
      </c>
      <c r="M430" t="s">
        <v>47</v>
      </c>
      <c r="N430" s="1">
        <v>46337</v>
      </c>
      <c r="O430" s="1"/>
      <c r="P430" s="5">
        <f>Orders[[#This Row],[Quantity]]*Orders[[#This Row],[Unit Price]]</f>
        <v>1799</v>
      </c>
      <c r="Q430" s="5">
        <f>Orders[[#This Row],[Gross Sales]]*Orders[[#This Row],[Discount %]]</f>
        <v>359.8</v>
      </c>
      <c r="R430" s="5">
        <f>Orders[[#This Row],[Gross Sales]]-Orders[[#This Row],[Discount Amount]]</f>
        <v>1439.2</v>
      </c>
      <c r="S430" t="str">
        <f>IF(Orders[[#This Row],[Actual Delivery Date]]="","",Orders[[#This Row],[Actual Delivery Date]]-Orders[[#This Row],[Order Date]])</f>
        <v/>
      </c>
      <c r="T430" t="str">
        <f>IF(Orders[[#This Row],[Actual Delivery Date]]="","Pending",IF(Orders[[#This Row],[Actual Delivery Date]]&lt;=Orders[[#This Row],[Expected Delivery Date]],"On Time","Late"))</f>
        <v>Pending</v>
      </c>
      <c r="U430" t="str">
        <f>TEXT(Orders[[#This Row],[Order Date]],"mmm")</f>
        <v>Nov</v>
      </c>
      <c r="V430" s="8">
        <f>DATE(YEAR(Orders[[#This Row],[Order Date]]),MONTH(Orders[[#This Row],[Order Date]]),1)</f>
        <v>46327</v>
      </c>
      <c r="W430" s="5">
        <f>IF(Orders[[#This Row],[Order Status]]="Cancelled",Orders[[#This Row],[Net Sales]],0)</f>
        <v>0</v>
      </c>
    </row>
    <row r="431" spans="1:23" x14ac:dyDescent="0.3">
      <c r="A431" t="s">
        <v>959</v>
      </c>
      <c r="B431" s="7">
        <v>46357</v>
      </c>
      <c r="C431" t="s">
        <v>960</v>
      </c>
      <c r="D431" t="s">
        <v>961</v>
      </c>
      <c r="E431" t="s">
        <v>18</v>
      </c>
      <c r="F431" t="s">
        <v>95</v>
      </c>
      <c r="G431" t="s">
        <v>104</v>
      </c>
      <c r="H431" t="s">
        <v>38</v>
      </c>
      <c r="I431">
        <v>1</v>
      </c>
      <c r="J431" s="5">
        <v>999</v>
      </c>
      <c r="K431" s="2">
        <v>0.05</v>
      </c>
      <c r="L431" t="s">
        <v>39</v>
      </c>
      <c r="M431" t="s">
        <v>59</v>
      </c>
      <c r="N431" s="1">
        <v>46363</v>
      </c>
      <c r="O431" s="1">
        <v>46360</v>
      </c>
      <c r="P431" s="5">
        <f>Orders[[#This Row],[Quantity]]*Orders[[#This Row],[Unit Price]]</f>
        <v>999</v>
      </c>
      <c r="Q431" s="5">
        <f>Orders[[#This Row],[Gross Sales]]*Orders[[#This Row],[Discount %]]</f>
        <v>49.95</v>
      </c>
      <c r="R431" s="5">
        <f>Orders[[#This Row],[Gross Sales]]-Orders[[#This Row],[Discount Amount]]</f>
        <v>949.05</v>
      </c>
      <c r="S431">
        <f>IF(Orders[[#This Row],[Actual Delivery Date]]="","",Orders[[#This Row],[Actual Delivery Date]]-Orders[[#This Row],[Order Date]])</f>
        <v>3</v>
      </c>
      <c r="T431" t="str">
        <f>IF(Orders[[#This Row],[Actual Delivery Date]]="","Pending",IF(Orders[[#This Row],[Actual Delivery Date]]&lt;=Orders[[#This Row],[Expected Delivery Date]],"On Time","Late"))</f>
        <v>On Time</v>
      </c>
      <c r="U431" t="str">
        <f>TEXT(Orders[[#This Row],[Order Date]],"mmm")</f>
        <v>Dec</v>
      </c>
      <c r="V431" s="8">
        <f>DATE(YEAR(Orders[[#This Row],[Order Date]]),MONTH(Orders[[#This Row],[Order Date]]),1)</f>
        <v>46357</v>
      </c>
      <c r="W431" s="5">
        <f>IF(Orders[[#This Row],[Order Status]]="Cancelled",Orders[[#This Row],[Net Sales]],0)</f>
        <v>949.05</v>
      </c>
    </row>
    <row r="432" spans="1:23" x14ac:dyDescent="0.3">
      <c r="A432" t="s">
        <v>962</v>
      </c>
      <c r="B432" s="7">
        <v>46105</v>
      </c>
      <c r="C432" t="s">
        <v>963</v>
      </c>
      <c r="D432" t="s">
        <v>964</v>
      </c>
      <c r="E432" t="s">
        <v>18</v>
      </c>
      <c r="F432" t="s">
        <v>19</v>
      </c>
      <c r="G432" t="s">
        <v>180</v>
      </c>
      <c r="H432" t="s">
        <v>58</v>
      </c>
      <c r="I432">
        <v>2</v>
      </c>
      <c r="J432" s="5">
        <v>599</v>
      </c>
      <c r="K432" s="2">
        <v>0.2</v>
      </c>
      <c r="L432" t="s">
        <v>22</v>
      </c>
      <c r="M432" t="s">
        <v>47</v>
      </c>
      <c r="N432" s="1">
        <v>46111</v>
      </c>
      <c r="O432" s="1"/>
      <c r="P432" s="5">
        <f>Orders[[#This Row],[Quantity]]*Orders[[#This Row],[Unit Price]]</f>
        <v>1198</v>
      </c>
      <c r="Q432" s="5">
        <f>Orders[[#This Row],[Gross Sales]]*Orders[[#This Row],[Discount %]]</f>
        <v>239.60000000000002</v>
      </c>
      <c r="R432" s="5">
        <f>Orders[[#This Row],[Gross Sales]]-Orders[[#This Row],[Discount Amount]]</f>
        <v>958.4</v>
      </c>
      <c r="S432" t="str">
        <f>IF(Orders[[#This Row],[Actual Delivery Date]]="","",Orders[[#This Row],[Actual Delivery Date]]-Orders[[#This Row],[Order Date]])</f>
        <v/>
      </c>
      <c r="T432" t="str">
        <f>IF(Orders[[#This Row],[Actual Delivery Date]]="","Pending",IF(Orders[[#This Row],[Actual Delivery Date]]&lt;=Orders[[#This Row],[Expected Delivery Date]],"On Time","Late"))</f>
        <v>Pending</v>
      </c>
      <c r="U432" t="str">
        <f>TEXT(Orders[[#This Row],[Order Date]],"mmm")</f>
        <v>Mar</v>
      </c>
      <c r="V432" s="8">
        <f>DATE(YEAR(Orders[[#This Row],[Order Date]]),MONTH(Orders[[#This Row],[Order Date]]),1)</f>
        <v>46082</v>
      </c>
      <c r="W432" s="5">
        <f>IF(Orders[[#This Row],[Order Status]]="Cancelled",Orders[[#This Row],[Net Sales]],0)</f>
        <v>0</v>
      </c>
    </row>
    <row r="433" spans="1:23" x14ac:dyDescent="0.3">
      <c r="A433" t="s">
        <v>965</v>
      </c>
      <c r="B433" s="7">
        <v>46188</v>
      </c>
      <c r="C433" t="s">
        <v>867</v>
      </c>
      <c r="D433" t="s">
        <v>966</v>
      </c>
      <c r="E433" t="s">
        <v>35</v>
      </c>
      <c r="F433" t="s">
        <v>135</v>
      </c>
      <c r="G433" t="s">
        <v>153</v>
      </c>
      <c r="H433" t="s">
        <v>45</v>
      </c>
      <c r="I433">
        <v>1</v>
      </c>
      <c r="J433" s="5">
        <v>1999</v>
      </c>
      <c r="K433" s="2">
        <v>0.15</v>
      </c>
      <c r="L433" t="s">
        <v>39</v>
      </c>
      <c r="M433" t="s">
        <v>82</v>
      </c>
      <c r="N433" s="1">
        <v>46193</v>
      </c>
      <c r="O433" s="1">
        <v>46189</v>
      </c>
      <c r="P433" s="5">
        <f>Orders[[#This Row],[Quantity]]*Orders[[#This Row],[Unit Price]]</f>
        <v>1999</v>
      </c>
      <c r="Q433" s="5">
        <f>Orders[[#This Row],[Gross Sales]]*Orders[[#This Row],[Discount %]]</f>
        <v>299.84999999999997</v>
      </c>
      <c r="R433" s="5">
        <f>Orders[[#This Row],[Gross Sales]]-Orders[[#This Row],[Discount Amount]]</f>
        <v>1699.15</v>
      </c>
      <c r="S433">
        <f>IF(Orders[[#This Row],[Actual Delivery Date]]="","",Orders[[#This Row],[Actual Delivery Date]]-Orders[[#This Row],[Order Date]])</f>
        <v>1</v>
      </c>
      <c r="T433" t="str">
        <f>IF(Orders[[#This Row],[Actual Delivery Date]]="","Pending",IF(Orders[[#This Row],[Actual Delivery Date]]&lt;=Orders[[#This Row],[Expected Delivery Date]],"On Time","Late"))</f>
        <v>On Time</v>
      </c>
      <c r="U433" t="str">
        <f>TEXT(Orders[[#This Row],[Order Date]],"mmm")</f>
        <v>Jun</v>
      </c>
      <c r="V433" s="8">
        <f>DATE(YEAR(Orders[[#This Row],[Order Date]]),MONTH(Orders[[#This Row],[Order Date]]),1)</f>
        <v>46174</v>
      </c>
      <c r="W433" s="5">
        <f>IF(Orders[[#This Row],[Order Status]]="Cancelled",Orders[[#This Row],[Net Sales]],0)</f>
        <v>0</v>
      </c>
    </row>
    <row r="434" spans="1:23" x14ac:dyDescent="0.3">
      <c r="A434" t="s">
        <v>967</v>
      </c>
      <c r="B434" s="7">
        <v>46292</v>
      </c>
      <c r="C434" t="s">
        <v>320</v>
      </c>
      <c r="D434" t="s">
        <v>968</v>
      </c>
      <c r="E434" t="s">
        <v>27</v>
      </c>
      <c r="F434" t="s">
        <v>28</v>
      </c>
      <c r="G434" t="s">
        <v>186</v>
      </c>
      <c r="H434" t="s">
        <v>21</v>
      </c>
      <c r="I434">
        <v>1</v>
      </c>
      <c r="J434" s="5">
        <v>1999</v>
      </c>
      <c r="K434" s="2">
        <v>0.05</v>
      </c>
      <c r="L434" t="s">
        <v>31</v>
      </c>
      <c r="M434" t="s">
        <v>47</v>
      </c>
      <c r="N434" s="1">
        <v>46294</v>
      </c>
      <c r="O434" s="1"/>
      <c r="P434" s="5">
        <f>Orders[[#This Row],[Quantity]]*Orders[[#This Row],[Unit Price]]</f>
        <v>1999</v>
      </c>
      <c r="Q434" s="5">
        <f>Orders[[#This Row],[Gross Sales]]*Orders[[#This Row],[Discount %]]</f>
        <v>99.95</v>
      </c>
      <c r="R434" s="5">
        <f>Orders[[#This Row],[Gross Sales]]-Orders[[#This Row],[Discount Amount]]</f>
        <v>1899.05</v>
      </c>
      <c r="S434" t="str">
        <f>IF(Orders[[#This Row],[Actual Delivery Date]]="","",Orders[[#This Row],[Actual Delivery Date]]-Orders[[#This Row],[Order Date]])</f>
        <v/>
      </c>
      <c r="T434" t="str">
        <f>IF(Orders[[#This Row],[Actual Delivery Date]]="","Pending",IF(Orders[[#This Row],[Actual Delivery Date]]&lt;=Orders[[#This Row],[Expected Delivery Date]],"On Time","Late"))</f>
        <v>Pending</v>
      </c>
      <c r="U434" t="str">
        <f>TEXT(Orders[[#This Row],[Order Date]],"mmm")</f>
        <v>Sep</v>
      </c>
      <c r="V434" s="8">
        <f>DATE(YEAR(Orders[[#This Row],[Order Date]]),MONTH(Orders[[#This Row],[Order Date]]),1)</f>
        <v>46266</v>
      </c>
      <c r="W434" s="5">
        <f>IF(Orders[[#This Row],[Order Status]]="Cancelled",Orders[[#This Row],[Net Sales]],0)</f>
        <v>0</v>
      </c>
    </row>
    <row r="435" spans="1:23" x14ac:dyDescent="0.3">
      <c r="A435" t="s">
        <v>969</v>
      </c>
      <c r="B435" s="7">
        <v>46241</v>
      </c>
      <c r="C435" t="s">
        <v>520</v>
      </c>
      <c r="D435" t="s">
        <v>345</v>
      </c>
      <c r="E435" t="s">
        <v>18</v>
      </c>
      <c r="F435" t="s">
        <v>43</v>
      </c>
      <c r="G435" t="s">
        <v>91</v>
      </c>
      <c r="H435" t="s">
        <v>30</v>
      </c>
      <c r="I435">
        <v>2</v>
      </c>
      <c r="J435" s="5">
        <v>3299</v>
      </c>
      <c r="K435" s="2">
        <v>0.1</v>
      </c>
      <c r="L435" t="s">
        <v>46</v>
      </c>
      <c r="M435" t="s">
        <v>47</v>
      </c>
      <c r="N435" s="1">
        <v>46247</v>
      </c>
      <c r="O435" s="1"/>
      <c r="P435" s="5">
        <f>Orders[[#This Row],[Quantity]]*Orders[[#This Row],[Unit Price]]</f>
        <v>6598</v>
      </c>
      <c r="Q435" s="5">
        <f>Orders[[#This Row],[Gross Sales]]*Orders[[#This Row],[Discount %]]</f>
        <v>659.80000000000007</v>
      </c>
      <c r="R435" s="5">
        <f>Orders[[#This Row],[Gross Sales]]-Orders[[#This Row],[Discount Amount]]</f>
        <v>5938.2</v>
      </c>
      <c r="S435" t="str">
        <f>IF(Orders[[#This Row],[Actual Delivery Date]]="","",Orders[[#This Row],[Actual Delivery Date]]-Orders[[#This Row],[Order Date]])</f>
        <v/>
      </c>
      <c r="T435" t="str">
        <f>IF(Orders[[#This Row],[Actual Delivery Date]]="","Pending",IF(Orders[[#This Row],[Actual Delivery Date]]&lt;=Orders[[#This Row],[Expected Delivery Date]],"On Time","Late"))</f>
        <v>Pending</v>
      </c>
      <c r="U435" t="str">
        <f>TEXT(Orders[[#This Row],[Order Date]],"mmm")</f>
        <v>Aug</v>
      </c>
      <c r="V435" s="8">
        <f>DATE(YEAR(Orders[[#This Row],[Order Date]]),MONTH(Orders[[#This Row],[Order Date]]),1)</f>
        <v>46235</v>
      </c>
      <c r="W435" s="5">
        <f>IF(Orders[[#This Row],[Order Status]]="Cancelled",Orders[[#This Row],[Net Sales]],0)</f>
        <v>0</v>
      </c>
    </row>
    <row r="436" spans="1:23" x14ac:dyDescent="0.3">
      <c r="A436" t="s">
        <v>970</v>
      </c>
      <c r="B436" s="7">
        <v>46335</v>
      </c>
      <c r="C436" t="s">
        <v>971</v>
      </c>
      <c r="D436" t="s">
        <v>173</v>
      </c>
      <c r="E436" t="s">
        <v>79</v>
      </c>
      <c r="F436" t="s">
        <v>170</v>
      </c>
      <c r="G436" t="s">
        <v>180</v>
      </c>
      <c r="H436" t="s">
        <v>58</v>
      </c>
      <c r="I436">
        <v>1</v>
      </c>
      <c r="J436" s="5">
        <v>599</v>
      </c>
      <c r="K436" s="2">
        <v>0.1</v>
      </c>
      <c r="L436" t="s">
        <v>31</v>
      </c>
      <c r="M436" t="s">
        <v>23</v>
      </c>
      <c r="N436" s="1">
        <v>46337</v>
      </c>
      <c r="O436" s="1">
        <v>46336</v>
      </c>
      <c r="P436" s="5">
        <f>Orders[[#This Row],[Quantity]]*Orders[[#This Row],[Unit Price]]</f>
        <v>599</v>
      </c>
      <c r="Q436" s="5">
        <f>Orders[[#This Row],[Gross Sales]]*Orders[[#This Row],[Discount %]]</f>
        <v>59.900000000000006</v>
      </c>
      <c r="R436" s="5">
        <f>Orders[[#This Row],[Gross Sales]]-Orders[[#This Row],[Discount Amount]]</f>
        <v>539.1</v>
      </c>
      <c r="S436">
        <f>IF(Orders[[#This Row],[Actual Delivery Date]]="","",Orders[[#This Row],[Actual Delivery Date]]-Orders[[#This Row],[Order Date]])</f>
        <v>1</v>
      </c>
      <c r="T436" t="str">
        <f>IF(Orders[[#This Row],[Actual Delivery Date]]="","Pending",IF(Orders[[#This Row],[Actual Delivery Date]]&lt;=Orders[[#This Row],[Expected Delivery Date]],"On Time","Late"))</f>
        <v>On Time</v>
      </c>
      <c r="U436" t="str">
        <f>TEXT(Orders[[#This Row],[Order Date]],"mmm")</f>
        <v>Nov</v>
      </c>
      <c r="V436" s="8">
        <f>DATE(YEAR(Orders[[#This Row],[Order Date]]),MONTH(Orders[[#This Row],[Order Date]]),1)</f>
        <v>46327</v>
      </c>
      <c r="W436" s="5">
        <f>IF(Orders[[#This Row],[Order Status]]="Cancelled",Orders[[#This Row],[Net Sales]],0)</f>
        <v>0</v>
      </c>
    </row>
    <row r="437" spans="1:23" x14ac:dyDescent="0.3">
      <c r="A437" t="s">
        <v>972</v>
      </c>
      <c r="B437" s="7">
        <v>46309</v>
      </c>
      <c r="C437" t="s">
        <v>931</v>
      </c>
      <c r="D437" t="s">
        <v>509</v>
      </c>
      <c r="E437" t="s">
        <v>79</v>
      </c>
      <c r="F437" t="s">
        <v>86</v>
      </c>
      <c r="G437" t="s">
        <v>186</v>
      </c>
      <c r="H437" t="s">
        <v>21</v>
      </c>
      <c r="I437">
        <v>3</v>
      </c>
      <c r="J437" s="5">
        <v>1999</v>
      </c>
      <c r="K437" s="2">
        <v>0.05</v>
      </c>
      <c r="L437" t="s">
        <v>39</v>
      </c>
      <c r="M437" t="s">
        <v>59</v>
      </c>
      <c r="N437" s="1">
        <v>46312</v>
      </c>
      <c r="O437" s="1">
        <v>46311</v>
      </c>
      <c r="P437" s="5">
        <f>Orders[[#This Row],[Quantity]]*Orders[[#This Row],[Unit Price]]</f>
        <v>5997</v>
      </c>
      <c r="Q437" s="5">
        <f>Orders[[#This Row],[Gross Sales]]*Orders[[#This Row],[Discount %]]</f>
        <v>299.85000000000002</v>
      </c>
      <c r="R437" s="5">
        <f>Orders[[#This Row],[Gross Sales]]-Orders[[#This Row],[Discount Amount]]</f>
        <v>5697.15</v>
      </c>
      <c r="S437">
        <f>IF(Orders[[#This Row],[Actual Delivery Date]]="","",Orders[[#This Row],[Actual Delivery Date]]-Orders[[#This Row],[Order Date]])</f>
        <v>2</v>
      </c>
      <c r="T437" t="str">
        <f>IF(Orders[[#This Row],[Actual Delivery Date]]="","Pending",IF(Orders[[#This Row],[Actual Delivery Date]]&lt;=Orders[[#This Row],[Expected Delivery Date]],"On Time","Late"))</f>
        <v>On Time</v>
      </c>
      <c r="U437" t="str">
        <f>TEXT(Orders[[#This Row],[Order Date]],"mmm")</f>
        <v>Oct</v>
      </c>
      <c r="V437" s="8">
        <f>DATE(YEAR(Orders[[#This Row],[Order Date]]),MONTH(Orders[[#This Row],[Order Date]]),1)</f>
        <v>46296</v>
      </c>
      <c r="W437" s="5">
        <f>IF(Orders[[#This Row],[Order Status]]="Cancelled",Orders[[#This Row],[Net Sales]],0)</f>
        <v>5697.15</v>
      </c>
    </row>
    <row r="438" spans="1:23" x14ac:dyDescent="0.3">
      <c r="A438" t="s">
        <v>973</v>
      </c>
      <c r="B438" s="7">
        <v>46374</v>
      </c>
      <c r="C438" t="s">
        <v>162</v>
      </c>
      <c r="D438" t="s">
        <v>716</v>
      </c>
      <c r="E438" t="s">
        <v>35</v>
      </c>
      <c r="F438" t="s">
        <v>36</v>
      </c>
      <c r="G438" t="s">
        <v>75</v>
      </c>
      <c r="H438" t="s">
        <v>45</v>
      </c>
      <c r="I438">
        <v>1</v>
      </c>
      <c r="J438" s="5">
        <v>799</v>
      </c>
      <c r="K438" s="2">
        <v>0.15</v>
      </c>
      <c r="L438" t="s">
        <v>22</v>
      </c>
      <c r="M438" t="s">
        <v>47</v>
      </c>
      <c r="N438" s="1">
        <v>46376</v>
      </c>
      <c r="O438" s="1"/>
      <c r="P438" s="5">
        <f>Orders[[#This Row],[Quantity]]*Orders[[#This Row],[Unit Price]]</f>
        <v>799</v>
      </c>
      <c r="Q438" s="5">
        <f>Orders[[#This Row],[Gross Sales]]*Orders[[#This Row],[Discount %]]</f>
        <v>119.85</v>
      </c>
      <c r="R438" s="5">
        <f>Orders[[#This Row],[Gross Sales]]-Orders[[#This Row],[Discount Amount]]</f>
        <v>679.15</v>
      </c>
      <c r="S438" t="str">
        <f>IF(Orders[[#This Row],[Actual Delivery Date]]="","",Orders[[#This Row],[Actual Delivery Date]]-Orders[[#This Row],[Order Date]])</f>
        <v/>
      </c>
      <c r="T438" t="str">
        <f>IF(Orders[[#This Row],[Actual Delivery Date]]="","Pending",IF(Orders[[#This Row],[Actual Delivery Date]]&lt;=Orders[[#This Row],[Expected Delivery Date]],"On Time","Late"))</f>
        <v>Pending</v>
      </c>
      <c r="U438" t="str">
        <f>TEXT(Orders[[#This Row],[Order Date]],"mmm")</f>
        <v>Dec</v>
      </c>
      <c r="V438" s="8">
        <f>DATE(YEAR(Orders[[#This Row],[Order Date]]),MONTH(Orders[[#This Row],[Order Date]]),1)</f>
        <v>46357</v>
      </c>
      <c r="W438" s="5">
        <f>IF(Orders[[#This Row],[Order Status]]="Cancelled",Orders[[#This Row],[Net Sales]],0)</f>
        <v>0</v>
      </c>
    </row>
    <row r="439" spans="1:23" x14ac:dyDescent="0.3">
      <c r="A439" t="s">
        <v>974</v>
      </c>
      <c r="B439" s="7">
        <v>46041</v>
      </c>
      <c r="C439" t="s">
        <v>363</v>
      </c>
      <c r="D439" t="s">
        <v>792</v>
      </c>
      <c r="E439" t="s">
        <v>35</v>
      </c>
      <c r="F439" t="s">
        <v>36</v>
      </c>
      <c r="G439" t="s">
        <v>57</v>
      </c>
      <c r="H439" t="s">
        <v>58</v>
      </c>
      <c r="I439">
        <v>2</v>
      </c>
      <c r="J439" s="5">
        <v>499</v>
      </c>
      <c r="K439" s="2">
        <v>0.15</v>
      </c>
      <c r="L439" t="s">
        <v>31</v>
      </c>
      <c r="M439" t="s">
        <v>59</v>
      </c>
      <c r="N439" s="1">
        <v>46046</v>
      </c>
      <c r="O439" s="1">
        <v>46049</v>
      </c>
      <c r="P439" s="5">
        <f>Orders[[#This Row],[Quantity]]*Orders[[#This Row],[Unit Price]]</f>
        <v>998</v>
      </c>
      <c r="Q439" s="5">
        <f>Orders[[#This Row],[Gross Sales]]*Orders[[#This Row],[Discount %]]</f>
        <v>149.69999999999999</v>
      </c>
      <c r="R439" s="5">
        <f>Orders[[#This Row],[Gross Sales]]-Orders[[#This Row],[Discount Amount]]</f>
        <v>848.3</v>
      </c>
      <c r="S439">
        <f>IF(Orders[[#This Row],[Actual Delivery Date]]="","",Orders[[#This Row],[Actual Delivery Date]]-Orders[[#This Row],[Order Date]])</f>
        <v>8</v>
      </c>
      <c r="T439" t="str">
        <f>IF(Orders[[#This Row],[Actual Delivery Date]]="","Pending",IF(Orders[[#This Row],[Actual Delivery Date]]&lt;=Orders[[#This Row],[Expected Delivery Date]],"On Time","Late"))</f>
        <v>Late</v>
      </c>
      <c r="U439" t="str">
        <f>TEXT(Orders[[#This Row],[Order Date]],"mmm")</f>
        <v>Jan</v>
      </c>
      <c r="V439" s="8">
        <f>DATE(YEAR(Orders[[#This Row],[Order Date]]),MONTH(Orders[[#This Row],[Order Date]]),1)</f>
        <v>46023</v>
      </c>
      <c r="W439" s="5">
        <f>IF(Orders[[#This Row],[Order Status]]="Cancelled",Orders[[#This Row],[Net Sales]],0)</f>
        <v>848.3</v>
      </c>
    </row>
    <row r="440" spans="1:23" x14ac:dyDescent="0.3">
      <c r="A440" t="s">
        <v>975</v>
      </c>
      <c r="B440" s="7">
        <v>46307</v>
      </c>
      <c r="C440" t="s">
        <v>976</v>
      </c>
      <c r="D440" t="s">
        <v>710</v>
      </c>
      <c r="E440" t="s">
        <v>18</v>
      </c>
      <c r="F440" t="s">
        <v>121</v>
      </c>
      <c r="G440" t="s">
        <v>91</v>
      </c>
      <c r="H440" t="s">
        <v>30</v>
      </c>
      <c r="I440">
        <v>2</v>
      </c>
      <c r="J440" s="5">
        <v>3299</v>
      </c>
      <c r="K440" s="2">
        <v>0.05</v>
      </c>
      <c r="L440" t="s">
        <v>22</v>
      </c>
      <c r="M440" t="s">
        <v>59</v>
      </c>
      <c r="N440" s="1">
        <v>46311</v>
      </c>
      <c r="O440" s="1">
        <v>46310</v>
      </c>
      <c r="P440" s="5">
        <f>Orders[[#This Row],[Quantity]]*Orders[[#This Row],[Unit Price]]</f>
        <v>6598</v>
      </c>
      <c r="Q440" s="5">
        <f>Orders[[#This Row],[Gross Sales]]*Orders[[#This Row],[Discount %]]</f>
        <v>329.90000000000003</v>
      </c>
      <c r="R440" s="5">
        <f>Orders[[#This Row],[Gross Sales]]-Orders[[#This Row],[Discount Amount]]</f>
        <v>6268.1</v>
      </c>
      <c r="S440">
        <f>IF(Orders[[#This Row],[Actual Delivery Date]]="","",Orders[[#This Row],[Actual Delivery Date]]-Orders[[#This Row],[Order Date]])</f>
        <v>3</v>
      </c>
      <c r="T440" t="str">
        <f>IF(Orders[[#This Row],[Actual Delivery Date]]="","Pending",IF(Orders[[#This Row],[Actual Delivery Date]]&lt;=Orders[[#This Row],[Expected Delivery Date]],"On Time","Late"))</f>
        <v>On Time</v>
      </c>
      <c r="U440" t="str">
        <f>TEXT(Orders[[#This Row],[Order Date]],"mmm")</f>
        <v>Oct</v>
      </c>
      <c r="V440" s="8">
        <f>DATE(YEAR(Orders[[#This Row],[Order Date]]),MONTH(Orders[[#This Row],[Order Date]]),1)</f>
        <v>46296</v>
      </c>
      <c r="W440" s="5">
        <f>IF(Orders[[#This Row],[Order Status]]="Cancelled",Orders[[#This Row],[Net Sales]],0)</f>
        <v>6268.1</v>
      </c>
    </row>
    <row r="441" spans="1:23" x14ac:dyDescent="0.3">
      <c r="A441" t="s">
        <v>977</v>
      </c>
      <c r="B441" s="7">
        <v>46343</v>
      </c>
      <c r="C441" t="s">
        <v>978</v>
      </c>
      <c r="D441" t="s">
        <v>762</v>
      </c>
      <c r="E441" t="s">
        <v>35</v>
      </c>
      <c r="F441" t="s">
        <v>135</v>
      </c>
      <c r="G441" t="s">
        <v>218</v>
      </c>
      <c r="H441" t="s">
        <v>21</v>
      </c>
      <c r="I441">
        <v>2</v>
      </c>
      <c r="J441" s="5">
        <v>2999</v>
      </c>
      <c r="K441" s="2">
        <v>0.05</v>
      </c>
      <c r="L441" t="s">
        <v>22</v>
      </c>
      <c r="M441" t="s">
        <v>47</v>
      </c>
      <c r="N441" s="1">
        <v>46348</v>
      </c>
      <c r="O441" s="1"/>
      <c r="P441" s="5">
        <f>Orders[[#This Row],[Quantity]]*Orders[[#This Row],[Unit Price]]</f>
        <v>5998</v>
      </c>
      <c r="Q441" s="5">
        <f>Orders[[#This Row],[Gross Sales]]*Orders[[#This Row],[Discount %]]</f>
        <v>299.90000000000003</v>
      </c>
      <c r="R441" s="5">
        <f>Orders[[#This Row],[Gross Sales]]-Orders[[#This Row],[Discount Amount]]</f>
        <v>5698.1</v>
      </c>
      <c r="S441" t="str">
        <f>IF(Orders[[#This Row],[Actual Delivery Date]]="","",Orders[[#This Row],[Actual Delivery Date]]-Orders[[#This Row],[Order Date]])</f>
        <v/>
      </c>
      <c r="T441" t="str">
        <f>IF(Orders[[#This Row],[Actual Delivery Date]]="","Pending",IF(Orders[[#This Row],[Actual Delivery Date]]&lt;=Orders[[#This Row],[Expected Delivery Date]],"On Time","Late"))</f>
        <v>Pending</v>
      </c>
      <c r="U441" t="str">
        <f>TEXT(Orders[[#This Row],[Order Date]],"mmm")</f>
        <v>Nov</v>
      </c>
      <c r="V441" s="8">
        <f>DATE(YEAR(Orders[[#This Row],[Order Date]]),MONTH(Orders[[#This Row],[Order Date]]),1)</f>
        <v>46327</v>
      </c>
      <c r="W441" s="5">
        <f>IF(Orders[[#This Row],[Order Status]]="Cancelled",Orders[[#This Row],[Net Sales]],0)</f>
        <v>0</v>
      </c>
    </row>
    <row r="442" spans="1:23" x14ac:dyDescent="0.3">
      <c r="A442" t="s">
        <v>979</v>
      </c>
      <c r="B442" s="7">
        <v>46234</v>
      </c>
      <c r="C442" t="s">
        <v>162</v>
      </c>
      <c r="D442" t="s">
        <v>980</v>
      </c>
      <c r="E442" t="s">
        <v>35</v>
      </c>
      <c r="F442" t="s">
        <v>36</v>
      </c>
      <c r="G442" t="s">
        <v>153</v>
      </c>
      <c r="H442" t="s">
        <v>45</v>
      </c>
      <c r="I442">
        <v>1</v>
      </c>
      <c r="J442" s="5">
        <v>1999</v>
      </c>
      <c r="K442" s="2">
        <v>0.05</v>
      </c>
      <c r="L442" t="s">
        <v>46</v>
      </c>
      <c r="M442" t="s">
        <v>23</v>
      </c>
      <c r="N442" s="1">
        <v>46238</v>
      </c>
      <c r="O442" s="1">
        <v>46237</v>
      </c>
      <c r="P442" s="5">
        <f>Orders[[#This Row],[Quantity]]*Orders[[#This Row],[Unit Price]]</f>
        <v>1999</v>
      </c>
      <c r="Q442" s="5">
        <f>Orders[[#This Row],[Gross Sales]]*Orders[[#This Row],[Discount %]]</f>
        <v>99.95</v>
      </c>
      <c r="R442" s="5">
        <f>Orders[[#This Row],[Gross Sales]]-Orders[[#This Row],[Discount Amount]]</f>
        <v>1899.05</v>
      </c>
      <c r="S442">
        <f>IF(Orders[[#This Row],[Actual Delivery Date]]="","",Orders[[#This Row],[Actual Delivery Date]]-Orders[[#This Row],[Order Date]])</f>
        <v>3</v>
      </c>
      <c r="T442" t="str">
        <f>IF(Orders[[#This Row],[Actual Delivery Date]]="","Pending",IF(Orders[[#This Row],[Actual Delivery Date]]&lt;=Orders[[#This Row],[Expected Delivery Date]],"On Time","Late"))</f>
        <v>On Time</v>
      </c>
      <c r="U442" t="str">
        <f>TEXT(Orders[[#This Row],[Order Date]],"mmm")</f>
        <v>Jul</v>
      </c>
      <c r="V442" s="8">
        <f>DATE(YEAR(Orders[[#This Row],[Order Date]]),MONTH(Orders[[#This Row],[Order Date]]),1)</f>
        <v>46204</v>
      </c>
      <c r="W442" s="5">
        <f>IF(Orders[[#This Row],[Order Status]]="Cancelled",Orders[[#This Row],[Net Sales]],0)</f>
        <v>0</v>
      </c>
    </row>
    <row r="443" spans="1:23" x14ac:dyDescent="0.3">
      <c r="A443" t="s">
        <v>981</v>
      </c>
      <c r="B443" s="7">
        <v>46250</v>
      </c>
      <c r="C443" t="s">
        <v>230</v>
      </c>
      <c r="D443" t="s">
        <v>372</v>
      </c>
      <c r="E443" t="s">
        <v>35</v>
      </c>
      <c r="F443" t="s">
        <v>135</v>
      </c>
      <c r="G443" t="s">
        <v>104</v>
      </c>
      <c r="H443" t="s">
        <v>38</v>
      </c>
      <c r="I443">
        <v>2</v>
      </c>
      <c r="J443" s="5">
        <v>999</v>
      </c>
      <c r="K443" s="2">
        <v>0.15</v>
      </c>
      <c r="L443" t="s">
        <v>22</v>
      </c>
      <c r="M443" t="s">
        <v>23</v>
      </c>
      <c r="N443" s="1">
        <v>46253</v>
      </c>
      <c r="O443" s="1">
        <v>46252</v>
      </c>
      <c r="P443" s="5">
        <f>Orders[[#This Row],[Quantity]]*Orders[[#This Row],[Unit Price]]</f>
        <v>1998</v>
      </c>
      <c r="Q443" s="5">
        <f>Orders[[#This Row],[Gross Sales]]*Orders[[#This Row],[Discount %]]</f>
        <v>299.7</v>
      </c>
      <c r="R443" s="5">
        <f>Orders[[#This Row],[Gross Sales]]-Orders[[#This Row],[Discount Amount]]</f>
        <v>1698.3</v>
      </c>
      <c r="S443">
        <f>IF(Orders[[#This Row],[Actual Delivery Date]]="","",Orders[[#This Row],[Actual Delivery Date]]-Orders[[#This Row],[Order Date]])</f>
        <v>2</v>
      </c>
      <c r="T443" t="str">
        <f>IF(Orders[[#This Row],[Actual Delivery Date]]="","Pending",IF(Orders[[#This Row],[Actual Delivery Date]]&lt;=Orders[[#This Row],[Expected Delivery Date]],"On Time","Late"))</f>
        <v>On Time</v>
      </c>
      <c r="U443" t="str">
        <f>TEXT(Orders[[#This Row],[Order Date]],"mmm")</f>
        <v>Aug</v>
      </c>
      <c r="V443" s="8">
        <f>DATE(YEAR(Orders[[#This Row],[Order Date]]),MONTH(Orders[[#This Row],[Order Date]]),1)</f>
        <v>46235</v>
      </c>
      <c r="W443" s="5">
        <f>IF(Orders[[#This Row],[Order Status]]="Cancelled",Orders[[#This Row],[Net Sales]],0)</f>
        <v>0</v>
      </c>
    </row>
    <row r="444" spans="1:23" x14ac:dyDescent="0.3">
      <c r="A444" t="s">
        <v>982</v>
      </c>
      <c r="B444" s="7">
        <v>46369</v>
      </c>
      <c r="C444" t="s">
        <v>155</v>
      </c>
      <c r="D444" t="s">
        <v>983</v>
      </c>
      <c r="E444" t="s">
        <v>35</v>
      </c>
      <c r="F444" t="s">
        <v>68</v>
      </c>
      <c r="G444" t="s">
        <v>44</v>
      </c>
      <c r="H444" t="s">
        <v>45</v>
      </c>
      <c r="I444">
        <v>5</v>
      </c>
      <c r="J444" s="5">
        <v>1799</v>
      </c>
      <c r="K444" s="2">
        <v>0.05</v>
      </c>
      <c r="L444" t="s">
        <v>39</v>
      </c>
      <c r="M444" t="s">
        <v>23</v>
      </c>
      <c r="N444" s="1">
        <v>46374</v>
      </c>
      <c r="O444" s="1">
        <v>46374</v>
      </c>
      <c r="P444" s="5">
        <f>Orders[[#This Row],[Quantity]]*Orders[[#This Row],[Unit Price]]</f>
        <v>8995</v>
      </c>
      <c r="Q444" s="5">
        <f>Orders[[#This Row],[Gross Sales]]*Orders[[#This Row],[Discount %]]</f>
        <v>449.75</v>
      </c>
      <c r="R444" s="5">
        <f>Orders[[#This Row],[Gross Sales]]-Orders[[#This Row],[Discount Amount]]</f>
        <v>8545.25</v>
      </c>
      <c r="S444">
        <f>IF(Orders[[#This Row],[Actual Delivery Date]]="","",Orders[[#This Row],[Actual Delivery Date]]-Orders[[#This Row],[Order Date]])</f>
        <v>5</v>
      </c>
      <c r="T444" t="str">
        <f>IF(Orders[[#This Row],[Actual Delivery Date]]="","Pending",IF(Orders[[#This Row],[Actual Delivery Date]]&lt;=Orders[[#This Row],[Expected Delivery Date]],"On Time","Late"))</f>
        <v>On Time</v>
      </c>
      <c r="U444" t="str">
        <f>TEXT(Orders[[#This Row],[Order Date]],"mmm")</f>
        <v>Dec</v>
      </c>
      <c r="V444" s="8">
        <f>DATE(YEAR(Orders[[#This Row],[Order Date]]),MONTH(Orders[[#This Row],[Order Date]]),1)</f>
        <v>46357</v>
      </c>
      <c r="W444" s="5">
        <f>IF(Orders[[#This Row],[Order Status]]="Cancelled",Orders[[#This Row],[Net Sales]],0)</f>
        <v>0</v>
      </c>
    </row>
    <row r="445" spans="1:23" x14ac:dyDescent="0.3">
      <c r="A445" t="s">
        <v>984</v>
      </c>
      <c r="B445" s="7">
        <v>46193</v>
      </c>
      <c r="C445" t="s">
        <v>93</v>
      </c>
      <c r="D445" t="s">
        <v>728</v>
      </c>
      <c r="E445" t="s">
        <v>35</v>
      </c>
      <c r="F445" t="s">
        <v>135</v>
      </c>
      <c r="G445" t="s">
        <v>81</v>
      </c>
      <c r="H445" t="s">
        <v>30</v>
      </c>
      <c r="I445">
        <v>2</v>
      </c>
      <c r="J445" s="5">
        <v>899</v>
      </c>
      <c r="K445" s="2">
        <v>0</v>
      </c>
      <c r="L445" t="s">
        <v>39</v>
      </c>
      <c r="M445" t="s">
        <v>47</v>
      </c>
      <c r="N445" s="1">
        <v>46200</v>
      </c>
      <c r="O445" s="1"/>
      <c r="P445" s="5">
        <f>Orders[[#This Row],[Quantity]]*Orders[[#This Row],[Unit Price]]</f>
        <v>1798</v>
      </c>
      <c r="Q445" s="5">
        <f>Orders[[#This Row],[Gross Sales]]*Orders[[#This Row],[Discount %]]</f>
        <v>0</v>
      </c>
      <c r="R445" s="5">
        <f>Orders[[#This Row],[Gross Sales]]-Orders[[#This Row],[Discount Amount]]</f>
        <v>1798</v>
      </c>
      <c r="S445" t="str">
        <f>IF(Orders[[#This Row],[Actual Delivery Date]]="","",Orders[[#This Row],[Actual Delivery Date]]-Orders[[#This Row],[Order Date]])</f>
        <v/>
      </c>
      <c r="T445" t="str">
        <f>IF(Orders[[#This Row],[Actual Delivery Date]]="","Pending",IF(Orders[[#This Row],[Actual Delivery Date]]&lt;=Orders[[#This Row],[Expected Delivery Date]],"On Time","Late"))</f>
        <v>Pending</v>
      </c>
      <c r="U445" t="str">
        <f>TEXT(Orders[[#This Row],[Order Date]],"mmm")</f>
        <v>Jun</v>
      </c>
      <c r="V445" s="8">
        <f>DATE(YEAR(Orders[[#This Row],[Order Date]]),MONTH(Orders[[#This Row],[Order Date]]),1)</f>
        <v>46174</v>
      </c>
      <c r="W445" s="5">
        <f>IF(Orders[[#This Row],[Order Status]]="Cancelled",Orders[[#This Row],[Net Sales]],0)</f>
        <v>0</v>
      </c>
    </row>
    <row r="446" spans="1:23" x14ac:dyDescent="0.3">
      <c r="A446" t="s">
        <v>985</v>
      </c>
      <c r="B446" s="7">
        <v>46121</v>
      </c>
      <c r="C446" t="s">
        <v>370</v>
      </c>
      <c r="D446" t="s">
        <v>78</v>
      </c>
      <c r="E446" t="s">
        <v>35</v>
      </c>
      <c r="F446" t="s">
        <v>68</v>
      </c>
      <c r="G446" t="s">
        <v>20</v>
      </c>
      <c r="H446" t="s">
        <v>21</v>
      </c>
      <c r="I446">
        <v>1</v>
      </c>
      <c r="J446" s="5">
        <v>1799</v>
      </c>
      <c r="K446" s="2">
        <v>0.2</v>
      </c>
      <c r="L446" t="s">
        <v>46</v>
      </c>
      <c r="M446" t="s">
        <v>82</v>
      </c>
      <c r="N446" s="1">
        <v>46126</v>
      </c>
      <c r="O446" s="1">
        <v>46124</v>
      </c>
      <c r="P446" s="5">
        <f>Orders[[#This Row],[Quantity]]*Orders[[#This Row],[Unit Price]]</f>
        <v>1799</v>
      </c>
      <c r="Q446" s="5">
        <f>Orders[[#This Row],[Gross Sales]]*Orders[[#This Row],[Discount %]]</f>
        <v>359.8</v>
      </c>
      <c r="R446" s="5">
        <f>Orders[[#This Row],[Gross Sales]]-Orders[[#This Row],[Discount Amount]]</f>
        <v>1439.2</v>
      </c>
      <c r="S446">
        <f>IF(Orders[[#This Row],[Actual Delivery Date]]="","",Orders[[#This Row],[Actual Delivery Date]]-Orders[[#This Row],[Order Date]])</f>
        <v>3</v>
      </c>
      <c r="T446" t="str">
        <f>IF(Orders[[#This Row],[Actual Delivery Date]]="","Pending",IF(Orders[[#This Row],[Actual Delivery Date]]&lt;=Orders[[#This Row],[Expected Delivery Date]],"On Time","Late"))</f>
        <v>On Time</v>
      </c>
      <c r="U446" t="str">
        <f>TEXT(Orders[[#This Row],[Order Date]],"mmm")</f>
        <v>Apr</v>
      </c>
      <c r="V446" s="8">
        <f>DATE(YEAR(Orders[[#This Row],[Order Date]]),MONTH(Orders[[#This Row],[Order Date]]),1)</f>
        <v>46113</v>
      </c>
      <c r="W446" s="5">
        <f>IF(Orders[[#This Row],[Order Status]]="Cancelled",Orders[[#This Row],[Net Sales]],0)</f>
        <v>0</v>
      </c>
    </row>
    <row r="447" spans="1:23" x14ac:dyDescent="0.3">
      <c r="A447" t="s">
        <v>986</v>
      </c>
      <c r="B447" s="7">
        <v>46309</v>
      </c>
      <c r="C447" t="s">
        <v>987</v>
      </c>
      <c r="D447" t="s">
        <v>473</v>
      </c>
      <c r="E447" t="s">
        <v>35</v>
      </c>
      <c r="F447" t="s">
        <v>135</v>
      </c>
      <c r="G447" t="s">
        <v>44</v>
      </c>
      <c r="H447" t="s">
        <v>45</v>
      </c>
      <c r="I447">
        <v>2</v>
      </c>
      <c r="J447" s="5">
        <v>1799</v>
      </c>
      <c r="K447" s="2">
        <v>0.05</v>
      </c>
      <c r="L447" t="s">
        <v>22</v>
      </c>
      <c r="M447" t="s">
        <v>23</v>
      </c>
      <c r="N447" s="1">
        <v>46315</v>
      </c>
      <c r="O447" s="1">
        <v>46311</v>
      </c>
      <c r="P447" s="5">
        <f>Orders[[#This Row],[Quantity]]*Orders[[#This Row],[Unit Price]]</f>
        <v>3598</v>
      </c>
      <c r="Q447" s="5">
        <f>Orders[[#This Row],[Gross Sales]]*Orders[[#This Row],[Discount %]]</f>
        <v>179.9</v>
      </c>
      <c r="R447" s="5">
        <f>Orders[[#This Row],[Gross Sales]]-Orders[[#This Row],[Discount Amount]]</f>
        <v>3418.1</v>
      </c>
      <c r="S447">
        <f>IF(Orders[[#This Row],[Actual Delivery Date]]="","",Orders[[#This Row],[Actual Delivery Date]]-Orders[[#This Row],[Order Date]])</f>
        <v>2</v>
      </c>
      <c r="T447" t="str">
        <f>IF(Orders[[#This Row],[Actual Delivery Date]]="","Pending",IF(Orders[[#This Row],[Actual Delivery Date]]&lt;=Orders[[#This Row],[Expected Delivery Date]],"On Time","Late"))</f>
        <v>On Time</v>
      </c>
      <c r="U447" t="str">
        <f>TEXT(Orders[[#This Row],[Order Date]],"mmm")</f>
        <v>Oct</v>
      </c>
      <c r="V447" s="8">
        <f>DATE(YEAR(Orders[[#This Row],[Order Date]]),MONTH(Orders[[#This Row],[Order Date]]),1)</f>
        <v>46296</v>
      </c>
      <c r="W447" s="5">
        <f>IF(Orders[[#This Row],[Order Status]]="Cancelled",Orders[[#This Row],[Net Sales]],0)</f>
        <v>0</v>
      </c>
    </row>
    <row r="448" spans="1:23" x14ac:dyDescent="0.3">
      <c r="A448" t="s">
        <v>988</v>
      </c>
      <c r="B448" s="7">
        <v>46336</v>
      </c>
      <c r="C448" t="s">
        <v>648</v>
      </c>
      <c r="D448" t="s">
        <v>442</v>
      </c>
      <c r="E448" t="s">
        <v>27</v>
      </c>
      <c r="F448" t="s">
        <v>56</v>
      </c>
      <c r="G448" t="s">
        <v>153</v>
      </c>
      <c r="H448" t="s">
        <v>45</v>
      </c>
      <c r="I448">
        <v>3</v>
      </c>
      <c r="J448" s="5">
        <v>1999</v>
      </c>
      <c r="K448" s="2">
        <v>0.2</v>
      </c>
      <c r="L448" t="s">
        <v>70</v>
      </c>
      <c r="M448" t="s">
        <v>23</v>
      </c>
      <c r="N448" s="1">
        <v>46339</v>
      </c>
      <c r="O448" s="1">
        <v>46339</v>
      </c>
      <c r="P448" s="5">
        <f>Orders[[#This Row],[Quantity]]*Orders[[#This Row],[Unit Price]]</f>
        <v>5997</v>
      </c>
      <c r="Q448" s="5">
        <f>Orders[[#This Row],[Gross Sales]]*Orders[[#This Row],[Discount %]]</f>
        <v>1199.4000000000001</v>
      </c>
      <c r="R448" s="5">
        <f>Orders[[#This Row],[Gross Sales]]-Orders[[#This Row],[Discount Amount]]</f>
        <v>4797.6000000000004</v>
      </c>
      <c r="S448">
        <f>IF(Orders[[#This Row],[Actual Delivery Date]]="","",Orders[[#This Row],[Actual Delivery Date]]-Orders[[#This Row],[Order Date]])</f>
        <v>3</v>
      </c>
      <c r="T448" t="str">
        <f>IF(Orders[[#This Row],[Actual Delivery Date]]="","Pending",IF(Orders[[#This Row],[Actual Delivery Date]]&lt;=Orders[[#This Row],[Expected Delivery Date]],"On Time","Late"))</f>
        <v>On Time</v>
      </c>
      <c r="U448" t="str">
        <f>TEXT(Orders[[#This Row],[Order Date]],"mmm")</f>
        <v>Nov</v>
      </c>
      <c r="V448" s="8">
        <f>DATE(YEAR(Orders[[#This Row],[Order Date]]),MONTH(Orders[[#This Row],[Order Date]]),1)</f>
        <v>46327</v>
      </c>
      <c r="W448" s="5">
        <f>IF(Orders[[#This Row],[Order Status]]="Cancelled",Orders[[#This Row],[Net Sales]],0)</f>
        <v>0</v>
      </c>
    </row>
    <row r="449" spans="1:23" x14ac:dyDescent="0.3">
      <c r="A449" t="s">
        <v>989</v>
      </c>
      <c r="B449" s="7">
        <v>46223</v>
      </c>
      <c r="C449" t="s">
        <v>990</v>
      </c>
      <c r="D449" t="s">
        <v>991</v>
      </c>
      <c r="E449" t="s">
        <v>79</v>
      </c>
      <c r="F449" t="s">
        <v>86</v>
      </c>
      <c r="G449" t="s">
        <v>160</v>
      </c>
      <c r="H449" t="s">
        <v>45</v>
      </c>
      <c r="I449">
        <v>1</v>
      </c>
      <c r="J449" s="5">
        <v>1499</v>
      </c>
      <c r="K449" s="2">
        <v>0.2</v>
      </c>
      <c r="L449" t="s">
        <v>22</v>
      </c>
      <c r="M449" t="s">
        <v>59</v>
      </c>
      <c r="N449" s="1">
        <v>46230</v>
      </c>
      <c r="O449" s="1">
        <v>46228</v>
      </c>
      <c r="P449" s="5">
        <f>Orders[[#This Row],[Quantity]]*Orders[[#This Row],[Unit Price]]</f>
        <v>1499</v>
      </c>
      <c r="Q449" s="5">
        <f>Orders[[#This Row],[Gross Sales]]*Orders[[#This Row],[Discount %]]</f>
        <v>299.8</v>
      </c>
      <c r="R449" s="5">
        <f>Orders[[#This Row],[Gross Sales]]-Orders[[#This Row],[Discount Amount]]</f>
        <v>1199.2</v>
      </c>
      <c r="S449">
        <f>IF(Orders[[#This Row],[Actual Delivery Date]]="","",Orders[[#This Row],[Actual Delivery Date]]-Orders[[#This Row],[Order Date]])</f>
        <v>5</v>
      </c>
      <c r="T449" t="str">
        <f>IF(Orders[[#This Row],[Actual Delivery Date]]="","Pending",IF(Orders[[#This Row],[Actual Delivery Date]]&lt;=Orders[[#This Row],[Expected Delivery Date]],"On Time","Late"))</f>
        <v>On Time</v>
      </c>
      <c r="U449" t="str">
        <f>TEXT(Orders[[#This Row],[Order Date]],"mmm")</f>
        <v>Jul</v>
      </c>
      <c r="V449" s="8">
        <f>DATE(YEAR(Orders[[#This Row],[Order Date]]),MONTH(Orders[[#This Row],[Order Date]]),1)</f>
        <v>46204</v>
      </c>
      <c r="W449" s="5">
        <f>IF(Orders[[#This Row],[Order Status]]="Cancelled",Orders[[#This Row],[Net Sales]],0)</f>
        <v>1199.2</v>
      </c>
    </row>
    <row r="450" spans="1:23" x14ac:dyDescent="0.3">
      <c r="A450" t="s">
        <v>992</v>
      </c>
      <c r="B450" s="7">
        <v>46261</v>
      </c>
      <c r="C450" t="s">
        <v>243</v>
      </c>
      <c r="D450" t="s">
        <v>227</v>
      </c>
      <c r="E450" t="s">
        <v>35</v>
      </c>
      <c r="F450" t="s">
        <v>68</v>
      </c>
      <c r="G450" t="s">
        <v>81</v>
      </c>
      <c r="H450" t="s">
        <v>30</v>
      </c>
      <c r="I450">
        <v>2</v>
      </c>
      <c r="J450" s="5">
        <v>899</v>
      </c>
      <c r="K450" s="2">
        <v>0</v>
      </c>
      <c r="L450" t="s">
        <v>70</v>
      </c>
      <c r="M450" t="s">
        <v>23</v>
      </c>
      <c r="N450" s="1">
        <v>46266</v>
      </c>
      <c r="O450" s="1">
        <v>46265</v>
      </c>
      <c r="P450" s="5">
        <f>Orders[[#This Row],[Quantity]]*Orders[[#This Row],[Unit Price]]</f>
        <v>1798</v>
      </c>
      <c r="Q450" s="5">
        <f>Orders[[#This Row],[Gross Sales]]*Orders[[#This Row],[Discount %]]</f>
        <v>0</v>
      </c>
      <c r="R450" s="5">
        <f>Orders[[#This Row],[Gross Sales]]-Orders[[#This Row],[Discount Amount]]</f>
        <v>1798</v>
      </c>
      <c r="S450">
        <f>IF(Orders[[#This Row],[Actual Delivery Date]]="","",Orders[[#This Row],[Actual Delivery Date]]-Orders[[#This Row],[Order Date]])</f>
        <v>4</v>
      </c>
      <c r="T450" t="str">
        <f>IF(Orders[[#This Row],[Actual Delivery Date]]="","Pending",IF(Orders[[#This Row],[Actual Delivery Date]]&lt;=Orders[[#This Row],[Expected Delivery Date]],"On Time","Late"))</f>
        <v>On Time</v>
      </c>
      <c r="U450" t="str">
        <f>TEXT(Orders[[#This Row],[Order Date]],"mmm")</f>
        <v>Aug</v>
      </c>
      <c r="V450" s="8">
        <f>DATE(YEAR(Orders[[#This Row],[Order Date]]),MONTH(Orders[[#This Row],[Order Date]]),1)</f>
        <v>46235</v>
      </c>
      <c r="W450" s="5">
        <f>IF(Orders[[#This Row],[Order Status]]="Cancelled",Orders[[#This Row],[Net Sales]],0)</f>
        <v>0</v>
      </c>
    </row>
    <row r="451" spans="1:23" x14ac:dyDescent="0.3">
      <c r="A451" t="s">
        <v>993</v>
      </c>
      <c r="B451" s="7">
        <v>46209</v>
      </c>
      <c r="C451" t="s">
        <v>889</v>
      </c>
      <c r="D451" t="s">
        <v>581</v>
      </c>
      <c r="E451" t="s">
        <v>27</v>
      </c>
      <c r="F451" t="s">
        <v>56</v>
      </c>
      <c r="G451" t="s">
        <v>91</v>
      </c>
      <c r="H451" t="s">
        <v>30</v>
      </c>
      <c r="I451">
        <v>1</v>
      </c>
      <c r="J451" s="5">
        <v>3299</v>
      </c>
      <c r="K451" s="2">
        <v>0.1</v>
      </c>
      <c r="L451" t="s">
        <v>46</v>
      </c>
      <c r="M451" t="s">
        <v>23</v>
      </c>
      <c r="N451" s="1">
        <v>46214</v>
      </c>
      <c r="O451" s="1">
        <v>46213</v>
      </c>
      <c r="P451" s="5">
        <f>Orders[[#This Row],[Quantity]]*Orders[[#This Row],[Unit Price]]</f>
        <v>3299</v>
      </c>
      <c r="Q451" s="5">
        <f>Orders[[#This Row],[Gross Sales]]*Orders[[#This Row],[Discount %]]</f>
        <v>329.90000000000003</v>
      </c>
      <c r="R451" s="5">
        <f>Orders[[#This Row],[Gross Sales]]-Orders[[#This Row],[Discount Amount]]</f>
        <v>2969.1</v>
      </c>
      <c r="S451">
        <f>IF(Orders[[#This Row],[Actual Delivery Date]]="","",Orders[[#This Row],[Actual Delivery Date]]-Orders[[#This Row],[Order Date]])</f>
        <v>4</v>
      </c>
      <c r="T451" t="str">
        <f>IF(Orders[[#This Row],[Actual Delivery Date]]="","Pending",IF(Orders[[#This Row],[Actual Delivery Date]]&lt;=Orders[[#This Row],[Expected Delivery Date]],"On Time","Late"))</f>
        <v>On Time</v>
      </c>
      <c r="U451" t="str">
        <f>TEXT(Orders[[#This Row],[Order Date]],"mmm")</f>
        <v>Jul</v>
      </c>
      <c r="V451" s="8">
        <f>DATE(YEAR(Orders[[#This Row],[Order Date]]),MONTH(Orders[[#This Row],[Order Date]]),1)</f>
        <v>46204</v>
      </c>
      <c r="W451" s="5">
        <f>IF(Orders[[#This Row],[Order Status]]="Cancelled",Orders[[#This Row],[Net Sales]],0)</f>
        <v>0</v>
      </c>
    </row>
    <row r="452" spans="1:23" x14ac:dyDescent="0.3">
      <c r="A452" t="s">
        <v>994</v>
      </c>
      <c r="B452" s="7">
        <v>46201</v>
      </c>
      <c r="C452" t="s">
        <v>216</v>
      </c>
      <c r="D452" t="s">
        <v>644</v>
      </c>
      <c r="E452" t="s">
        <v>79</v>
      </c>
      <c r="F452" t="s">
        <v>170</v>
      </c>
      <c r="G452" t="s">
        <v>131</v>
      </c>
      <c r="H452" t="s">
        <v>38</v>
      </c>
      <c r="I452">
        <v>2</v>
      </c>
      <c r="J452" s="5">
        <v>899</v>
      </c>
      <c r="K452" s="2">
        <v>0.05</v>
      </c>
      <c r="L452" t="s">
        <v>22</v>
      </c>
      <c r="M452" t="s">
        <v>23</v>
      </c>
      <c r="N452" s="1">
        <v>46206</v>
      </c>
      <c r="O452" s="1">
        <v>46202</v>
      </c>
      <c r="P452" s="5">
        <f>Orders[[#This Row],[Quantity]]*Orders[[#This Row],[Unit Price]]</f>
        <v>1798</v>
      </c>
      <c r="Q452" s="5">
        <f>Orders[[#This Row],[Gross Sales]]*Orders[[#This Row],[Discount %]]</f>
        <v>89.9</v>
      </c>
      <c r="R452" s="5">
        <f>Orders[[#This Row],[Gross Sales]]-Orders[[#This Row],[Discount Amount]]</f>
        <v>1708.1</v>
      </c>
      <c r="S452">
        <f>IF(Orders[[#This Row],[Actual Delivery Date]]="","",Orders[[#This Row],[Actual Delivery Date]]-Orders[[#This Row],[Order Date]])</f>
        <v>1</v>
      </c>
      <c r="T452" t="str">
        <f>IF(Orders[[#This Row],[Actual Delivery Date]]="","Pending",IF(Orders[[#This Row],[Actual Delivery Date]]&lt;=Orders[[#This Row],[Expected Delivery Date]],"On Time","Late"))</f>
        <v>On Time</v>
      </c>
      <c r="U452" t="str">
        <f>TEXT(Orders[[#This Row],[Order Date]],"mmm")</f>
        <v>Jun</v>
      </c>
      <c r="V452" s="8">
        <f>DATE(YEAR(Orders[[#This Row],[Order Date]]),MONTH(Orders[[#This Row],[Order Date]]),1)</f>
        <v>46174</v>
      </c>
      <c r="W452" s="5">
        <f>IF(Orders[[#This Row],[Order Status]]="Cancelled",Orders[[#This Row],[Net Sales]],0)</f>
        <v>0</v>
      </c>
    </row>
    <row r="453" spans="1:23" x14ac:dyDescent="0.3">
      <c r="A453" t="s">
        <v>995</v>
      </c>
      <c r="B453" s="7">
        <v>46228</v>
      </c>
      <c r="C453" t="s">
        <v>722</v>
      </c>
      <c r="D453" t="s">
        <v>422</v>
      </c>
      <c r="E453" t="s">
        <v>18</v>
      </c>
      <c r="F453" t="s">
        <v>121</v>
      </c>
      <c r="G453" t="s">
        <v>100</v>
      </c>
      <c r="H453" t="s">
        <v>30</v>
      </c>
      <c r="I453">
        <v>2</v>
      </c>
      <c r="J453" s="5">
        <v>2499</v>
      </c>
      <c r="K453" s="2">
        <v>0.05</v>
      </c>
      <c r="L453" t="s">
        <v>22</v>
      </c>
      <c r="M453" t="s">
        <v>23</v>
      </c>
      <c r="N453" s="1">
        <v>46234</v>
      </c>
      <c r="O453" s="1">
        <v>46232</v>
      </c>
      <c r="P453" s="5">
        <f>Orders[[#This Row],[Quantity]]*Orders[[#This Row],[Unit Price]]</f>
        <v>4998</v>
      </c>
      <c r="Q453" s="5">
        <f>Orders[[#This Row],[Gross Sales]]*Orders[[#This Row],[Discount %]]</f>
        <v>249.9</v>
      </c>
      <c r="R453" s="5">
        <f>Orders[[#This Row],[Gross Sales]]-Orders[[#This Row],[Discount Amount]]</f>
        <v>4748.1000000000004</v>
      </c>
      <c r="S453">
        <f>IF(Orders[[#This Row],[Actual Delivery Date]]="","",Orders[[#This Row],[Actual Delivery Date]]-Orders[[#This Row],[Order Date]])</f>
        <v>4</v>
      </c>
      <c r="T453" t="str">
        <f>IF(Orders[[#This Row],[Actual Delivery Date]]="","Pending",IF(Orders[[#This Row],[Actual Delivery Date]]&lt;=Orders[[#This Row],[Expected Delivery Date]],"On Time","Late"))</f>
        <v>On Time</v>
      </c>
      <c r="U453" t="str">
        <f>TEXT(Orders[[#This Row],[Order Date]],"mmm")</f>
        <v>Jul</v>
      </c>
      <c r="V453" s="8">
        <f>DATE(YEAR(Orders[[#This Row],[Order Date]]),MONTH(Orders[[#This Row],[Order Date]]),1)</f>
        <v>46204</v>
      </c>
      <c r="W453" s="5">
        <f>IF(Orders[[#This Row],[Order Status]]="Cancelled",Orders[[#This Row],[Net Sales]],0)</f>
        <v>0</v>
      </c>
    </row>
    <row r="454" spans="1:23" x14ac:dyDescent="0.3">
      <c r="A454" t="s">
        <v>996</v>
      </c>
      <c r="B454" s="7">
        <v>46245</v>
      </c>
      <c r="C454" t="s">
        <v>182</v>
      </c>
      <c r="D454" t="s">
        <v>473</v>
      </c>
      <c r="E454" t="s">
        <v>35</v>
      </c>
      <c r="F454" t="s">
        <v>68</v>
      </c>
      <c r="G454" t="s">
        <v>100</v>
      </c>
      <c r="H454" t="s">
        <v>30</v>
      </c>
      <c r="I454">
        <v>2</v>
      </c>
      <c r="J454" s="5">
        <v>2499</v>
      </c>
      <c r="K454" s="2">
        <v>0.1</v>
      </c>
      <c r="L454" t="s">
        <v>22</v>
      </c>
      <c r="M454" t="s">
        <v>59</v>
      </c>
      <c r="N454" s="1">
        <v>46248</v>
      </c>
      <c r="O454" s="1">
        <v>46248</v>
      </c>
      <c r="P454" s="5">
        <f>Orders[[#This Row],[Quantity]]*Orders[[#This Row],[Unit Price]]</f>
        <v>4998</v>
      </c>
      <c r="Q454" s="5">
        <f>Orders[[#This Row],[Gross Sales]]*Orders[[#This Row],[Discount %]]</f>
        <v>499.8</v>
      </c>
      <c r="R454" s="5">
        <f>Orders[[#This Row],[Gross Sales]]-Orders[[#This Row],[Discount Amount]]</f>
        <v>4498.2</v>
      </c>
      <c r="S454">
        <f>IF(Orders[[#This Row],[Actual Delivery Date]]="","",Orders[[#This Row],[Actual Delivery Date]]-Orders[[#This Row],[Order Date]])</f>
        <v>3</v>
      </c>
      <c r="T454" t="str">
        <f>IF(Orders[[#This Row],[Actual Delivery Date]]="","Pending",IF(Orders[[#This Row],[Actual Delivery Date]]&lt;=Orders[[#This Row],[Expected Delivery Date]],"On Time","Late"))</f>
        <v>On Time</v>
      </c>
      <c r="U454" t="str">
        <f>TEXT(Orders[[#This Row],[Order Date]],"mmm")</f>
        <v>Aug</v>
      </c>
      <c r="V454" s="8">
        <f>DATE(YEAR(Orders[[#This Row],[Order Date]]),MONTH(Orders[[#This Row],[Order Date]]),1)</f>
        <v>46235</v>
      </c>
      <c r="W454" s="5">
        <f>IF(Orders[[#This Row],[Order Status]]="Cancelled",Orders[[#This Row],[Net Sales]],0)</f>
        <v>4498.2</v>
      </c>
    </row>
    <row r="455" spans="1:23" x14ac:dyDescent="0.3">
      <c r="A455" t="s">
        <v>997</v>
      </c>
      <c r="B455" s="7">
        <v>46260</v>
      </c>
      <c r="C455" t="s">
        <v>320</v>
      </c>
      <c r="D455" t="s">
        <v>189</v>
      </c>
      <c r="E455" t="s">
        <v>79</v>
      </c>
      <c r="F455" t="s">
        <v>86</v>
      </c>
      <c r="G455" t="s">
        <v>206</v>
      </c>
      <c r="H455" t="s">
        <v>30</v>
      </c>
      <c r="I455">
        <v>1</v>
      </c>
      <c r="J455" s="5">
        <v>1199</v>
      </c>
      <c r="K455" s="2">
        <v>0</v>
      </c>
      <c r="L455" t="s">
        <v>70</v>
      </c>
      <c r="M455" t="s">
        <v>23</v>
      </c>
      <c r="N455" s="1">
        <v>46264</v>
      </c>
      <c r="O455" s="1">
        <v>46265</v>
      </c>
      <c r="P455" s="5">
        <f>Orders[[#This Row],[Quantity]]*Orders[[#This Row],[Unit Price]]</f>
        <v>1199</v>
      </c>
      <c r="Q455" s="5">
        <f>Orders[[#This Row],[Gross Sales]]*Orders[[#This Row],[Discount %]]</f>
        <v>0</v>
      </c>
      <c r="R455" s="5">
        <f>Orders[[#This Row],[Gross Sales]]-Orders[[#This Row],[Discount Amount]]</f>
        <v>1199</v>
      </c>
      <c r="S455">
        <f>IF(Orders[[#This Row],[Actual Delivery Date]]="","",Orders[[#This Row],[Actual Delivery Date]]-Orders[[#This Row],[Order Date]])</f>
        <v>5</v>
      </c>
      <c r="T455" t="str">
        <f>IF(Orders[[#This Row],[Actual Delivery Date]]="","Pending",IF(Orders[[#This Row],[Actual Delivery Date]]&lt;=Orders[[#This Row],[Expected Delivery Date]],"On Time","Late"))</f>
        <v>Late</v>
      </c>
      <c r="U455" t="str">
        <f>TEXT(Orders[[#This Row],[Order Date]],"mmm")</f>
        <v>Aug</v>
      </c>
      <c r="V455" s="8">
        <f>DATE(YEAR(Orders[[#This Row],[Order Date]]),MONTH(Orders[[#This Row],[Order Date]]),1)</f>
        <v>46235</v>
      </c>
      <c r="W455" s="5">
        <f>IF(Orders[[#This Row],[Order Status]]="Cancelled",Orders[[#This Row],[Net Sales]],0)</f>
        <v>0</v>
      </c>
    </row>
    <row r="456" spans="1:23" x14ac:dyDescent="0.3">
      <c r="A456" t="s">
        <v>998</v>
      </c>
      <c r="B456" s="7">
        <v>46134</v>
      </c>
      <c r="C456" t="s">
        <v>999</v>
      </c>
      <c r="D456" t="s">
        <v>234</v>
      </c>
      <c r="E456" t="s">
        <v>35</v>
      </c>
      <c r="F456" t="s">
        <v>63</v>
      </c>
      <c r="G456" t="s">
        <v>75</v>
      </c>
      <c r="H456" t="s">
        <v>45</v>
      </c>
      <c r="I456">
        <v>3</v>
      </c>
      <c r="J456" s="5">
        <v>799</v>
      </c>
      <c r="K456" s="2">
        <v>0.2</v>
      </c>
      <c r="L456" t="s">
        <v>39</v>
      </c>
      <c r="M456" t="s">
        <v>82</v>
      </c>
      <c r="N456" s="1">
        <v>46137</v>
      </c>
      <c r="O456" s="1">
        <v>46136</v>
      </c>
      <c r="P456" s="5">
        <f>Orders[[#This Row],[Quantity]]*Orders[[#This Row],[Unit Price]]</f>
        <v>2397</v>
      </c>
      <c r="Q456" s="5">
        <f>Orders[[#This Row],[Gross Sales]]*Orders[[#This Row],[Discount %]]</f>
        <v>479.40000000000003</v>
      </c>
      <c r="R456" s="5">
        <f>Orders[[#This Row],[Gross Sales]]-Orders[[#This Row],[Discount Amount]]</f>
        <v>1917.6</v>
      </c>
      <c r="S456">
        <f>IF(Orders[[#This Row],[Actual Delivery Date]]="","",Orders[[#This Row],[Actual Delivery Date]]-Orders[[#This Row],[Order Date]])</f>
        <v>2</v>
      </c>
      <c r="T456" t="str">
        <f>IF(Orders[[#This Row],[Actual Delivery Date]]="","Pending",IF(Orders[[#This Row],[Actual Delivery Date]]&lt;=Orders[[#This Row],[Expected Delivery Date]],"On Time","Late"))</f>
        <v>On Time</v>
      </c>
      <c r="U456" t="str">
        <f>TEXT(Orders[[#This Row],[Order Date]],"mmm")</f>
        <v>Apr</v>
      </c>
      <c r="V456" s="8">
        <f>DATE(YEAR(Orders[[#This Row],[Order Date]]),MONTH(Orders[[#This Row],[Order Date]]),1)</f>
        <v>46113</v>
      </c>
      <c r="W456" s="5">
        <f>IF(Orders[[#This Row],[Order Status]]="Cancelled",Orders[[#This Row],[Net Sales]],0)</f>
        <v>0</v>
      </c>
    </row>
    <row r="457" spans="1:23" x14ac:dyDescent="0.3">
      <c r="A457" t="s">
        <v>1000</v>
      </c>
      <c r="B457" s="7">
        <v>46371</v>
      </c>
      <c r="C457" t="s">
        <v>273</v>
      </c>
      <c r="D457" t="s">
        <v>1001</v>
      </c>
      <c r="E457" t="s">
        <v>79</v>
      </c>
      <c r="F457" t="s">
        <v>170</v>
      </c>
      <c r="G457" t="s">
        <v>37</v>
      </c>
      <c r="H457" t="s">
        <v>38</v>
      </c>
      <c r="I457">
        <v>3</v>
      </c>
      <c r="J457" s="5">
        <v>699</v>
      </c>
      <c r="K457" s="2">
        <v>0.1</v>
      </c>
      <c r="L457" t="s">
        <v>22</v>
      </c>
      <c r="M457" t="s">
        <v>82</v>
      </c>
      <c r="N457" s="1">
        <v>46378</v>
      </c>
      <c r="O457" s="1">
        <v>46375</v>
      </c>
      <c r="P457" s="5">
        <f>Orders[[#This Row],[Quantity]]*Orders[[#This Row],[Unit Price]]</f>
        <v>2097</v>
      </c>
      <c r="Q457" s="5">
        <f>Orders[[#This Row],[Gross Sales]]*Orders[[#This Row],[Discount %]]</f>
        <v>209.70000000000002</v>
      </c>
      <c r="R457" s="5">
        <f>Orders[[#This Row],[Gross Sales]]-Orders[[#This Row],[Discount Amount]]</f>
        <v>1887.3</v>
      </c>
      <c r="S457">
        <f>IF(Orders[[#This Row],[Actual Delivery Date]]="","",Orders[[#This Row],[Actual Delivery Date]]-Orders[[#This Row],[Order Date]])</f>
        <v>4</v>
      </c>
      <c r="T457" t="str">
        <f>IF(Orders[[#This Row],[Actual Delivery Date]]="","Pending",IF(Orders[[#This Row],[Actual Delivery Date]]&lt;=Orders[[#This Row],[Expected Delivery Date]],"On Time","Late"))</f>
        <v>On Time</v>
      </c>
      <c r="U457" t="str">
        <f>TEXT(Orders[[#This Row],[Order Date]],"mmm")</f>
        <v>Dec</v>
      </c>
      <c r="V457" s="8">
        <f>DATE(YEAR(Orders[[#This Row],[Order Date]]),MONTH(Orders[[#This Row],[Order Date]]),1)</f>
        <v>46357</v>
      </c>
      <c r="W457" s="5">
        <f>IF(Orders[[#This Row],[Order Status]]="Cancelled",Orders[[#This Row],[Net Sales]],0)</f>
        <v>0</v>
      </c>
    </row>
    <row r="458" spans="1:23" x14ac:dyDescent="0.3">
      <c r="A458" t="s">
        <v>1002</v>
      </c>
      <c r="B458" s="7">
        <v>46054</v>
      </c>
      <c r="C458" t="s">
        <v>458</v>
      </c>
      <c r="D458" t="s">
        <v>231</v>
      </c>
      <c r="E458" t="s">
        <v>18</v>
      </c>
      <c r="F458" t="s">
        <v>43</v>
      </c>
      <c r="G458" t="s">
        <v>131</v>
      </c>
      <c r="H458" t="s">
        <v>38</v>
      </c>
      <c r="I458">
        <v>1</v>
      </c>
      <c r="J458" s="5">
        <v>899</v>
      </c>
      <c r="K458" s="2">
        <v>0.2</v>
      </c>
      <c r="L458" t="s">
        <v>39</v>
      </c>
      <c r="M458" t="s">
        <v>23</v>
      </c>
      <c r="N458" s="1">
        <v>46061</v>
      </c>
      <c r="O458" s="1">
        <v>46057</v>
      </c>
      <c r="P458" s="5">
        <f>Orders[[#This Row],[Quantity]]*Orders[[#This Row],[Unit Price]]</f>
        <v>899</v>
      </c>
      <c r="Q458" s="5">
        <f>Orders[[#This Row],[Gross Sales]]*Orders[[#This Row],[Discount %]]</f>
        <v>179.8</v>
      </c>
      <c r="R458" s="5">
        <f>Orders[[#This Row],[Gross Sales]]-Orders[[#This Row],[Discount Amount]]</f>
        <v>719.2</v>
      </c>
      <c r="S458">
        <f>IF(Orders[[#This Row],[Actual Delivery Date]]="","",Orders[[#This Row],[Actual Delivery Date]]-Orders[[#This Row],[Order Date]])</f>
        <v>3</v>
      </c>
      <c r="T458" t="str">
        <f>IF(Orders[[#This Row],[Actual Delivery Date]]="","Pending",IF(Orders[[#This Row],[Actual Delivery Date]]&lt;=Orders[[#This Row],[Expected Delivery Date]],"On Time","Late"))</f>
        <v>On Time</v>
      </c>
      <c r="U458" t="str">
        <f>TEXT(Orders[[#This Row],[Order Date]],"mmm")</f>
        <v>Feb</v>
      </c>
      <c r="V458" s="8">
        <f>DATE(YEAR(Orders[[#This Row],[Order Date]]),MONTH(Orders[[#This Row],[Order Date]]),1)</f>
        <v>46054</v>
      </c>
      <c r="W458" s="5">
        <f>IF(Orders[[#This Row],[Order Status]]="Cancelled",Orders[[#This Row],[Net Sales]],0)</f>
        <v>0</v>
      </c>
    </row>
    <row r="459" spans="1:23" x14ac:dyDescent="0.3">
      <c r="A459" t="s">
        <v>1003</v>
      </c>
      <c r="B459" s="7">
        <v>46224</v>
      </c>
      <c r="C459" t="s">
        <v>684</v>
      </c>
      <c r="D459" t="s">
        <v>1004</v>
      </c>
      <c r="E459" t="s">
        <v>18</v>
      </c>
      <c r="F459" t="s">
        <v>95</v>
      </c>
      <c r="G459" t="s">
        <v>228</v>
      </c>
      <c r="H459" t="s">
        <v>58</v>
      </c>
      <c r="I459">
        <v>2</v>
      </c>
      <c r="J459" s="5">
        <v>1499</v>
      </c>
      <c r="K459" s="2">
        <v>0.15</v>
      </c>
      <c r="L459" t="s">
        <v>70</v>
      </c>
      <c r="M459" t="s">
        <v>23</v>
      </c>
      <c r="N459" s="1">
        <v>46229</v>
      </c>
      <c r="O459" s="1">
        <v>46226</v>
      </c>
      <c r="P459" s="5">
        <f>Orders[[#This Row],[Quantity]]*Orders[[#This Row],[Unit Price]]</f>
        <v>2998</v>
      </c>
      <c r="Q459" s="5">
        <f>Orders[[#This Row],[Gross Sales]]*Orders[[#This Row],[Discount %]]</f>
        <v>449.7</v>
      </c>
      <c r="R459" s="5">
        <f>Orders[[#This Row],[Gross Sales]]-Orders[[#This Row],[Discount Amount]]</f>
        <v>2548.3000000000002</v>
      </c>
      <c r="S459">
        <f>IF(Orders[[#This Row],[Actual Delivery Date]]="","",Orders[[#This Row],[Actual Delivery Date]]-Orders[[#This Row],[Order Date]])</f>
        <v>2</v>
      </c>
      <c r="T459" t="str">
        <f>IF(Orders[[#This Row],[Actual Delivery Date]]="","Pending",IF(Orders[[#This Row],[Actual Delivery Date]]&lt;=Orders[[#This Row],[Expected Delivery Date]],"On Time","Late"))</f>
        <v>On Time</v>
      </c>
      <c r="U459" t="str">
        <f>TEXT(Orders[[#This Row],[Order Date]],"mmm")</f>
        <v>Jul</v>
      </c>
      <c r="V459" s="8">
        <f>DATE(YEAR(Orders[[#This Row],[Order Date]]),MONTH(Orders[[#This Row],[Order Date]]),1)</f>
        <v>46204</v>
      </c>
      <c r="W459" s="5">
        <f>IF(Orders[[#This Row],[Order Status]]="Cancelled",Orders[[#This Row],[Net Sales]],0)</f>
        <v>0</v>
      </c>
    </row>
    <row r="460" spans="1:23" x14ac:dyDescent="0.3">
      <c r="A460" t="s">
        <v>1005</v>
      </c>
      <c r="B460" s="7">
        <v>46101</v>
      </c>
      <c r="C460" t="s">
        <v>664</v>
      </c>
      <c r="D460" t="s">
        <v>1006</v>
      </c>
      <c r="E460" t="s">
        <v>27</v>
      </c>
      <c r="F460" t="s">
        <v>74</v>
      </c>
      <c r="G460" t="s">
        <v>218</v>
      </c>
      <c r="H460" t="s">
        <v>21</v>
      </c>
      <c r="I460">
        <v>1</v>
      </c>
      <c r="J460" s="5">
        <v>2999</v>
      </c>
      <c r="K460" s="2">
        <v>0.05</v>
      </c>
      <c r="L460" t="s">
        <v>31</v>
      </c>
      <c r="M460" t="s">
        <v>23</v>
      </c>
      <c r="N460" s="1">
        <v>46103</v>
      </c>
      <c r="O460" s="1">
        <v>46102</v>
      </c>
      <c r="P460" s="5">
        <f>Orders[[#This Row],[Quantity]]*Orders[[#This Row],[Unit Price]]</f>
        <v>2999</v>
      </c>
      <c r="Q460" s="5">
        <f>Orders[[#This Row],[Gross Sales]]*Orders[[#This Row],[Discount %]]</f>
        <v>149.95000000000002</v>
      </c>
      <c r="R460" s="5">
        <f>Orders[[#This Row],[Gross Sales]]-Orders[[#This Row],[Discount Amount]]</f>
        <v>2849.05</v>
      </c>
      <c r="S460">
        <f>IF(Orders[[#This Row],[Actual Delivery Date]]="","",Orders[[#This Row],[Actual Delivery Date]]-Orders[[#This Row],[Order Date]])</f>
        <v>1</v>
      </c>
      <c r="T460" t="str">
        <f>IF(Orders[[#This Row],[Actual Delivery Date]]="","Pending",IF(Orders[[#This Row],[Actual Delivery Date]]&lt;=Orders[[#This Row],[Expected Delivery Date]],"On Time","Late"))</f>
        <v>On Time</v>
      </c>
      <c r="U460" t="str">
        <f>TEXT(Orders[[#This Row],[Order Date]],"mmm")</f>
        <v>Mar</v>
      </c>
      <c r="V460" s="8">
        <f>DATE(YEAR(Orders[[#This Row],[Order Date]]),MONTH(Orders[[#This Row],[Order Date]]),1)</f>
        <v>46082</v>
      </c>
      <c r="W460" s="5">
        <f>IF(Orders[[#This Row],[Order Status]]="Cancelled",Orders[[#This Row],[Net Sales]],0)</f>
        <v>0</v>
      </c>
    </row>
    <row r="461" spans="1:23" x14ac:dyDescent="0.3">
      <c r="A461" t="s">
        <v>1007</v>
      </c>
      <c r="B461" s="7">
        <v>46256</v>
      </c>
      <c r="C461" t="s">
        <v>310</v>
      </c>
      <c r="D461" t="s">
        <v>609</v>
      </c>
      <c r="E461" t="s">
        <v>27</v>
      </c>
      <c r="F461" t="s">
        <v>28</v>
      </c>
      <c r="G461" t="s">
        <v>96</v>
      </c>
      <c r="H461" t="s">
        <v>38</v>
      </c>
      <c r="I461">
        <v>3</v>
      </c>
      <c r="J461" s="5">
        <v>1599</v>
      </c>
      <c r="K461" s="2">
        <v>0.2</v>
      </c>
      <c r="L461" t="s">
        <v>70</v>
      </c>
      <c r="M461" t="s">
        <v>47</v>
      </c>
      <c r="N461" s="1">
        <v>46259</v>
      </c>
      <c r="O461" s="1"/>
      <c r="P461" s="5">
        <f>Orders[[#This Row],[Quantity]]*Orders[[#This Row],[Unit Price]]</f>
        <v>4797</v>
      </c>
      <c r="Q461" s="5">
        <f>Orders[[#This Row],[Gross Sales]]*Orders[[#This Row],[Discount %]]</f>
        <v>959.40000000000009</v>
      </c>
      <c r="R461" s="5">
        <f>Orders[[#This Row],[Gross Sales]]-Orders[[#This Row],[Discount Amount]]</f>
        <v>3837.6</v>
      </c>
      <c r="S461" t="str">
        <f>IF(Orders[[#This Row],[Actual Delivery Date]]="","",Orders[[#This Row],[Actual Delivery Date]]-Orders[[#This Row],[Order Date]])</f>
        <v/>
      </c>
      <c r="T461" t="str">
        <f>IF(Orders[[#This Row],[Actual Delivery Date]]="","Pending",IF(Orders[[#This Row],[Actual Delivery Date]]&lt;=Orders[[#This Row],[Expected Delivery Date]],"On Time","Late"))</f>
        <v>Pending</v>
      </c>
      <c r="U461" t="str">
        <f>TEXT(Orders[[#This Row],[Order Date]],"mmm")</f>
        <v>Aug</v>
      </c>
      <c r="V461" s="8">
        <f>DATE(YEAR(Orders[[#This Row],[Order Date]]),MONTH(Orders[[#This Row],[Order Date]]),1)</f>
        <v>46235</v>
      </c>
      <c r="W461" s="5">
        <f>IF(Orders[[#This Row],[Order Status]]="Cancelled",Orders[[#This Row],[Net Sales]],0)</f>
        <v>0</v>
      </c>
    </row>
    <row r="462" spans="1:23" x14ac:dyDescent="0.3">
      <c r="A462" t="s">
        <v>1008</v>
      </c>
      <c r="B462" s="7">
        <v>46138</v>
      </c>
      <c r="C462" t="s">
        <v>315</v>
      </c>
      <c r="D462" t="s">
        <v>1009</v>
      </c>
      <c r="E462" t="s">
        <v>79</v>
      </c>
      <c r="F462" t="s">
        <v>170</v>
      </c>
      <c r="G462" t="s">
        <v>118</v>
      </c>
      <c r="H462" t="s">
        <v>58</v>
      </c>
      <c r="I462">
        <v>1</v>
      </c>
      <c r="J462" s="5">
        <v>749</v>
      </c>
      <c r="K462" s="2">
        <v>0.2</v>
      </c>
      <c r="L462" t="s">
        <v>39</v>
      </c>
      <c r="M462" t="s">
        <v>47</v>
      </c>
      <c r="N462" s="1">
        <v>46143</v>
      </c>
      <c r="O462" s="1"/>
      <c r="P462" s="5">
        <f>Orders[[#This Row],[Quantity]]*Orders[[#This Row],[Unit Price]]</f>
        <v>749</v>
      </c>
      <c r="Q462" s="5">
        <f>Orders[[#This Row],[Gross Sales]]*Orders[[#This Row],[Discount %]]</f>
        <v>149.80000000000001</v>
      </c>
      <c r="R462" s="5">
        <f>Orders[[#This Row],[Gross Sales]]-Orders[[#This Row],[Discount Amount]]</f>
        <v>599.20000000000005</v>
      </c>
      <c r="S462" t="str">
        <f>IF(Orders[[#This Row],[Actual Delivery Date]]="","",Orders[[#This Row],[Actual Delivery Date]]-Orders[[#This Row],[Order Date]])</f>
        <v/>
      </c>
      <c r="T462" t="str">
        <f>IF(Orders[[#This Row],[Actual Delivery Date]]="","Pending",IF(Orders[[#This Row],[Actual Delivery Date]]&lt;=Orders[[#This Row],[Expected Delivery Date]],"On Time","Late"))</f>
        <v>Pending</v>
      </c>
      <c r="U462" t="str">
        <f>TEXT(Orders[[#This Row],[Order Date]],"mmm")</f>
        <v>Apr</v>
      </c>
      <c r="V462" s="8">
        <f>DATE(YEAR(Orders[[#This Row],[Order Date]]),MONTH(Orders[[#This Row],[Order Date]]),1)</f>
        <v>46113</v>
      </c>
      <c r="W462" s="5">
        <f>IF(Orders[[#This Row],[Order Status]]="Cancelled",Orders[[#This Row],[Net Sales]],0)</f>
        <v>0</v>
      </c>
    </row>
    <row r="463" spans="1:23" x14ac:dyDescent="0.3">
      <c r="A463" t="s">
        <v>1010</v>
      </c>
      <c r="B463" s="7">
        <v>46210</v>
      </c>
      <c r="C463" t="s">
        <v>843</v>
      </c>
      <c r="D463" t="s">
        <v>850</v>
      </c>
      <c r="E463" t="s">
        <v>35</v>
      </c>
      <c r="F463" t="s">
        <v>63</v>
      </c>
      <c r="G463" t="s">
        <v>206</v>
      </c>
      <c r="H463" t="s">
        <v>30</v>
      </c>
      <c r="I463">
        <v>1</v>
      </c>
      <c r="J463" s="5">
        <v>1199</v>
      </c>
      <c r="K463" s="2">
        <v>0</v>
      </c>
      <c r="L463" t="s">
        <v>22</v>
      </c>
      <c r="M463" t="s">
        <v>23</v>
      </c>
      <c r="N463" s="1">
        <v>46217</v>
      </c>
      <c r="O463" s="1">
        <v>46215</v>
      </c>
      <c r="P463" s="5">
        <f>Orders[[#This Row],[Quantity]]*Orders[[#This Row],[Unit Price]]</f>
        <v>1199</v>
      </c>
      <c r="Q463" s="5">
        <f>Orders[[#This Row],[Gross Sales]]*Orders[[#This Row],[Discount %]]</f>
        <v>0</v>
      </c>
      <c r="R463" s="5">
        <f>Orders[[#This Row],[Gross Sales]]-Orders[[#This Row],[Discount Amount]]</f>
        <v>1199</v>
      </c>
      <c r="S463">
        <f>IF(Orders[[#This Row],[Actual Delivery Date]]="","",Orders[[#This Row],[Actual Delivery Date]]-Orders[[#This Row],[Order Date]])</f>
        <v>5</v>
      </c>
      <c r="T463" t="str">
        <f>IF(Orders[[#This Row],[Actual Delivery Date]]="","Pending",IF(Orders[[#This Row],[Actual Delivery Date]]&lt;=Orders[[#This Row],[Expected Delivery Date]],"On Time","Late"))</f>
        <v>On Time</v>
      </c>
      <c r="U463" t="str">
        <f>TEXT(Orders[[#This Row],[Order Date]],"mmm")</f>
        <v>Jul</v>
      </c>
      <c r="V463" s="8">
        <f>DATE(YEAR(Orders[[#This Row],[Order Date]]),MONTH(Orders[[#This Row],[Order Date]]),1)</f>
        <v>46204</v>
      </c>
      <c r="W463" s="5">
        <f>IF(Orders[[#This Row],[Order Status]]="Cancelled",Orders[[#This Row],[Net Sales]],0)</f>
        <v>0</v>
      </c>
    </row>
    <row r="464" spans="1:23" x14ac:dyDescent="0.3">
      <c r="A464" t="s">
        <v>1011</v>
      </c>
      <c r="B464" s="7">
        <v>46063</v>
      </c>
      <c r="C464" t="s">
        <v>102</v>
      </c>
      <c r="D464" t="s">
        <v>358</v>
      </c>
      <c r="E464" t="s">
        <v>27</v>
      </c>
      <c r="F464" t="s">
        <v>51</v>
      </c>
      <c r="G464" t="s">
        <v>228</v>
      </c>
      <c r="H464" t="s">
        <v>58</v>
      </c>
      <c r="I464">
        <v>2</v>
      </c>
      <c r="J464" s="5">
        <v>1499</v>
      </c>
      <c r="K464" s="2">
        <v>0.2</v>
      </c>
      <c r="L464" t="s">
        <v>39</v>
      </c>
      <c r="M464" t="s">
        <v>23</v>
      </c>
      <c r="N464" s="1">
        <v>46068</v>
      </c>
      <c r="O464" s="1">
        <v>46064</v>
      </c>
      <c r="P464" s="5">
        <f>Orders[[#This Row],[Quantity]]*Orders[[#This Row],[Unit Price]]</f>
        <v>2998</v>
      </c>
      <c r="Q464" s="5">
        <f>Orders[[#This Row],[Gross Sales]]*Orders[[#This Row],[Discount %]]</f>
        <v>599.6</v>
      </c>
      <c r="R464" s="5">
        <f>Orders[[#This Row],[Gross Sales]]-Orders[[#This Row],[Discount Amount]]</f>
        <v>2398.4</v>
      </c>
      <c r="S464">
        <f>IF(Orders[[#This Row],[Actual Delivery Date]]="","",Orders[[#This Row],[Actual Delivery Date]]-Orders[[#This Row],[Order Date]])</f>
        <v>1</v>
      </c>
      <c r="T464" t="str">
        <f>IF(Orders[[#This Row],[Actual Delivery Date]]="","Pending",IF(Orders[[#This Row],[Actual Delivery Date]]&lt;=Orders[[#This Row],[Expected Delivery Date]],"On Time","Late"))</f>
        <v>On Time</v>
      </c>
      <c r="U464" t="str">
        <f>TEXT(Orders[[#This Row],[Order Date]],"mmm")</f>
        <v>Feb</v>
      </c>
      <c r="V464" s="8">
        <f>DATE(YEAR(Orders[[#This Row],[Order Date]]),MONTH(Orders[[#This Row],[Order Date]]),1)</f>
        <v>46054</v>
      </c>
      <c r="W464" s="5">
        <f>IF(Orders[[#This Row],[Order Status]]="Cancelled",Orders[[#This Row],[Net Sales]],0)</f>
        <v>0</v>
      </c>
    </row>
    <row r="465" spans="1:23" x14ac:dyDescent="0.3">
      <c r="A465" t="s">
        <v>1012</v>
      </c>
      <c r="B465" s="7">
        <v>46028</v>
      </c>
      <c r="C465" t="s">
        <v>960</v>
      </c>
      <c r="D465" t="s">
        <v>1013</v>
      </c>
      <c r="E465" t="s">
        <v>35</v>
      </c>
      <c r="F465" t="s">
        <v>135</v>
      </c>
      <c r="G465" t="s">
        <v>87</v>
      </c>
      <c r="H465" t="s">
        <v>21</v>
      </c>
      <c r="I465">
        <v>2</v>
      </c>
      <c r="J465" s="5">
        <v>1899</v>
      </c>
      <c r="K465" s="2">
        <v>0.2</v>
      </c>
      <c r="L465" t="s">
        <v>70</v>
      </c>
      <c r="M465" t="s">
        <v>47</v>
      </c>
      <c r="N465" s="1">
        <v>46035</v>
      </c>
      <c r="O465" s="1"/>
      <c r="P465" s="5">
        <f>Orders[[#This Row],[Quantity]]*Orders[[#This Row],[Unit Price]]</f>
        <v>3798</v>
      </c>
      <c r="Q465" s="5">
        <f>Orders[[#This Row],[Gross Sales]]*Orders[[#This Row],[Discount %]]</f>
        <v>759.6</v>
      </c>
      <c r="R465" s="5">
        <f>Orders[[#This Row],[Gross Sales]]-Orders[[#This Row],[Discount Amount]]</f>
        <v>3038.4</v>
      </c>
      <c r="S465" t="str">
        <f>IF(Orders[[#This Row],[Actual Delivery Date]]="","",Orders[[#This Row],[Actual Delivery Date]]-Orders[[#This Row],[Order Date]])</f>
        <v/>
      </c>
      <c r="T465" t="str">
        <f>IF(Orders[[#This Row],[Actual Delivery Date]]="","Pending",IF(Orders[[#This Row],[Actual Delivery Date]]&lt;=Orders[[#This Row],[Expected Delivery Date]],"On Time","Late"))</f>
        <v>Pending</v>
      </c>
      <c r="U465" t="str">
        <f>TEXT(Orders[[#This Row],[Order Date]],"mmm")</f>
        <v>Jan</v>
      </c>
      <c r="V465" s="8">
        <f>DATE(YEAR(Orders[[#This Row],[Order Date]]),MONTH(Orders[[#This Row],[Order Date]]),1)</f>
        <v>46023</v>
      </c>
      <c r="W465" s="5">
        <f>IF(Orders[[#This Row],[Order Status]]="Cancelled",Orders[[#This Row],[Net Sales]],0)</f>
        <v>0</v>
      </c>
    </row>
    <row r="466" spans="1:23" x14ac:dyDescent="0.3">
      <c r="A466" t="s">
        <v>1014</v>
      </c>
      <c r="B466" s="7">
        <v>46041</v>
      </c>
      <c r="C466" t="s">
        <v>452</v>
      </c>
      <c r="D466" t="s">
        <v>358</v>
      </c>
      <c r="E466" t="s">
        <v>35</v>
      </c>
      <c r="F466" t="s">
        <v>36</v>
      </c>
      <c r="G466" t="s">
        <v>20</v>
      </c>
      <c r="H466" t="s">
        <v>21</v>
      </c>
      <c r="I466">
        <v>2</v>
      </c>
      <c r="J466" s="5">
        <v>1799</v>
      </c>
      <c r="K466" s="2">
        <v>0.2</v>
      </c>
      <c r="L466" t="s">
        <v>46</v>
      </c>
      <c r="M466" t="s">
        <v>59</v>
      </c>
      <c r="N466" s="1">
        <v>46047</v>
      </c>
      <c r="O466" s="1">
        <v>46047</v>
      </c>
      <c r="P466" s="5">
        <f>Orders[[#This Row],[Quantity]]*Orders[[#This Row],[Unit Price]]</f>
        <v>3598</v>
      </c>
      <c r="Q466" s="5">
        <f>Orders[[#This Row],[Gross Sales]]*Orders[[#This Row],[Discount %]]</f>
        <v>719.6</v>
      </c>
      <c r="R466" s="5">
        <f>Orders[[#This Row],[Gross Sales]]-Orders[[#This Row],[Discount Amount]]</f>
        <v>2878.4</v>
      </c>
      <c r="S466">
        <f>IF(Orders[[#This Row],[Actual Delivery Date]]="","",Orders[[#This Row],[Actual Delivery Date]]-Orders[[#This Row],[Order Date]])</f>
        <v>6</v>
      </c>
      <c r="T466" t="str">
        <f>IF(Orders[[#This Row],[Actual Delivery Date]]="","Pending",IF(Orders[[#This Row],[Actual Delivery Date]]&lt;=Orders[[#This Row],[Expected Delivery Date]],"On Time","Late"))</f>
        <v>On Time</v>
      </c>
      <c r="U466" t="str">
        <f>TEXT(Orders[[#This Row],[Order Date]],"mmm")</f>
        <v>Jan</v>
      </c>
      <c r="V466" s="8">
        <f>DATE(YEAR(Orders[[#This Row],[Order Date]]),MONTH(Orders[[#This Row],[Order Date]]),1)</f>
        <v>46023</v>
      </c>
      <c r="W466" s="5">
        <f>IF(Orders[[#This Row],[Order Status]]="Cancelled",Orders[[#This Row],[Net Sales]],0)</f>
        <v>2878.4</v>
      </c>
    </row>
    <row r="467" spans="1:23" x14ac:dyDescent="0.3">
      <c r="A467" t="s">
        <v>1015</v>
      </c>
      <c r="B467" s="7">
        <v>46036</v>
      </c>
      <c r="C467" t="s">
        <v>416</v>
      </c>
      <c r="D467" t="s">
        <v>1016</v>
      </c>
      <c r="E467" t="s">
        <v>27</v>
      </c>
      <c r="F467" t="s">
        <v>28</v>
      </c>
      <c r="G467" t="s">
        <v>87</v>
      </c>
      <c r="H467" t="s">
        <v>21</v>
      </c>
      <c r="I467">
        <v>1</v>
      </c>
      <c r="J467" s="5">
        <v>1899</v>
      </c>
      <c r="K467" s="2">
        <v>0</v>
      </c>
      <c r="L467" t="s">
        <v>31</v>
      </c>
      <c r="M467" t="s">
        <v>47</v>
      </c>
      <c r="N467" s="1">
        <v>46038</v>
      </c>
      <c r="O467" s="1"/>
      <c r="P467" s="5">
        <f>Orders[[#This Row],[Quantity]]*Orders[[#This Row],[Unit Price]]</f>
        <v>1899</v>
      </c>
      <c r="Q467" s="5">
        <f>Orders[[#This Row],[Gross Sales]]*Orders[[#This Row],[Discount %]]</f>
        <v>0</v>
      </c>
      <c r="R467" s="5">
        <f>Orders[[#This Row],[Gross Sales]]-Orders[[#This Row],[Discount Amount]]</f>
        <v>1899</v>
      </c>
      <c r="S467" t="str">
        <f>IF(Orders[[#This Row],[Actual Delivery Date]]="","",Orders[[#This Row],[Actual Delivery Date]]-Orders[[#This Row],[Order Date]])</f>
        <v/>
      </c>
      <c r="T467" t="str">
        <f>IF(Orders[[#This Row],[Actual Delivery Date]]="","Pending",IF(Orders[[#This Row],[Actual Delivery Date]]&lt;=Orders[[#This Row],[Expected Delivery Date]],"On Time","Late"))</f>
        <v>Pending</v>
      </c>
      <c r="U467" t="str">
        <f>TEXT(Orders[[#This Row],[Order Date]],"mmm")</f>
        <v>Jan</v>
      </c>
      <c r="V467" s="8">
        <f>DATE(YEAR(Orders[[#This Row],[Order Date]]),MONTH(Orders[[#This Row],[Order Date]]),1)</f>
        <v>46023</v>
      </c>
      <c r="W467" s="5">
        <f>IF(Orders[[#This Row],[Order Status]]="Cancelled",Orders[[#This Row],[Net Sales]],0)</f>
        <v>0</v>
      </c>
    </row>
    <row r="468" spans="1:23" x14ac:dyDescent="0.3">
      <c r="A468" t="s">
        <v>1017</v>
      </c>
      <c r="B468" s="7">
        <v>46030</v>
      </c>
      <c r="C468" t="s">
        <v>602</v>
      </c>
      <c r="D468" t="s">
        <v>481</v>
      </c>
      <c r="E468" t="s">
        <v>27</v>
      </c>
      <c r="F468" t="s">
        <v>51</v>
      </c>
      <c r="G468" t="s">
        <v>186</v>
      </c>
      <c r="H468" t="s">
        <v>21</v>
      </c>
      <c r="I468">
        <v>2</v>
      </c>
      <c r="J468" s="5">
        <v>1999</v>
      </c>
      <c r="K468" s="2">
        <v>0.2</v>
      </c>
      <c r="L468" t="s">
        <v>31</v>
      </c>
      <c r="M468" t="s">
        <v>47</v>
      </c>
      <c r="N468" s="1">
        <v>46037</v>
      </c>
      <c r="O468" s="1"/>
      <c r="P468" s="5">
        <f>Orders[[#This Row],[Quantity]]*Orders[[#This Row],[Unit Price]]</f>
        <v>3998</v>
      </c>
      <c r="Q468" s="5">
        <f>Orders[[#This Row],[Gross Sales]]*Orders[[#This Row],[Discount %]]</f>
        <v>799.6</v>
      </c>
      <c r="R468" s="5">
        <f>Orders[[#This Row],[Gross Sales]]-Orders[[#This Row],[Discount Amount]]</f>
        <v>3198.4</v>
      </c>
      <c r="S468" t="str">
        <f>IF(Orders[[#This Row],[Actual Delivery Date]]="","",Orders[[#This Row],[Actual Delivery Date]]-Orders[[#This Row],[Order Date]])</f>
        <v/>
      </c>
      <c r="T468" t="str">
        <f>IF(Orders[[#This Row],[Actual Delivery Date]]="","Pending",IF(Orders[[#This Row],[Actual Delivery Date]]&lt;=Orders[[#This Row],[Expected Delivery Date]],"On Time","Late"))</f>
        <v>Pending</v>
      </c>
      <c r="U468" t="str">
        <f>TEXT(Orders[[#This Row],[Order Date]],"mmm")</f>
        <v>Jan</v>
      </c>
      <c r="V468" s="8">
        <f>DATE(YEAR(Orders[[#This Row],[Order Date]]),MONTH(Orders[[#This Row],[Order Date]]),1)</f>
        <v>46023</v>
      </c>
      <c r="W468" s="5">
        <f>IF(Orders[[#This Row],[Order Status]]="Cancelled",Orders[[#This Row],[Net Sales]],0)</f>
        <v>0</v>
      </c>
    </row>
    <row r="469" spans="1:23" x14ac:dyDescent="0.3">
      <c r="A469" t="s">
        <v>1018</v>
      </c>
      <c r="B469" s="7">
        <v>46271</v>
      </c>
      <c r="C469" t="s">
        <v>575</v>
      </c>
      <c r="D469" t="s">
        <v>792</v>
      </c>
      <c r="E469" t="s">
        <v>35</v>
      </c>
      <c r="F469" t="s">
        <v>68</v>
      </c>
      <c r="G469" t="s">
        <v>20</v>
      </c>
      <c r="H469" t="s">
        <v>21</v>
      </c>
      <c r="I469">
        <v>1</v>
      </c>
      <c r="J469" s="5">
        <v>1799</v>
      </c>
      <c r="K469" s="2">
        <v>0.2</v>
      </c>
      <c r="L469" t="s">
        <v>39</v>
      </c>
      <c r="M469" t="s">
        <v>23</v>
      </c>
      <c r="N469" s="1">
        <v>46273</v>
      </c>
      <c r="O469" s="1">
        <v>46275</v>
      </c>
      <c r="P469" s="5">
        <f>Orders[[#This Row],[Quantity]]*Orders[[#This Row],[Unit Price]]</f>
        <v>1799</v>
      </c>
      <c r="Q469" s="5">
        <f>Orders[[#This Row],[Gross Sales]]*Orders[[#This Row],[Discount %]]</f>
        <v>359.8</v>
      </c>
      <c r="R469" s="5">
        <f>Orders[[#This Row],[Gross Sales]]-Orders[[#This Row],[Discount Amount]]</f>
        <v>1439.2</v>
      </c>
      <c r="S469">
        <f>IF(Orders[[#This Row],[Actual Delivery Date]]="","",Orders[[#This Row],[Actual Delivery Date]]-Orders[[#This Row],[Order Date]])</f>
        <v>4</v>
      </c>
      <c r="T469" t="str">
        <f>IF(Orders[[#This Row],[Actual Delivery Date]]="","Pending",IF(Orders[[#This Row],[Actual Delivery Date]]&lt;=Orders[[#This Row],[Expected Delivery Date]],"On Time","Late"))</f>
        <v>Late</v>
      </c>
      <c r="U469" t="str">
        <f>TEXT(Orders[[#This Row],[Order Date]],"mmm")</f>
        <v>Sep</v>
      </c>
      <c r="V469" s="8">
        <f>DATE(YEAR(Orders[[#This Row],[Order Date]]),MONTH(Orders[[#This Row],[Order Date]]),1)</f>
        <v>46266</v>
      </c>
      <c r="W469" s="5">
        <f>IF(Orders[[#This Row],[Order Status]]="Cancelled",Orders[[#This Row],[Net Sales]],0)</f>
        <v>0</v>
      </c>
    </row>
    <row r="470" spans="1:23" x14ac:dyDescent="0.3">
      <c r="A470" t="s">
        <v>1019</v>
      </c>
      <c r="B470" s="7">
        <v>46130</v>
      </c>
      <c r="C470" t="s">
        <v>1020</v>
      </c>
      <c r="D470" t="s">
        <v>283</v>
      </c>
      <c r="E470" t="s">
        <v>79</v>
      </c>
      <c r="F470" t="s">
        <v>108</v>
      </c>
      <c r="G470" t="s">
        <v>180</v>
      </c>
      <c r="H470" t="s">
        <v>58</v>
      </c>
      <c r="I470">
        <v>2</v>
      </c>
      <c r="J470" s="5">
        <v>599</v>
      </c>
      <c r="K470" s="2">
        <v>0.1</v>
      </c>
      <c r="L470" t="s">
        <v>39</v>
      </c>
      <c r="M470" t="s">
        <v>59</v>
      </c>
      <c r="N470" s="1">
        <v>46134</v>
      </c>
      <c r="O470" s="1">
        <v>46131</v>
      </c>
      <c r="P470" s="5">
        <f>Orders[[#This Row],[Quantity]]*Orders[[#This Row],[Unit Price]]</f>
        <v>1198</v>
      </c>
      <c r="Q470" s="5">
        <f>Orders[[#This Row],[Gross Sales]]*Orders[[#This Row],[Discount %]]</f>
        <v>119.80000000000001</v>
      </c>
      <c r="R470" s="5">
        <f>Orders[[#This Row],[Gross Sales]]-Orders[[#This Row],[Discount Amount]]</f>
        <v>1078.2</v>
      </c>
      <c r="S470">
        <f>IF(Orders[[#This Row],[Actual Delivery Date]]="","",Orders[[#This Row],[Actual Delivery Date]]-Orders[[#This Row],[Order Date]])</f>
        <v>1</v>
      </c>
      <c r="T470" t="str">
        <f>IF(Orders[[#This Row],[Actual Delivery Date]]="","Pending",IF(Orders[[#This Row],[Actual Delivery Date]]&lt;=Orders[[#This Row],[Expected Delivery Date]],"On Time","Late"))</f>
        <v>On Time</v>
      </c>
      <c r="U470" t="str">
        <f>TEXT(Orders[[#This Row],[Order Date]],"mmm")</f>
        <v>Apr</v>
      </c>
      <c r="V470" s="8">
        <f>DATE(YEAR(Orders[[#This Row],[Order Date]]),MONTH(Orders[[#This Row],[Order Date]]),1)</f>
        <v>46113</v>
      </c>
      <c r="W470" s="5">
        <f>IF(Orders[[#This Row],[Order Status]]="Cancelled",Orders[[#This Row],[Net Sales]],0)</f>
        <v>1078.2</v>
      </c>
    </row>
    <row r="471" spans="1:23" x14ac:dyDescent="0.3">
      <c r="A471" t="s">
        <v>1021</v>
      </c>
      <c r="B471" s="7">
        <v>46266</v>
      </c>
      <c r="C471" t="s">
        <v>845</v>
      </c>
      <c r="D471" t="s">
        <v>355</v>
      </c>
      <c r="E471" t="s">
        <v>79</v>
      </c>
      <c r="F471" t="s">
        <v>170</v>
      </c>
      <c r="G471" t="s">
        <v>118</v>
      </c>
      <c r="H471" t="s">
        <v>58</v>
      </c>
      <c r="I471">
        <v>2</v>
      </c>
      <c r="J471" s="5">
        <v>749</v>
      </c>
      <c r="K471" s="2">
        <v>0.2</v>
      </c>
      <c r="L471" t="s">
        <v>31</v>
      </c>
      <c r="M471" t="s">
        <v>23</v>
      </c>
      <c r="N471" s="1">
        <v>46273</v>
      </c>
      <c r="O471" s="1">
        <v>46270</v>
      </c>
      <c r="P471" s="5">
        <f>Orders[[#This Row],[Quantity]]*Orders[[#This Row],[Unit Price]]</f>
        <v>1498</v>
      </c>
      <c r="Q471" s="5">
        <f>Orders[[#This Row],[Gross Sales]]*Orders[[#This Row],[Discount %]]</f>
        <v>299.60000000000002</v>
      </c>
      <c r="R471" s="5">
        <f>Orders[[#This Row],[Gross Sales]]-Orders[[#This Row],[Discount Amount]]</f>
        <v>1198.4000000000001</v>
      </c>
      <c r="S471">
        <f>IF(Orders[[#This Row],[Actual Delivery Date]]="","",Orders[[#This Row],[Actual Delivery Date]]-Orders[[#This Row],[Order Date]])</f>
        <v>4</v>
      </c>
      <c r="T471" t="str">
        <f>IF(Orders[[#This Row],[Actual Delivery Date]]="","Pending",IF(Orders[[#This Row],[Actual Delivery Date]]&lt;=Orders[[#This Row],[Expected Delivery Date]],"On Time","Late"))</f>
        <v>On Time</v>
      </c>
      <c r="U471" t="str">
        <f>TEXT(Orders[[#This Row],[Order Date]],"mmm")</f>
        <v>Sep</v>
      </c>
      <c r="V471" s="8">
        <f>DATE(YEAR(Orders[[#This Row],[Order Date]]),MONTH(Orders[[#This Row],[Order Date]]),1)</f>
        <v>46266</v>
      </c>
      <c r="W471" s="5">
        <f>IF(Orders[[#This Row],[Order Status]]="Cancelled",Orders[[#This Row],[Net Sales]],0)</f>
        <v>0</v>
      </c>
    </row>
    <row r="472" spans="1:23" x14ac:dyDescent="0.3">
      <c r="A472" t="s">
        <v>1022</v>
      </c>
      <c r="B472" s="7">
        <v>46218</v>
      </c>
      <c r="C472" t="s">
        <v>468</v>
      </c>
      <c r="D472" t="s">
        <v>632</v>
      </c>
      <c r="E472" t="s">
        <v>79</v>
      </c>
      <c r="F472" t="s">
        <v>86</v>
      </c>
      <c r="G472" t="s">
        <v>218</v>
      </c>
      <c r="H472" t="s">
        <v>21</v>
      </c>
      <c r="I472">
        <v>2</v>
      </c>
      <c r="J472" s="5">
        <v>2999</v>
      </c>
      <c r="K472" s="2">
        <v>0.2</v>
      </c>
      <c r="L472" t="s">
        <v>39</v>
      </c>
      <c r="M472" t="s">
        <v>23</v>
      </c>
      <c r="N472" s="1">
        <v>46224</v>
      </c>
      <c r="O472" s="1">
        <v>46222</v>
      </c>
      <c r="P472" s="5">
        <f>Orders[[#This Row],[Quantity]]*Orders[[#This Row],[Unit Price]]</f>
        <v>5998</v>
      </c>
      <c r="Q472" s="5">
        <f>Orders[[#This Row],[Gross Sales]]*Orders[[#This Row],[Discount %]]</f>
        <v>1199.6000000000001</v>
      </c>
      <c r="R472" s="5">
        <f>Orders[[#This Row],[Gross Sales]]-Orders[[#This Row],[Discount Amount]]</f>
        <v>4798.3999999999996</v>
      </c>
      <c r="S472">
        <f>IF(Orders[[#This Row],[Actual Delivery Date]]="","",Orders[[#This Row],[Actual Delivery Date]]-Orders[[#This Row],[Order Date]])</f>
        <v>4</v>
      </c>
      <c r="T472" t="str">
        <f>IF(Orders[[#This Row],[Actual Delivery Date]]="","Pending",IF(Orders[[#This Row],[Actual Delivery Date]]&lt;=Orders[[#This Row],[Expected Delivery Date]],"On Time","Late"))</f>
        <v>On Time</v>
      </c>
      <c r="U472" t="str">
        <f>TEXT(Orders[[#This Row],[Order Date]],"mmm")</f>
        <v>Jul</v>
      </c>
      <c r="V472" s="8">
        <f>DATE(YEAR(Orders[[#This Row],[Order Date]]),MONTH(Orders[[#This Row],[Order Date]]),1)</f>
        <v>46204</v>
      </c>
      <c r="W472" s="5">
        <f>IF(Orders[[#This Row],[Order Status]]="Cancelled",Orders[[#This Row],[Net Sales]],0)</f>
        <v>0</v>
      </c>
    </row>
    <row r="473" spans="1:23" x14ac:dyDescent="0.3">
      <c r="A473" t="s">
        <v>1023</v>
      </c>
      <c r="B473" s="7">
        <v>46358</v>
      </c>
      <c r="C473" t="s">
        <v>833</v>
      </c>
      <c r="D473" t="s">
        <v>378</v>
      </c>
      <c r="E473" t="s">
        <v>35</v>
      </c>
      <c r="F473" t="s">
        <v>36</v>
      </c>
      <c r="G473" t="s">
        <v>153</v>
      </c>
      <c r="H473" t="s">
        <v>45</v>
      </c>
      <c r="I473">
        <v>2</v>
      </c>
      <c r="J473" s="5">
        <v>1999</v>
      </c>
      <c r="K473" s="2">
        <v>0.15</v>
      </c>
      <c r="L473" t="s">
        <v>31</v>
      </c>
      <c r="M473" t="s">
        <v>59</v>
      </c>
      <c r="N473" s="1">
        <v>46365</v>
      </c>
      <c r="O473" s="1">
        <v>46360</v>
      </c>
      <c r="P473" s="5">
        <f>Orders[[#This Row],[Quantity]]*Orders[[#This Row],[Unit Price]]</f>
        <v>3998</v>
      </c>
      <c r="Q473" s="5">
        <f>Orders[[#This Row],[Gross Sales]]*Orders[[#This Row],[Discount %]]</f>
        <v>599.69999999999993</v>
      </c>
      <c r="R473" s="5">
        <f>Orders[[#This Row],[Gross Sales]]-Orders[[#This Row],[Discount Amount]]</f>
        <v>3398.3</v>
      </c>
      <c r="S473">
        <f>IF(Orders[[#This Row],[Actual Delivery Date]]="","",Orders[[#This Row],[Actual Delivery Date]]-Orders[[#This Row],[Order Date]])</f>
        <v>2</v>
      </c>
      <c r="T473" t="str">
        <f>IF(Orders[[#This Row],[Actual Delivery Date]]="","Pending",IF(Orders[[#This Row],[Actual Delivery Date]]&lt;=Orders[[#This Row],[Expected Delivery Date]],"On Time","Late"))</f>
        <v>On Time</v>
      </c>
      <c r="U473" t="str">
        <f>TEXT(Orders[[#This Row],[Order Date]],"mmm")</f>
        <v>Dec</v>
      </c>
      <c r="V473" s="8">
        <f>DATE(YEAR(Orders[[#This Row],[Order Date]]),MONTH(Orders[[#This Row],[Order Date]]),1)</f>
        <v>46357</v>
      </c>
      <c r="W473" s="5">
        <f>IF(Orders[[#This Row],[Order Status]]="Cancelled",Orders[[#This Row],[Net Sales]],0)</f>
        <v>3398.3</v>
      </c>
    </row>
    <row r="474" spans="1:23" x14ac:dyDescent="0.3">
      <c r="A474" t="s">
        <v>1024</v>
      </c>
      <c r="B474" s="7">
        <v>46367</v>
      </c>
      <c r="C474" t="s">
        <v>1025</v>
      </c>
      <c r="D474" t="s">
        <v>67</v>
      </c>
      <c r="E474" t="s">
        <v>27</v>
      </c>
      <c r="F474" t="s">
        <v>51</v>
      </c>
      <c r="G474" t="s">
        <v>81</v>
      </c>
      <c r="H474" t="s">
        <v>30</v>
      </c>
      <c r="I474">
        <v>1</v>
      </c>
      <c r="J474" s="5">
        <v>899</v>
      </c>
      <c r="K474" s="2">
        <v>0</v>
      </c>
      <c r="L474" t="s">
        <v>39</v>
      </c>
      <c r="M474" t="s">
        <v>23</v>
      </c>
      <c r="N474" s="1">
        <v>46369</v>
      </c>
      <c r="O474" s="1">
        <v>46369</v>
      </c>
      <c r="P474" s="5">
        <f>Orders[[#This Row],[Quantity]]*Orders[[#This Row],[Unit Price]]</f>
        <v>899</v>
      </c>
      <c r="Q474" s="5">
        <f>Orders[[#This Row],[Gross Sales]]*Orders[[#This Row],[Discount %]]</f>
        <v>0</v>
      </c>
      <c r="R474" s="5">
        <f>Orders[[#This Row],[Gross Sales]]-Orders[[#This Row],[Discount Amount]]</f>
        <v>899</v>
      </c>
      <c r="S474">
        <f>IF(Orders[[#This Row],[Actual Delivery Date]]="","",Orders[[#This Row],[Actual Delivery Date]]-Orders[[#This Row],[Order Date]])</f>
        <v>2</v>
      </c>
      <c r="T474" t="str">
        <f>IF(Orders[[#This Row],[Actual Delivery Date]]="","Pending",IF(Orders[[#This Row],[Actual Delivery Date]]&lt;=Orders[[#This Row],[Expected Delivery Date]],"On Time","Late"))</f>
        <v>On Time</v>
      </c>
      <c r="U474" t="str">
        <f>TEXT(Orders[[#This Row],[Order Date]],"mmm")</f>
        <v>Dec</v>
      </c>
      <c r="V474" s="8">
        <f>DATE(YEAR(Orders[[#This Row],[Order Date]]),MONTH(Orders[[#This Row],[Order Date]]),1)</f>
        <v>46357</v>
      </c>
      <c r="W474" s="5">
        <f>IF(Orders[[#This Row],[Order Status]]="Cancelled",Orders[[#This Row],[Net Sales]],0)</f>
        <v>0</v>
      </c>
    </row>
    <row r="475" spans="1:23" x14ac:dyDescent="0.3">
      <c r="A475" t="s">
        <v>1026</v>
      </c>
      <c r="B475" s="7">
        <v>46035</v>
      </c>
      <c r="C475" t="s">
        <v>849</v>
      </c>
      <c r="D475" t="s">
        <v>961</v>
      </c>
      <c r="E475" t="s">
        <v>35</v>
      </c>
      <c r="F475" t="s">
        <v>36</v>
      </c>
      <c r="G475" t="s">
        <v>104</v>
      </c>
      <c r="H475" t="s">
        <v>38</v>
      </c>
      <c r="I475">
        <v>2</v>
      </c>
      <c r="J475" s="5">
        <v>999</v>
      </c>
      <c r="K475" s="2">
        <v>0</v>
      </c>
      <c r="L475" t="s">
        <v>22</v>
      </c>
      <c r="M475" t="s">
        <v>59</v>
      </c>
      <c r="N475" s="1">
        <v>46038</v>
      </c>
      <c r="O475" s="1">
        <v>46039</v>
      </c>
      <c r="P475" s="5">
        <f>Orders[[#This Row],[Quantity]]*Orders[[#This Row],[Unit Price]]</f>
        <v>1998</v>
      </c>
      <c r="Q475" s="5">
        <f>Orders[[#This Row],[Gross Sales]]*Orders[[#This Row],[Discount %]]</f>
        <v>0</v>
      </c>
      <c r="R475" s="5">
        <f>Orders[[#This Row],[Gross Sales]]-Orders[[#This Row],[Discount Amount]]</f>
        <v>1998</v>
      </c>
      <c r="S475">
        <f>IF(Orders[[#This Row],[Actual Delivery Date]]="","",Orders[[#This Row],[Actual Delivery Date]]-Orders[[#This Row],[Order Date]])</f>
        <v>4</v>
      </c>
      <c r="T475" t="str">
        <f>IF(Orders[[#This Row],[Actual Delivery Date]]="","Pending",IF(Orders[[#This Row],[Actual Delivery Date]]&lt;=Orders[[#This Row],[Expected Delivery Date]],"On Time","Late"))</f>
        <v>Late</v>
      </c>
      <c r="U475" t="str">
        <f>TEXT(Orders[[#This Row],[Order Date]],"mmm")</f>
        <v>Jan</v>
      </c>
      <c r="V475" s="8">
        <f>DATE(YEAR(Orders[[#This Row],[Order Date]]),MONTH(Orders[[#This Row],[Order Date]]),1)</f>
        <v>46023</v>
      </c>
      <c r="W475" s="5">
        <f>IF(Orders[[#This Row],[Order Status]]="Cancelled",Orders[[#This Row],[Net Sales]],0)</f>
        <v>1998</v>
      </c>
    </row>
    <row r="476" spans="1:23" x14ac:dyDescent="0.3">
      <c r="A476" t="s">
        <v>1027</v>
      </c>
      <c r="B476" s="7">
        <v>46079</v>
      </c>
      <c r="C476" t="s">
        <v>1028</v>
      </c>
      <c r="D476" t="s">
        <v>500</v>
      </c>
      <c r="E476" t="s">
        <v>27</v>
      </c>
      <c r="F476" t="s">
        <v>74</v>
      </c>
      <c r="G476" t="s">
        <v>29</v>
      </c>
      <c r="H476" t="s">
        <v>30</v>
      </c>
      <c r="I476">
        <v>2</v>
      </c>
      <c r="J476" s="5">
        <v>599</v>
      </c>
      <c r="K476" s="2">
        <v>0.1</v>
      </c>
      <c r="L476" t="s">
        <v>46</v>
      </c>
      <c r="M476" t="s">
        <v>23</v>
      </c>
      <c r="N476" s="1">
        <v>46086</v>
      </c>
      <c r="O476" s="1">
        <v>46090</v>
      </c>
      <c r="P476" s="5">
        <f>Orders[[#This Row],[Quantity]]*Orders[[#This Row],[Unit Price]]</f>
        <v>1198</v>
      </c>
      <c r="Q476" s="5">
        <f>Orders[[#This Row],[Gross Sales]]*Orders[[#This Row],[Discount %]]</f>
        <v>119.80000000000001</v>
      </c>
      <c r="R476" s="5">
        <f>Orders[[#This Row],[Gross Sales]]-Orders[[#This Row],[Discount Amount]]</f>
        <v>1078.2</v>
      </c>
      <c r="S476">
        <f>IF(Orders[[#This Row],[Actual Delivery Date]]="","",Orders[[#This Row],[Actual Delivery Date]]-Orders[[#This Row],[Order Date]])</f>
        <v>11</v>
      </c>
      <c r="T476" t="str">
        <f>IF(Orders[[#This Row],[Actual Delivery Date]]="","Pending",IF(Orders[[#This Row],[Actual Delivery Date]]&lt;=Orders[[#This Row],[Expected Delivery Date]],"On Time","Late"))</f>
        <v>Late</v>
      </c>
      <c r="U476" t="str">
        <f>TEXT(Orders[[#This Row],[Order Date]],"mmm")</f>
        <v>Feb</v>
      </c>
      <c r="V476" s="8">
        <f>DATE(YEAR(Orders[[#This Row],[Order Date]]),MONTH(Orders[[#This Row],[Order Date]]),1)</f>
        <v>46054</v>
      </c>
      <c r="W476" s="5">
        <f>IF(Orders[[#This Row],[Order Status]]="Cancelled",Orders[[#This Row],[Net Sales]],0)</f>
        <v>0</v>
      </c>
    </row>
    <row r="477" spans="1:23" x14ac:dyDescent="0.3">
      <c r="A477" t="s">
        <v>1029</v>
      </c>
      <c r="B477" s="7">
        <v>46164</v>
      </c>
      <c r="C477" t="s">
        <v>151</v>
      </c>
      <c r="D477" t="s">
        <v>406</v>
      </c>
      <c r="E477" t="s">
        <v>35</v>
      </c>
      <c r="F477" t="s">
        <v>36</v>
      </c>
      <c r="G477" t="s">
        <v>104</v>
      </c>
      <c r="H477" t="s">
        <v>38</v>
      </c>
      <c r="I477">
        <v>3</v>
      </c>
      <c r="J477" s="5">
        <v>999</v>
      </c>
      <c r="K477" s="2">
        <v>0.15</v>
      </c>
      <c r="L477" t="s">
        <v>70</v>
      </c>
      <c r="M477" t="s">
        <v>23</v>
      </c>
      <c r="N477" s="1">
        <v>46166</v>
      </c>
      <c r="O477" s="1">
        <v>46166</v>
      </c>
      <c r="P477" s="5">
        <f>Orders[[#This Row],[Quantity]]*Orders[[#This Row],[Unit Price]]</f>
        <v>2997</v>
      </c>
      <c r="Q477" s="5">
        <f>Orders[[#This Row],[Gross Sales]]*Orders[[#This Row],[Discount %]]</f>
        <v>449.55</v>
      </c>
      <c r="R477" s="5">
        <f>Orders[[#This Row],[Gross Sales]]-Orders[[#This Row],[Discount Amount]]</f>
        <v>2547.4499999999998</v>
      </c>
      <c r="S477">
        <f>IF(Orders[[#This Row],[Actual Delivery Date]]="","",Orders[[#This Row],[Actual Delivery Date]]-Orders[[#This Row],[Order Date]])</f>
        <v>2</v>
      </c>
      <c r="T477" t="str">
        <f>IF(Orders[[#This Row],[Actual Delivery Date]]="","Pending",IF(Orders[[#This Row],[Actual Delivery Date]]&lt;=Orders[[#This Row],[Expected Delivery Date]],"On Time","Late"))</f>
        <v>On Time</v>
      </c>
      <c r="U477" t="str">
        <f>TEXT(Orders[[#This Row],[Order Date]],"mmm")</f>
        <v>May</v>
      </c>
      <c r="V477" s="8">
        <f>DATE(YEAR(Orders[[#This Row],[Order Date]]),MONTH(Orders[[#This Row],[Order Date]]),1)</f>
        <v>46143</v>
      </c>
      <c r="W477" s="5">
        <f>IF(Orders[[#This Row],[Order Status]]="Cancelled",Orders[[#This Row],[Net Sales]],0)</f>
        <v>0</v>
      </c>
    </row>
    <row r="478" spans="1:23" x14ac:dyDescent="0.3">
      <c r="A478" t="s">
        <v>1030</v>
      </c>
      <c r="B478" s="7">
        <v>46224</v>
      </c>
      <c r="C478" t="s">
        <v>754</v>
      </c>
      <c r="D478" t="s">
        <v>111</v>
      </c>
      <c r="E478" t="s">
        <v>18</v>
      </c>
      <c r="F478" t="s">
        <v>43</v>
      </c>
      <c r="G478" t="s">
        <v>69</v>
      </c>
      <c r="H478" t="s">
        <v>38</v>
      </c>
      <c r="I478">
        <v>1</v>
      </c>
      <c r="J478" s="5">
        <v>3499</v>
      </c>
      <c r="K478" s="2">
        <v>0.15</v>
      </c>
      <c r="L478" t="s">
        <v>39</v>
      </c>
      <c r="M478" t="s">
        <v>23</v>
      </c>
      <c r="N478" s="1">
        <v>46230</v>
      </c>
      <c r="O478" s="1">
        <v>46226</v>
      </c>
      <c r="P478" s="5">
        <f>Orders[[#This Row],[Quantity]]*Orders[[#This Row],[Unit Price]]</f>
        <v>3499</v>
      </c>
      <c r="Q478" s="5">
        <f>Orders[[#This Row],[Gross Sales]]*Orders[[#This Row],[Discount %]]</f>
        <v>524.85</v>
      </c>
      <c r="R478" s="5">
        <f>Orders[[#This Row],[Gross Sales]]-Orders[[#This Row],[Discount Amount]]</f>
        <v>2974.15</v>
      </c>
      <c r="S478">
        <f>IF(Orders[[#This Row],[Actual Delivery Date]]="","",Orders[[#This Row],[Actual Delivery Date]]-Orders[[#This Row],[Order Date]])</f>
        <v>2</v>
      </c>
      <c r="T478" t="str">
        <f>IF(Orders[[#This Row],[Actual Delivery Date]]="","Pending",IF(Orders[[#This Row],[Actual Delivery Date]]&lt;=Orders[[#This Row],[Expected Delivery Date]],"On Time","Late"))</f>
        <v>On Time</v>
      </c>
      <c r="U478" t="str">
        <f>TEXT(Orders[[#This Row],[Order Date]],"mmm")</f>
        <v>Jul</v>
      </c>
      <c r="V478" s="8">
        <f>DATE(YEAR(Orders[[#This Row],[Order Date]]),MONTH(Orders[[#This Row],[Order Date]]),1)</f>
        <v>46204</v>
      </c>
      <c r="W478" s="5">
        <f>IF(Orders[[#This Row],[Order Status]]="Cancelled",Orders[[#This Row],[Net Sales]],0)</f>
        <v>0</v>
      </c>
    </row>
    <row r="479" spans="1:23" x14ac:dyDescent="0.3">
      <c r="A479" t="s">
        <v>1031</v>
      </c>
      <c r="B479" s="7">
        <v>46059</v>
      </c>
      <c r="C479" t="s">
        <v>377</v>
      </c>
      <c r="D479" t="s">
        <v>1032</v>
      </c>
      <c r="E479" t="s">
        <v>35</v>
      </c>
      <c r="F479" t="s">
        <v>135</v>
      </c>
      <c r="G479" t="s">
        <v>75</v>
      </c>
      <c r="H479" t="s">
        <v>45</v>
      </c>
      <c r="I479">
        <v>2</v>
      </c>
      <c r="J479" s="5">
        <v>799</v>
      </c>
      <c r="K479" s="2">
        <v>0.1</v>
      </c>
      <c r="L479" t="s">
        <v>70</v>
      </c>
      <c r="M479" t="s">
        <v>23</v>
      </c>
      <c r="N479" s="1">
        <v>46064</v>
      </c>
      <c r="O479" s="1">
        <v>46060</v>
      </c>
      <c r="P479" s="5">
        <f>Orders[[#This Row],[Quantity]]*Orders[[#This Row],[Unit Price]]</f>
        <v>1598</v>
      </c>
      <c r="Q479" s="5">
        <f>Orders[[#This Row],[Gross Sales]]*Orders[[#This Row],[Discount %]]</f>
        <v>159.80000000000001</v>
      </c>
      <c r="R479" s="5">
        <f>Orders[[#This Row],[Gross Sales]]-Orders[[#This Row],[Discount Amount]]</f>
        <v>1438.2</v>
      </c>
      <c r="S479">
        <f>IF(Orders[[#This Row],[Actual Delivery Date]]="","",Orders[[#This Row],[Actual Delivery Date]]-Orders[[#This Row],[Order Date]])</f>
        <v>1</v>
      </c>
      <c r="T479" t="str">
        <f>IF(Orders[[#This Row],[Actual Delivery Date]]="","Pending",IF(Orders[[#This Row],[Actual Delivery Date]]&lt;=Orders[[#This Row],[Expected Delivery Date]],"On Time","Late"))</f>
        <v>On Time</v>
      </c>
      <c r="U479" t="str">
        <f>TEXT(Orders[[#This Row],[Order Date]],"mmm")</f>
        <v>Feb</v>
      </c>
      <c r="V479" s="8">
        <f>DATE(YEAR(Orders[[#This Row],[Order Date]]),MONTH(Orders[[#This Row],[Order Date]]),1)</f>
        <v>46054</v>
      </c>
      <c r="W479" s="5">
        <f>IF(Orders[[#This Row],[Order Status]]="Cancelled",Orders[[#This Row],[Net Sales]],0)</f>
        <v>0</v>
      </c>
    </row>
    <row r="480" spans="1:23" x14ac:dyDescent="0.3">
      <c r="A480" t="s">
        <v>1033</v>
      </c>
      <c r="B480" s="7">
        <v>46317</v>
      </c>
      <c r="C480" t="s">
        <v>102</v>
      </c>
      <c r="D480" t="s">
        <v>266</v>
      </c>
      <c r="E480" t="s">
        <v>35</v>
      </c>
      <c r="F480" t="s">
        <v>68</v>
      </c>
      <c r="G480" t="s">
        <v>218</v>
      </c>
      <c r="H480" t="s">
        <v>21</v>
      </c>
      <c r="I480">
        <v>1</v>
      </c>
      <c r="J480" s="5">
        <v>2999</v>
      </c>
      <c r="K480" s="2">
        <v>0.15</v>
      </c>
      <c r="L480" t="s">
        <v>70</v>
      </c>
      <c r="M480" t="s">
        <v>23</v>
      </c>
      <c r="N480" s="1">
        <v>46322</v>
      </c>
      <c r="O480" s="1">
        <v>46318</v>
      </c>
      <c r="P480" s="5">
        <f>Orders[[#This Row],[Quantity]]*Orders[[#This Row],[Unit Price]]</f>
        <v>2999</v>
      </c>
      <c r="Q480" s="5">
        <f>Orders[[#This Row],[Gross Sales]]*Orders[[#This Row],[Discount %]]</f>
        <v>449.84999999999997</v>
      </c>
      <c r="R480" s="5">
        <f>Orders[[#This Row],[Gross Sales]]-Orders[[#This Row],[Discount Amount]]</f>
        <v>2549.15</v>
      </c>
      <c r="S480">
        <f>IF(Orders[[#This Row],[Actual Delivery Date]]="","",Orders[[#This Row],[Actual Delivery Date]]-Orders[[#This Row],[Order Date]])</f>
        <v>1</v>
      </c>
      <c r="T480" t="str">
        <f>IF(Orders[[#This Row],[Actual Delivery Date]]="","Pending",IF(Orders[[#This Row],[Actual Delivery Date]]&lt;=Orders[[#This Row],[Expected Delivery Date]],"On Time","Late"))</f>
        <v>On Time</v>
      </c>
      <c r="U480" t="str">
        <f>TEXT(Orders[[#This Row],[Order Date]],"mmm")</f>
        <v>Oct</v>
      </c>
      <c r="V480" s="8">
        <f>DATE(YEAR(Orders[[#This Row],[Order Date]]),MONTH(Orders[[#This Row],[Order Date]]),1)</f>
        <v>46296</v>
      </c>
      <c r="W480" s="5">
        <f>IF(Orders[[#This Row],[Order Status]]="Cancelled",Orders[[#This Row],[Net Sales]],0)</f>
        <v>0</v>
      </c>
    </row>
    <row r="481" spans="1:23" x14ac:dyDescent="0.3">
      <c r="A481" t="s">
        <v>1034</v>
      </c>
      <c r="B481" s="7">
        <v>46313</v>
      </c>
      <c r="C481" t="s">
        <v>1035</v>
      </c>
      <c r="D481" t="s">
        <v>907</v>
      </c>
      <c r="E481" t="s">
        <v>18</v>
      </c>
      <c r="F481" t="s">
        <v>43</v>
      </c>
      <c r="G481" t="s">
        <v>147</v>
      </c>
      <c r="H481" t="s">
        <v>58</v>
      </c>
      <c r="I481">
        <v>2</v>
      </c>
      <c r="J481" s="5">
        <v>399</v>
      </c>
      <c r="K481" s="2">
        <v>0.1</v>
      </c>
      <c r="L481" t="s">
        <v>46</v>
      </c>
      <c r="M481" t="s">
        <v>59</v>
      </c>
      <c r="N481" s="1">
        <v>46317</v>
      </c>
      <c r="O481" s="1">
        <v>46314</v>
      </c>
      <c r="P481" s="5">
        <f>Orders[[#This Row],[Quantity]]*Orders[[#This Row],[Unit Price]]</f>
        <v>798</v>
      </c>
      <c r="Q481" s="5">
        <f>Orders[[#This Row],[Gross Sales]]*Orders[[#This Row],[Discount %]]</f>
        <v>79.800000000000011</v>
      </c>
      <c r="R481" s="5">
        <f>Orders[[#This Row],[Gross Sales]]-Orders[[#This Row],[Discount Amount]]</f>
        <v>718.2</v>
      </c>
      <c r="S481">
        <f>IF(Orders[[#This Row],[Actual Delivery Date]]="","",Orders[[#This Row],[Actual Delivery Date]]-Orders[[#This Row],[Order Date]])</f>
        <v>1</v>
      </c>
      <c r="T481" t="str">
        <f>IF(Orders[[#This Row],[Actual Delivery Date]]="","Pending",IF(Orders[[#This Row],[Actual Delivery Date]]&lt;=Orders[[#This Row],[Expected Delivery Date]],"On Time","Late"))</f>
        <v>On Time</v>
      </c>
      <c r="U481" t="str">
        <f>TEXT(Orders[[#This Row],[Order Date]],"mmm")</f>
        <v>Oct</v>
      </c>
      <c r="V481" s="8">
        <f>DATE(YEAR(Orders[[#This Row],[Order Date]]),MONTH(Orders[[#This Row],[Order Date]]),1)</f>
        <v>46296</v>
      </c>
      <c r="W481" s="5">
        <f>IF(Orders[[#This Row],[Order Status]]="Cancelled",Orders[[#This Row],[Net Sales]],0)</f>
        <v>718.2</v>
      </c>
    </row>
    <row r="482" spans="1:23" x14ac:dyDescent="0.3">
      <c r="A482" t="s">
        <v>1036</v>
      </c>
      <c r="B482" s="7">
        <v>46354</v>
      </c>
      <c r="C482" t="s">
        <v>528</v>
      </c>
      <c r="D482" t="s">
        <v>442</v>
      </c>
      <c r="E482" t="s">
        <v>35</v>
      </c>
      <c r="F482" t="s">
        <v>135</v>
      </c>
      <c r="G482" t="s">
        <v>118</v>
      </c>
      <c r="H482" t="s">
        <v>58</v>
      </c>
      <c r="I482">
        <v>1</v>
      </c>
      <c r="J482" s="5">
        <v>749</v>
      </c>
      <c r="K482" s="2">
        <v>0.2</v>
      </c>
      <c r="L482" t="s">
        <v>39</v>
      </c>
      <c r="M482" t="s">
        <v>23</v>
      </c>
      <c r="N482" s="1">
        <v>46361</v>
      </c>
      <c r="O482" s="1">
        <v>46360</v>
      </c>
      <c r="P482" s="5">
        <f>Orders[[#This Row],[Quantity]]*Orders[[#This Row],[Unit Price]]</f>
        <v>749</v>
      </c>
      <c r="Q482" s="5">
        <f>Orders[[#This Row],[Gross Sales]]*Orders[[#This Row],[Discount %]]</f>
        <v>149.80000000000001</v>
      </c>
      <c r="R482" s="5">
        <f>Orders[[#This Row],[Gross Sales]]-Orders[[#This Row],[Discount Amount]]</f>
        <v>599.20000000000005</v>
      </c>
      <c r="S482">
        <f>IF(Orders[[#This Row],[Actual Delivery Date]]="","",Orders[[#This Row],[Actual Delivery Date]]-Orders[[#This Row],[Order Date]])</f>
        <v>6</v>
      </c>
      <c r="T482" t="str">
        <f>IF(Orders[[#This Row],[Actual Delivery Date]]="","Pending",IF(Orders[[#This Row],[Actual Delivery Date]]&lt;=Orders[[#This Row],[Expected Delivery Date]],"On Time","Late"))</f>
        <v>On Time</v>
      </c>
      <c r="U482" t="str">
        <f>TEXT(Orders[[#This Row],[Order Date]],"mmm")</f>
        <v>Nov</v>
      </c>
      <c r="V482" s="8">
        <f>DATE(YEAR(Orders[[#This Row],[Order Date]]),MONTH(Orders[[#This Row],[Order Date]]),1)</f>
        <v>46327</v>
      </c>
      <c r="W482" s="5">
        <f>IF(Orders[[#This Row],[Order Status]]="Cancelled",Orders[[#This Row],[Net Sales]],0)</f>
        <v>0</v>
      </c>
    </row>
    <row r="483" spans="1:23" x14ac:dyDescent="0.3">
      <c r="A483" t="s">
        <v>1037</v>
      </c>
      <c r="B483" s="7">
        <v>46120</v>
      </c>
      <c r="C483" t="s">
        <v>185</v>
      </c>
      <c r="D483" t="s">
        <v>529</v>
      </c>
      <c r="E483" t="s">
        <v>35</v>
      </c>
      <c r="F483" t="s">
        <v>63</v>
      </c>
      <c r="G483" t="s">
        <v>160</v>
      </c>
      <c r="H483" t="s">
        <v>45</v>
      </c>
      <c r="I483">
        <v>1</v>
      </c>
      <c r="J483" s="5">
        <v>1499</v>
      </c>
      <c r="K483" s="2">
        <v>0.05</v>
      </c>
      <c r="L483" t="s">
        <v>39</v>
      </c>
      <c r="M483" t="s">
        <v>59</v>
      </c>
      <c r="N483" s="1">
        <v>46126</v>
      </c>
      <c r="O483" s="1">
        <v>46124</v>
      </c>
      <c r="P483" s="5">
        <f>Orders[[#This Row],[Quantity]]*Orders[[#This Row],[Unit Price]]</f>
        <v>1499</v>
      </c>
      <c r="Q483" s="5">
        <f>Orders[[#This Row],[Gross Sales]]*Orders[[#This Row],[Discount %]]</f>
        <v>74.95</v>
      </c>
      <c r="R483" s="5">
        <f>Orders[[#This Row],[Gross Sales]]-Orders[[#This Row],[Discount Amount]]</f>
        <v>1424.05</v>
      </c>
      <c r="S483">
        <f>IF(Orders[[#This Row],[Actual Delivery Date]]="","",Orders[[#This Row],[Actual Delivery Date]]-Orders[[#This Row],[Order Date]])</f>
        <v>4</v>
      </c>
      <c r="T483" t="str">
        <f>IF(Orders[[#This Row],[Actual Delivery Date]]="","Pending",IF(Orders[[#This Row],[Actual Delivery Date]]&lt;=Orders[[#This Row],[Expected Delivery Date]],"On Time","Late"))</f>
        <v>On Time</v>
      </c>
      <c r="U483" t="str">
        <f>TEXT(Orders[[#This Row],[Order Date]],"mmm")</f>
        <v>Apr</v>
      </c>
      <c r="V483" s="8">
        <f>DATE(YEAR(Orders[[#This Row],[Order Date]]),MONTH(Orders[[#This Row],[Order Date]]),1)</f>
        <v>46113</v>
      </c>
      <c r="W483" s="5">
        <f>IF(Orders[[#This Row],[Order Status]]="Cancelled",Orders[[#This Row],[Net Sales]],0)</f>
        <v>1424.05</v>
      </c>
    </row>
    <row r="484" spans="1:23" x14ac:dyDescent="0.3">
      <c r="A484" t="s">
        <v>1038</v>
      </c>
      <c r="B484" s="7">
        <v>46031</v>
      </c>
      <c r="C484" t="s">
        <v>727</v>
      </c>
      <c r="D484" t="s">
        <v>1039</v>
      </c>
      <c r="E484" t="s">
        <v>35</v>
      </c>
      <c r="F484" t="s">
        <v>63</v>
      </c>
      <c r="G484" t="s">
        <v>100</v>
      </c>
      <c r="H484" t="s">
        <v>30</v>
      </c>
      <c r="I484">
        <v>1</v>
      </c>
      <c r="J484" s="5">
        <v>2499</v>
      </c>
      <c r="K484" s="2">
        <v>0</v>
      </c>
      <c r="L484" t="s">
        <v>46</v>
      </c>
      <c r="M484" t="s">
        <v>82</v>
      </c>
      <c r="N484" s="1">
        <v>46038</v>
      </c>
      <c r="O484" s="1">
        <v>46032</v>
      </c>
      <c r="P484" s="5">
        <f>Orders[[#This Row],[Quantity]]*Orders[[#This Row],[Unit Price]]</f>
        <v>2499</v>
      </c>
      <c r="Q484" s="5">
        <f>Orders[[#This Row],[Gross Sales]]*Orders[[#This Row],[Discount %]]</f>
        <v>0</v>
      </c>
      <c r="R484" s="5">
        <f>Orders[[#This Row],[Gross Sales]]-Orders[[#This Row],[Discount Amount]]</f>
        <v>2499</v>
      </c>
      <c r="S484">
        <f>IF(Orders[[#This Row],[Actual Delivery Date]]="","",Orders[[#This Row],[Actual Delivery Date]]-Orders[[#This Row],[Order Date]])</f>
        <v>1</v>
      </c>
      <c r="T484" t="str">
        <f>IF(Orders[[#This Row],[Actual Delivery Date]]="","Pending",IF(Orders[[#This Row],[Actual Delivery Date]]&lt;=Orders[[#This Row],[Expected Delivery Date]],"On Time","Late"))</f>
        <v>On Time</v>
      </c>
      <c r="U484" t="str">
        <f>TEXT(Orders[[#This Row],[Order Date]],"mmm")</f>
        <v>Jan</v>
      </c>
      <c r="V484" s="8">
        <f>DATE(YEAR(Orders[[#This Row],[Order Date]]),MONTH(Orders[[#This Row],[Order Date]]),1)</f>
        <v>46023</v>
      </c>
      <c r="W484" s="5">
        <f>IF(Orders[[#This Row],[Order Status]]="Cancelled",Orders[[#This Row],[Net Sales]],0)</f>
        <v>0</v>
      </c>
    </row>
    <row r="485" spans="1:23" x14ac:dyDescent="0.3">
      <c r="A485" t="s">
        <v>1040</v>
      </c>
      <c r="B485" s="7">
        <v>46059</v>
      </c>
      <c r="C485" t="s">
        <v>630</v>
      </c>
      <c r="D485" t="s">
        <v>345</v>
      </c>
      <c r="E485" t="s">
        <v>79</v>
      </c>
      <c r="F485" t="s">
        <v>108</v>
      </c>
      <c r="G485" t="s">
        <v>29</v>
      </c>
      <c r="H485" t="s">
        <v>30</v>
      </c>
      <c r="I485">
        <v>1</v>
      </c>
      <c r="J485" s="5">
        <v>599</v>
      </c>
      <c r="K485" s="2">
        <v>0.05</v>
      </c>
      <c r="L485" t="s">
        <v>70</v>
      </c>
      <c r="M485" t="s">
        <v>59</v>
      </c>
      <c r="N485" s="1">
        <v>46061</v>
      </c>
      <c r="O485" s="1">
        <v>46060</v>
      </c>
      <c r="P485" s="5">
        <f>Orders[[#This Row],[Quantity]]*Orders[[#This Row],[Unit Price]]</f>
        <v>599</v>
      </c>
      <c r="Q485" s="5">
        <f>Orders[[#This Row],[Gross Sales]]*Orders[[#This Row],[Discount %]]</f>
        <v>29.950000000000003</v>
      </c>
      <c r="R485" s="5">
        <f>Orders[[#This Row],[Gross Sales]]-Orders[[#This Row],[Discount Amount]]</f>
        <v>569.04999999999995</v>
      </c>
      <c r="S485">
        <f>IF(Orders[[#This Row],[Actual Delivery Date]]="","",Orders[[#This Row],[Actual Delivery Date]]-Orders[[#This Row],[Order Date]])</f>
        <v>1</v>
      </c>
      <c r="T485" t="str">
        <f>IF(Orders[[#This Row],[Actual Delivery Date]]="","Pending",IF(Orders[[#This Row],[Actual Delivery Date]]&lt;=Orders[[#This Row],[Expected Delivery Date]],"On Time","Late"))</f>
        <v>On Time</v>
      </c>
      <c r="U485" t="str">
        <f>TEXT(Orders[[#This Row],[Order Date]],"mmm")</f>
        <v>Feb</v>
      </c>
      <c r="V485" s="8">
        <f>DATE(YEAR(Orders[[#This Row],[Order Date]]),MONTH(Orders[[#This Row],[Order Date]]),1)</f>
        <v>46054</v>
      </c>
      <c r="W485" s="5">
        <f>IF(Orders[[#This Row],[Order Status]]="Cancelled",Orders[[#This Row],[Net Sales]],0)</f>
        <v>569.04999999999995</v>
      </c>
    </row>
    <row r="486" spans="1:23" x14ac:dyDescent="0.3">
      <c r="A486" t="s">
        <v>1041</v>
      </c>
      <c r="B486" s="7">
        <v>46072</v>
      </c>
      <c r="C486" t="s">
        <v>185</v>
      </c>
      <c r="D486" t="s">
        <v>486</v>
      </c>
      <c r="E486" t="s">
        <v>18</v>
      </c>
      <c r="F486" t="s">
        <v>95</v>
      </c>
      <c r="G486" t="s">
        <v>153</v>
      </c>
      <c r="H486" t="s">
        <v>45</v>
      </c>
      <c r="I486">
        <v>2</v>
      </c>
      <c r="J486" s="5">
        <v>1999</v>
      </c>
      <c r="K486" s="2">
        <v>0.05</v>
      </c>
      <c r="L486" t="s">
        <v>22</v>
      </c>
      <c r="M486" t="s">
        <v>23</v>
      </c>
      <c r="N486" s="1">
        <v>46074</v>
      </c>
      <c r="O486" s="1">
        <v>46073</v>
      </c>
      <c r="P486" s="5">
        <f>Orders[[#This Row],[Quantity]]*Orders[[#This Row],[Unit Price]]</f>
        <v>3998</v>
      </c>
      <c r="Q486" s="5">
        <f>Orders[[#This Row],[Gross Sales]]*Orders[[#This Row],[Discount %]]</f>
        <v>199.9</v>
      </c>
      <c r="R486" s="5">
        <f>Orders[[#This Row],[Gross Sales]]-Orders[[#This Row],[Discount Amount]]</f>
        <v>3798.1</v>
      </c>
      <c r="S486">
        <f>IF(Orders[[#This Row],[Actual Delivery Date]]="","",Orders[[#This Row],[Actual Delivery Date]]-Orders[[#This Row],[Order Date]])</f>
        <v>1</v>
      </c>
      <c r="T486" t="str">
        <f>IF(Orders[[#This Row],[Actual Delivery Date]]="","Pending",IF(Orders[[#This Row],[Actual Delivery Date]]&lt;=Orders[[#This Row],[Expected Delivery Date]],"On Time","Late"))</f>
        <v>On Time</v>
      </c>
      <c r="U486" t="str">
        <f>TEXT(Orders[[#This Row],[Order Date]],"mmm")</f>
        <v>Feb</v>
      </c>
      <c r="V486" s="8">
        <f>DATE(YEAR(Orders[[#This Row],[Order Date]]),MONTH(Orders[[#This Row],[Order Date]]),1)</f>
        <v>46054</v>
      </c>
      <c r="W486" s="5">
        <f>IF(Orders[[#This Row],[Order Status]]="Cancelled",Orders[[#This Row],[Net Sales]],0)</f>
        <v>0</v>
      </c>
    </row>
    <row r="487" spans="1:23" x14ac:dyDescent="0.3">
      <c r="A487" t="s">
        <v>1042</v>
      </c>
      <c r="B487" s="7">
        <v>46084</v>
      </c>
      <c r="C487" t="s">
        <v>1043</v>
      </c>
      <c r="D487" t="s">
        <v>569</v>
      </c>
      <c r="E487" t="s">
        <v>79</v>
      </c>
      <c r="F487" t="s">
        <v>80</v>
      </c>
      <c r="G487" t="s">
        <v>118</v>
      </c>
      <c r="H487" t="s">
        <v>58</v>
      </c>
      <c r="I487">
        <v>5</v>
      </c>
      <c r="J487" s="5">
        <v>749</v>
      </c>
      <c r="K487" s="2">
        <v>0.2</v>
      </c>
      <c r="L487" t="s">
        <v>22</v>
      </c>
      <c r="M487" t="s">
        <v>23</v>
      </c>
      <c r="N487" s="1">
        <v>46088</v>
      </c>
      <c r="O487" s="1">
        <v>46086</v>
      </c>
      <c r="P487" s="5">
        <f>Orders[[#This Row],[Quantity]]*Orders[[#This Row],[Unit Price]]</f>
        <v>3745</v>
      </c>
      <c r="Q487" s="5">
        <f>Orders[[#This Row],[Gross Sales]]*Orders[[#This Row],[Discount %]]</f>
        <v>749</v>
      </c>
      <c r="R487" s="5">
        <f>Orders[[#This Row],[Gross Sales]]-Orders[[#This Row],[Discount Amount]]</f>
        <v>2996</v>
      </c>
      <c r="S487">
        <f>IF(Orders[[#This Row],[Actual Delivery Date]]="","",Orders[[#This Row],[Actual Delivery Date]]-Orders[[#This Row],[Order Date]])</f>
        <v>2</v>
      </c>
      <c r="T487" t="str">
        <f>IF(Orders[[#This Row],[Actual Delivery Date]]="","Pending",IF(Orders[[#This Row],[Actual Delivery Date]]&lt;=Orders[[#This Row],[Expected Delivery Date]],"On Time","Late"))</f>
        <v>On Time</v>
      </c>
      <c r="U487" t="str">
        <f>TEXT(Orders[[#This Row],[Order Date]],"mmm")</f>
        <v>Mar</v>
      </c>
      <c r="V487" s="8">
        <f>DATE(YEAR(Orders[[#This Row],[Order Date]]),MONTH(Orders[[#This Row],[Order Date]]),1)</f>
        <v>46082</v>
      </c>
      <c r="W487" s="5">
        <f>IF(Orders[[#This Row],[Order Status]]="Cancelled",Orders[[#This Row],[Net Sales]],0)</f>
        <v>0</v>
      </c>
    </row>
    <row r="488" spans="1:23" x14ac:dyDescent="0.3">
      <c r="A488" t="s">
        <v>1044</v>
      </c>
      <c r="B488" s="7">
        <v>46095</v>
      </c>
      <c r="C488" t="s">
        <v>251</v>
      </c>
      <c r="D488" t="s">
        <v>224</v>
      </c>
      <c r="E488" t="s">
        <v>35</v>
      </c>
      <c r="F488" t="s">
        <v>135</v>
      </c>
      <c r="G488" t="s">
        <v>153</v>
      </c>
      <c r="H488" t="s">
        <v>45</v>
      </c>
      <c r="I488">
        <v>3</v>
      </c>
      <c r="J488" s="5">
        <v>1999</v>
      </c>
      <c r="K488" s="2">
        <v>0.05</v>
      </c>
      <c r="L488" t="s">
        <v>46</v>
      </c>
      <c r="M488" t="s">
        <v>47</v>
      </c>
      <c r="N488" s="1">
        <v>46098</v>
      </c>
      <c r="O488" s="1"/>
      <c r="P488" s="5">
        <f>Orders[[#This Row],[Quantity]]*Orders[[#This Row],[Unit Price]]</f>
        <v>5997</v>
      </c>
      <c r="Q488" s="5">
        <f>Orders[[#This Row],[Gross Sales]]*Orders[[#This Row],[Discount %]]</f>
        <v>299.85000000000002</v>
      </c>
      <c r="R488" s="5">
        <f>Orders[[#This Row],[Gross Sales]]-Orders[[#This Row],[Discount Amount]]</f>
        <v>5697.15</v>
      </c>
      <c r="S488" t="str">
        <f>IF(Orders[[#This Row],[Actual Delivery Date]]="","",Orders[[#This Row],[Actual Delivery Date]]-Orders[[#This Row],[Order Date]])</f>
        <v/>
      </c>
      <c r="T488" t="str">
        <f>IF(Orders[[#This Row],[Actual Delivery Date]]="","Pending",IF(Orders[[#This Row],[Actual Delivery Date]]&lt;=Orders[[#This Row],[Expected Delivery Date]],"On Time","Late"))</f>
        <v>Pending</v>
      </c>
      <c r="U488" t="str">
        <f>TEXT(Orders[[#This Row],[Order Date]],"mmm")</f>
        <v>Mar</v>
      </c>
      <c r="V488" s="8">
        <f>DATE(YEAR(Orders[[#This Row],[Order Date]]),MONTH(Orders[[#This Row],[Order Date]]),1)</f>
        <v>46082</v>
      </c>
      <c r="W488" s="5">
        <f>IF(Orders[[#This Row],[Order Status]]="Cancelled",Orders[[#This Row],[Net Sales]],0)</f>
        <v>0</v>
      </c>
    </row>
    <row r="489" spans="1:23" x14ac:dyDescent="0.3">
      <c r="A489" t="s">
        <v>1045</v>
      </c>
      <c r="B489" s="7">
        <v>46215</v>
      </c>
      <c r="C489" t="s">
        <v>987</v>
      </c>
      <c r="D489" t="s">
        <v>937</v>
      </c>
      <c r="E489" t="s">
        <v>18</v>
      </c>
      <c r="F489" t="s">
        <v>95</v>
      </c>
      <c r="G489" t="s">
        <v>44</v>
      </c>
      <c r="H489" t="s">
        <v>45</v>
      </c>
      <c r="I489">
        <v>3</v>
      </c>
      <c r="J489" s="5">
        <v>1799</v>
      </c>
      <c r="K489" s="2">
        <v>0</v>
      </c>
      <c r="L489" t="s">
        <v>70</v>
      </c>
      <c r="M489" t="s">
        <v>23</v>
      </c>
      <c r="N489" s="1">
        <v>46217</v>
      </c>
      <c r="O489" s="1">
        <v>46216</v>
      </c>
      <c r="P489" s="5">
        <f>Orders[[#This Row],[Quantity]]*Orders[[#This Row],[Unit Price]]</f>
        <v>5397</v>
      </c>
      <c r="Q489" s="5">
        <f>Orders[[#This Row],[Gross Sales]]*Orders[[#This Row],[Discount %]]</f>
        <v>0</v>
      </c>
      <c r="R489" s="5">
        <f>Orders[[#This Row],[Gross Sales]]-Orders[[#This Row],[Discount Amount]]</f>
        <v>5397</v>
      </c>
      <c r="S489">
        <f>IF(Orders[[#This Row],[Actual Delivery Date]]="","",Orders[[#This Row],[Actual Delivery Date]]-Orders[[#This Row],[Order Date]])</f>
        <v>1</v>
      </c>
      <c r="T489" t="str">
        <f>IF(Orders[[#This Row],[Actual Delivery Date]]="","Pending",IF(Orders[[#This Row],[Actual Delivery Date]]&lt;=Orders[[#This Row],[Expected Delivery Date]],"On Time","Late"))</f>
        <v>On Time</v>
      </c>
      <c r="U489" t="str">
        <f>TEXT(Orders[[#This Row],[Order Date]],"mmm")</f>
        <v>Jul</v>
      </c>
      <c r="V489" s="8">
        <f>DATE(YEAR(Orders[[#This Row],[Order Date]]),MONTH(Orders[[#This Row],[Order Date]]),1)</f>
        <v>46204</v>
      </c>
      <c r="W489" s="5">
        <f>IF(Orders[[#This Row],[Order Status]]="Cancelled",Orders[[#This Row],[Net Sales]],0)</f>
        <v>0</v>
      </c>
    </row>
    <row r="490" spans="1:23" x14ac:dyDescent="0.3">
      <c r="A490" t="s">
        <v>1046</v>
      </c>
      <c r="B490" s="7">
        <v>46350</v>
      </c>
      <c r="C490" t="s">
        <v>285</v>
      </c>
      <c r="D490" t="s">
        <v>550</v>
      </c>
      <c r="E490" t="s">
        <v>79</v>
      </c>
      <c r="F490" t="s">
        <v>108</v>
      </c>
      <c r="G490" t="s">
        <v>37</v>
      </c>
      <c r="H490" t="s">
        <v>38</v>
      </c>
      <c r="I490">
        <v>1</v>
      </c>
      <c r="J490" s="5">
        <v>699</v>
      </c>
      <c r="K490" s="2">
        <v>0.15</v>
      </c>
      <c r="L490" t="s">
        <v>70</v>
      </c>
      <c r="M490" t="s">
        <v>23</v>
      </c>
      <c r="N490" s="1">
        <v>46353</v>
      </c>
      <c r="O490" s="1">
        <v>46351</v>
      </c>
      <c r="P490" s="5">
        <f>Orders[[#This Row],[Quantity]]*Orders[[#This Row],[Unit Price]]</f>
        <v>699</v>
      </c>
      <c r="Q490" s="5">
        <f>Orders[[#This Row],[Gross Sales]]*Orders[[#This Row],[Discount %]]</f>
        <v>104.85</v>
      </c>
      <c r="R490" s="5">
        <f>Orders[[#This Row],[Gross Sales]]-Orders[[#This Row],[Discount Amount]]</f>
        <v>594.15</v>
      </c>
      <c r="S490">
        <f>IF(Orders[[#This Row],[Actual Delivery Date]]="","",Orders[[#This Row],[Actual Delivery Date]]-Orders[[#This Row],[Order Date]])</f>
        <v>1</v>
      </c>
      <c r="T490" t="str">
        <f>IF(Orders[[#This Row],[Actual Delivery Date]]="","Pending",IF(Orders[[#This Row],[Actual Delivery Date]]&lt;=Orders[[#This Row],[Expected Delivery Date]],"On Time","Late"))</f>
        <v>On Time</v>
      </c>
      <c r="U490" t="str">
        <f>TEXT(Orders[[#This Row],[Order Date]],"mmm")</f>
        <v>Nov</v>
      </c>
      <c r="V490" s="8">
        <f>DATE(YEAR(Orders[[#This Row],[Order Date]]),MONTH(Orders[[#This Row],[Order Date]]),1)</f>
        <v>46327</v>
      </c>
      <c r="W490" s="5">
        <f>IF(Orders[[#This Row],[Order Status]]="Cancelled",Orders[[#This Row],[Net Sales]],0)</f>
        <v>0</v>
      </c>
    </row>
    <row r="491" spans="1:23" x14ac:dyDescent="0.3">
      <c r="A491" t="s">
        <v>1047</v>
      </c>
      <c r="B491" s="7">
        <v>46025</v>
      </c>
      <c r="C491" t="s">
        <v>66</v>
      </c>
      <c r="D491" t="s">
        <v>529</v>
      </c>
      <c r="E491" t="s">
        <v>18</v>
      </c>
      <c r="F491" t="s">
        <v>121</v>
      </c>
      <c r="G491" t="s">
        <v>218</v>
      </c>
      <c r="H491" t="s">
        <v>21</v>
      </c>
      <c r="I491">
        <v>2</v>
      </c>
      <c r="J491" s="5">
        <v>2999</v>
      </c>
      <c r="K491" s="2">
        <v>0.05</v>
      </c>
      <c r="L491" t="s">
        <v>39</v>
      </c>
      <c r="M491" t="s">
        <v>47</v>
      </c>
      <c r="N491" s="1">
        <v>46027</v>
      </c>
      <c r="O491" s="1"/>
      <c r="P491" s="5">
        <f>Orders[[#This Row],[Quantity]]*Orders[[#This Row],[Unit Price]]</f>
        <v>5998</v>
      </c>
      <c r="Q491" s="5">
        <f>Orders[[#This Row],[Gross Sales]]*Orders[[#This Row],[Discount %]]</f>
        <v>299.90000000000003</v>
      </c>
      <c r="R491" s="5">
        <f>Orders[[#This Row],[Gross Sales]]-Orders[[#This Row],[Discount Amount]]</f>
        <v>5698.1</v>
      </c>
      <c r="S491" t="str">
        <f>IF(Orders[[#This Row],[Actual Delivery Date]]="","",Orders[[#This Row],[Actual Delivery Date]]-Orders[[#This Row],[Order Date]])</f>
        <v/>
      </c>
      <c r="T491" t="str">
        <f>IF(Orders[[#This Row],[Actual Delivery Date]]="","Pending",IF(Orders[[#This Row],[Actual Delivery Date]]&lt;=Orders[[#This Row],[Expected Delivery Date]],"On Time","Late"))</f>
        <v>Pending</v>
      </c>
      <c r="U491" t="str">
        <f>TEXT(Orders[[#This Row],[Order Date]],"mmm")</f>
        <v>Jan</v>
      </c>
      <c r="V491" s="8">
        <f>DATE(YEAR(Orders[[#This Row],[Order Date]]),MONTH(Orders[[#This Row],[Order Date]]),1)</f>
        <v>46023</v>
      </c>
      <c r="W491" s="5">
        <f>IF(Orders[[#This Row],[Order Status]]="Cancelled",Orders[[#This Row],[Net Sales]],0)</f>
        <v>0</v>
      </c>
    </row>
    <row r="492" spans="1:23" x14ac:dyDescent="0.3">
      <c r="A492" t="s">
        <v>1048</v>
      </c>
      <c r="B492" s="7">
        <v>46050</v>
      </c>
      <c r="C492" t="s">
        <v>794</v>
      </c>
      <c r="D492" t="s">
        <v>752</v>
      </c>
      <c r="E492" t="s">
        <v>27</v>
      </c>
      <c r="F492" t="s">
        <v>74</v>
      </c>
      <c r="G492" t="s">
        <v>131</v>
      </c>
      <c r="H492" t="s">
        <v>38</v>
      </c>
      <c r="I492">
        <v>1</v>
      </c>
      <c r="J492" s="5">
        <v>899</v>
      </c>
      <c r="K492" s="2">
        <v>0.05</v>
      </c>
      <c r="L492" t="s">
        <v>70</v>
      </c>
      <c r="M492" t="s">
        <v>23</v>
      </c>
      <c r="N492" s="1">
        <v>46053</v>
      </c>
      <c r="O492" s="1">
        <v>46051</v>
      </c>
      <c r="P492" s="5">
        <f>Orders[[#This Row],[Quantity]]*Orders[[#This Row],[Unit Price]]</f>
        <v>899</v>
      </c>
      <c r="Q492" s="5">
        <f>Orders[[#This Row],[Gross Sales]]*Orders[[#This Row],[Discount %]]</f>
        <v>44.95</v>
      </c>
      <c r="R492" s="5">
        <f>Orders[[#This Row],[Gross Sales]]-Orders[[#This Row],[Discount Amount]]</f>
        <v>854.05</v>
      </c>
      <c r="S492">
        <f>IF(Orders[[#This Row],[Actual Delivery Date]]="","",Orders[[#This Row],[Actual Delivery Date]]-Orders[[#This Row],[Order Date]])</f>
        <v>1</v>
      </c>
      <c r="T492" t="str">
        <f>IF(Orders[[#This Row],[Actual Delivery Date]]="","Pending",IF(Orders[[#This Row],[Actual Delivery Date]]&lt;=Orders[[#This Row],[Expected Delivery Date]],"On Time","Late"))</f>
        <v>On Time</v>
      </c>
      <c r="U492" t="str">
        <f>TEXT(Orders[[#This Row],[Order Date]],"mmm")</f>
        <v>Jan</v>
      </c>
      <c r="V492" s="8">
        <f>DATE(YEAR(Orders[[#This Row],[Order Date]]),MONTH(Orders[[#This Row],[Order Date]]),1)</f>
        <v>46023</v>
      </c>
      <c r="W492" s="5">
        <f>IF(Orders[[#This Row],[Order Status]]="Cancelled",Orders[[#This Row],[Net Sales]],0)</f>
        <v>0</v>
      </c>
    </row>
    <row r="493" spans="1:23" x14ac:dyDescent="0.3">
      <c r="A493" t="s">
        <v>1049</v>
      </c>
      <c r="B493" s="7">
        <v>46194</v>
      </c>
      <c r="C493" t="s">
        <v>963</v>
      </c>
      <c r="D493" t="s">
        <v>78</v>
      </c>
      <c r="E493" t="s">
        <v>35</v>
      </c>
      <c r="F493" t="s">
        <v>68</v>
      </c>
      <c r="G493" t="s">
        <v>118</v>
      </c>
      <c r="H493" t="s">
        <v>58</v>
      </c>
      <c r="I493">
        <v>2</v>
      </c>
      <c r="J493" s="5">
        <v>749</v>
      </c>
      <c r="K493" s="2">
        <v>0.15</v>
      </c>
      <c r="L493" t="s">
        <v>39</v>
      </c>
      <c r="M493" t="s">
        <v>23</v>
      </c>
      <c r="N493" s="1">
        <v>46201</v>
      </c>
      <c r="O493" s="1">
        <v>46199</v>
      </c>
      <c r="P493" s="5">
        <f>Orders[[#This Row],[Quantity]]*Orders[[#This Row],[Unit Price]]</f>
        <v>1498</v>
      </c>
      <c r="Q493" s="5">
        <f>Orders[[#This Row],[Gross Sales]]*Orders[[#This Row],[Discount %]]</f>
        <v>224.7</v>
      </c>
      <c r="R493" s="5">
        <f>Orders[[#This Row],[Gross Sales]]-Orders[[#This Row],[Discount Amount]]</f>
        <v>1273.3</v>
      </c>
      <c r="S493">
        <f>IF(Orders[[#This Row],[Actual Delivery Date]]="","",Orders[[#This Row],[Actual Delivery Date]]-Orders[[#This Row],[Order Date]])</f>
        <v>5</v>
      </c>
      <c r="T493" t="str">
        <f>IF(Orders[[#This Row],[Actual Delivery Date]]="","Pending",IF(Orders[[#This Row],[Actual Delivery Date]]&lt;=Orders[[#This Row],[Expected Delivery Date]],"On Time","Late"))</f>
        <v>On Time</v>
      </c>
      <c r="U493" t="str">
        <f>TEXT(Orders[[#This Row],[Order Date]],"mmm")</f>
        <v>Jun</v>
      </c>
      <c r="V493" s="8">
        <f>DATE(YEAR(Orders[[#This Row],[Order Date]]),MONTH(Orders[[#This Row],[Order Date]]),1)</f>
        <v>46174</v>
      </c>
      <c r="W493" s="5">
        <f>IF(Orders[[#This Row],[Order Status]]="Cancelled",Orders[[#This Row],[Net Sales]],0)</f>
        <v>0</v>
      </c>
    </row>
    <row r="494" spans="1:23" x14ac:dyDescent="0.3">
      <c r="A494" t="s">
        <v>1050</v>
      </c>
      <c r="B494" s="7">
        <v>46059</v>
      </c>
      <c r="C494" t="s">
        <v>391</v>
      </c>
      <c r="D494" t="s">
        <v>1051</v>
      </c>
      <c r="E494" t="s">
        <v>18</v>
      </c>
      <c r="F494" t="s">
        <v>43</v>
      </c>
      <c r="G494" t="s">
        <v>81</v>
      </c>
      <c r="H494" t="s">
        <v>30</v>
      </c>
      <c r="I494">
        <v>3</v>
      </c>
      <c r="J494" s="5">
        <v>899</v>
      </c>
      <c r="K494" s="2">
        <v>0.15</v>
      </c>
      <c r="L494" t="s">
        <v>22</v>
      </c>
      <c r="M494" t="s">
        <v>47</v>
      </c>
      <c r="N494" s="1">
        <v>46063</v>
      </c>
      <c r="O494" s="1"/>
      <c r="P494" s="5">
        <f>Orders[[#This Row],[Quantity]]*Orders[[#This Row],[Unit Price]]</f>
        <v>2697</v>
      </c>
      <c r="Q494" s="5">
        <f>Orders[[#This Row],[Gross Sales]]*Orders[[#This Row],[Discount %]]</f>
        <v>404.55</v>
      </c>
      <c r="R494" s="5">
        <f>Orders[[#This Row],[Gross Sales]]-Orders[[#This Row],[Discount Amount]]</f>
        <v>2292.4499999999998</v>
      </c>
      <c r="S494" t="str">
        <f>IF(Orders[[#This Row],[Actual Delivery Date]]="","",Orders[[#This Row],[Actual Delivery Date]]-Orders[[#This Row],[Order Date]])</f>
        <v/>
      </c>
      <c r="T494" t="str">
        <f>IF(Orders[[#This Row],[Actual Delivery Date]]="","Pending",IF(Orders[[#This Row],[Actual Delivery Date]]&lt;=Orders[[#This Row],[Expected Delivery Date]],"On Time","Late"))</f>
        <v>Pending</v>
      </c>
      <c r="U494" t="str">
        <f>TEXT(Orders[[#This Row],[Order Date]],"mmm")</f>
        <v>Feb</v>
      </c>
      <c r="V494" s="8">
        <f>DATE(YEAR(Orders[[#This Row],[Order Date]]),MONTH(Orders[[#This Row],[Order Date]]),1)</f>
        <v>46054</v>
      </c>
      <c r="W494" s="5">
        <f>IF(Orders[[#This Row],[Order Status]]="Cancelled",Orders[[#This Row],[Net Sales]],0)</f>
        <v>0</v>
      </c>
    </row>
    <row r="495" spans="1:23" x14ac:dyDescent="0.3">
      <c r="A495" t="s">
        <v>1052</v>
      </c>
      <c r="B495" s="7">
        <v>46139</v>
      </c>
      <c r="C495" t="s">
        <v>590</v>
      </c>
      <c r="D495" t="s">
        <v>263</v>
      </c>
      <c r="E495" t="s">
        <v>35</v>
      </c>
      <c r="F495" t="s">
        <v>68</v>
      </c>
      <c r="G495" t="s">
        <v>153</v>
      </c>
      <c r="H495" t="s">
        <v>45</v>
      </c>
      <c r="I495">
        <v>1</v>
      </c>
      <c r="J495" s="5">
        <v>1999</v>
      </c>
      <c r="K495" s="2">
        <v>0.15</v>
      </c>
      <c r="L495" t="s">
        <v>31</v>
      </c>
      <c r="M495" t="s">
        <v>23</v>
      </c>
      <c r="N495" s="1">
        <v>46142</v>
      </c>
      <c r="O495" s="1">
        <v>46142</v>
      </c>
      <c r="P495" s="5">
        <f>Orders[[#This Row],[Quantity]]*Orders[[#This Row],[Unit Price]]</f>
        <v>1999</v>
      </c>
      <c r="Q495" s="5">
        <f>Orders[[#This Row],[Gross Sales]]*Orders[[#This Row],[Discount %]]</f>
        <v>299.84999999999997</v>
      </c>
      <c r="R495" s="5">
        <f>Orders[[#This Row],[Gross Sales]]-Orders[[#This Row],[Discount Amount]]</f>
        <v>1699.15</v>
      </c>
      <c r="S495">
        <f>IF(Orders[[#This Row],[Actual Delivery Date]]="","",Orders[[#This Row],[Actual Delivery Date]]-Orders[[#This Row],[Order Date]])</f>
        <v>3</v>
      </c>
      <c r="T495" t="str">
        <f>IF(Orders[[#This Row],[Actual Delivery Date]]="","Pending",IF(Orders[[#This Row],[Actual Delivery Date]]&lt;=Orders[[#This Row],[Expected Delivery Date]],"On Time","Late"))</f>
        <v>On Time</v>
      </c>
      <c r="U495" t="str">
        <f>TEXT(Orders[[#This Row],[Order Date]],"mmm")</f>
        <v>Apr</v>
      </c>
      <c r="V495" s="8">
        <f>DATE(YEAR(Orders[[#This Row],[Order Date]]),MONTH(Orders[[#This Row],[Order Date]]),1)</f>
        <v>46113</v>
      </c>
      <c r="W495" s="5">
        <f>IF(Orders[[#This Row],[Order Status]]="Cancelled",Orders[[#This Row],[Net Sales]],0)</f>
        <v>0</v>
      </c>
    </row>
    <row r="496" spans="1:23" x14ac:dyDescent="0.3">
      <c r="A496" t="s">
        <v>1053</v>
      </c>
      <c r="B496" s="7">
        <v>46255</v>
      </c>
      <c r="C496" t="s">
        <v>858</v>
      </c>
      <c r="D496" t="s">
        <v>486</v>
      </c>
      <c r="E496" t="s">
        <v>79</v>
      </c>
      <c r="F496" t="s">
        <v>108</v>
      </c>
      <c r="G496" t="s">
        <v>69</v>
      </c>
      <c r="H496" t="s">
        <v>38</v>
      </c>
      <c r="I496">
        <v>1</v>
      </c>
      <c r="J496" s="5">
        <v>3499</v>
      </c>
      <c r="K496" s="2">
        <v>0.1</v>
      </c>
      <c r="L496" t="s">
        <v>31</v>
      </c>
      <c r="M496" t="s">
        <v>23</v>
      </c>
      <c r="N496" s="1">
        <v>46262</v>
      </c>
      <c r="O496" s="1">
        <v>46258</v>
      </c>
      <c r="P496" s="5">
        <f>Orders[[#This Row],[Quantity]]*Orders[[#This Row],[Unit Price]]</f>
        <v>3499</v>
      </c>
      <c r="Q496" s="5">
        <f>Orders[[#This Row],[Gross Sales]]*Orders[[#This Row],[Discount %]]</f>
        <v>349.90000000000003</v>
      </c>
      <c r="R496" s="5">
        <f>Orders[[#This Row],[Gross Sales]]-Orders[[#This Row],[Discount Amount]]</f>
        <v>3149.1</v>
      </c>
      <c r="S496">
        <f>IF(Orders[[#This Row],[Actual Delivery Date]]="","",Orders[[#This Row],[Actual Delivery Date]]-Orders[[#This Row],[Order Date]])</f>
        <v>3</v>
      </c>
      <c r="T496" t="str">
        <f>IF(Orders[[#This Row],[Actual Delivery Date]]="","Pending",IF(Orders[[#This Row],[Actual Delivery Date]]&lt;=Orders[[#This Row],[Expected Delivery Date]],"On Time","Late"))</f>
        <v>On Time</v>
      </c>
      <c r="U496" t="str">
        <f>TEXT(Orders[[#This Row],[Order Date]],"mmm")</f>
        <v>Aug</v>
      </c>
      <c r="V496" s="8">
        <f>DATE(YEAR(Orders[[#This Row],[Order Date]]),MONTH(Orders[[#This Row],[Order Date]]),1)</f>
        <v>46235</v>
      </c>
      <c r="W496" s="5">
        <f>IF(Orders[[#This Row],[Order Status]]="Cancelled",Orders[[#This Row],[Net Sales]],0)</f>
        <v>0</v>
      </c>
    </row>
    <row r="497" spans="1:23" x14ac:dyDescent="0.3">
      <c r="A497" t="s">
        <v>1054</v>
      </c>
      <c r="B497" s="7">
        <v>46053</v>
      </c>
      <c r="C497" t="s">
        <v>98</v>
      </c>
      <c r="D497" t="s">
        <v>1055</v>
      </c>
      <c r="E497" t="s">
        <v>35</v>
      </c>
      <c r="F497" t="s">
        <v>68</v>
      </c>
      <c r="G497" t="s">
        <v>44</v>
      </c>
      <c r="H497" t="s">
        <v>45</v>
      </c>
      <c r="I497">
        <v>1</v>
      </c>
      <c r="J497" s="5">
        <v>1799</v>
      </c>
      <c r="K497" s="2">
        <v>0</v>
      </c>
      <c r="L497" t="s">
        <v>70</v>
      </c>
      <c r="M497" t="s">
        <v>23</v>
      </c>
      <c r="N497" s="1">
        <v>46058</v>
      </c>
      <c r="O497" s="1">
        <v>46056</v>
      </c>
      <c r="P497" s="5">
        <f>Orders[[#This Row],[Quantity]]*Orders[[#This Row],[Unit Price]]</f>
        <v>1799</v>
      </c>
      <c r="Q497" s="5">
        <f>Orders[[#This Row],[Gross Sales]]*Orders[[#This Row],[Discount %]]</f>
        <v>0</v>
      </c>
      <c r="R497" s="5">
        <f>Orders[[#This Row],[Gross Sales]]-Orders[[#This Row],[Discount Amount]]</f>
        <v>1799</v>
      </c>
      <c r="S497">
        <f>IF(Orders[[#This Row],[Actual Delivery Date]]="","",Orders[[#This Row],[Actual Delivery Date]]-Orders[[#This Row],[Order Date]])</f>
        <v>3</v>
      </c>
      <c r="T497" t="str">
        <f>IF(Orders[[#This Row],[Actual Delivery Date]]="","Pending",IF(Orders[[#This Row],[Actual Delivery Date]]&lt;=Orders[[#This Row],[Expected Delivery Date]],"On Time","Late"))</f>
        <v>On Time</v>
      </c>
      <c r="U497" t="str">
        <f>TEXT(Orders[[#This Row],[Order Date]],"mmm")</f>
        <v>Jan</v>
      </c>
      <c r="V497" s="8">
        <f>DATE(YEAR(Orders[[#This Row],[Order Date]]),MONTH(Orders[[#This Row],[Order Date]]),1)</f>
        <v>46023</v>
      </c>
      <c r="W497" s="5">
        <f>IF(Orders[[#This Row],[Order Status]]="Cancelled",Orders[[#This Row],[Net Sales]],0)</f>
        <v>0</v>
      </c>
    </row>
    <row r="498" spans="1:23" x14ac:dyDescent="0.3">
      <c r="A498" t="s">
        <v>1056</v>
      </c>
      <c r="B498" s="7">
        <v>46140</v>
      </c>
      <c r="C498" t="s">
        <v>416</v>
      </c>
      <c r="D498" t="s">
        <v>837</v>
      </c>
      <c r="E498" t="s">
        <v>27</v>
      </c>
      <c r="F498" t="s">
        <v>56</v>
      </c>
      <c r="G498" t="s">
        <v>206</v>
      </c>
      <c r="H498" t="s">
        <v>30</v>
      </c>
      <c r="I498">
        <v>1</v>
      </c>
      <c r="J498" s="5">
        <v>1199</v>
      </c>
      <c r="K498" s="2">
        <v>0.2</v>
      </c>
      <c r="L498" t="s">
        <v>70</v>
      </c>
      <c r="M498" t="s">
        <v>82</v>
      </c>
      <c r="N498" s="1">
        <v>46143</v>
      </c>
      <c r="O498" s="1">
        <v>46142</v>
      </c>
      <c r="P498" s="5">
        <f>Orders[[#This Row],[Quantity]]*Orders[[#This Row],[Unit Price]]</f>
        <v>1199</v>
      </c>
      <c r="Q498" s="5">
        <f>Orders[[#This Row],[Gross Sales]]*Orders[[#This Row],[Discount %]]</f>
        <v>239.8</v>
      </c>
      <c r="R498" s="5">
        <f>Orders[[#This Row],[Gross Sales]]-Orders[[#This Row],[Discount Amount]]</f>
        <v>959.2</v>
      </c>
      <c r="S498">
        <f>IF(Orders[[#This Row],[Actual Delivery Date]]="","",Orders[[#This Row],[Actual Delivery Date]]-Orders[[#This Row],[Order Date]])</f>
        <v>2</v>
      </c>
      <c r="T498" t="str">
        <f>IF(Orders[[#This Row],[Actual Delivery Date]]="","Pending",IF(Orders[[#This Row],[Actual Delivery Date]]&lt;=Orders[[#This Row],[Expected Delivery Date]],"On Time","Late"))</f>
        <v>On Time</v>
      </c>
      <c r="U498" t="str">
        <f>TEXT(Orders[[#This Row],[Order Date]],"mmm")</f>
        <v>Apr</v>
      </c>
      <c r="V498" s="8">
        <f>DATE(YEAR(Orders[[#This Row],[Order Date]]),MONTH(Orders[[#This Row],[Order Date]]),1)</f>
        <v>46113</v>
      </c>
      <c r="W498" s="5">
        <f>IF(Orders[[#This Row],[Order Status]]="Cancelled",Orders[[#This Row],[Net Sales]],0)</f>
        <v>0</v>
      </c>
    </row>
    <row r="499" spans="1:23" x14ac:dyDescent="0.3">
      <c r="A499" t="s">
        <v>1057</v>
      </c>
      <c r="B499" s="7">
        <v>46245</v>
      </c>
      <c r="C499" t="s">
        <v>1058</v>
      </c>
      <c r="D499" t="s">
        <v>555</v>
      </c>
      <c r="E499" t="s">
        <v>79</v>
      </c>
      <c r="F499" t="s">
        <v>108</v>
      </c>
      <c r="G499" t="s">
        <v>131</v>
      </c>
      <c r="H499" t="s">
        <v>38</v>
      </c>
      <c r="I499">
        <v>2</v>
      </c>
      <c r="J499" s="5">
        <v>899</v>
      </c>
      <c r="K499" s="2">
        <v>0.2</v>
      </c>
      <c r="L499" t="s">
        <v>31</v>
      </c>
      <c r="M499" t="s">
        <v>47</v>
      </c>
      <c r="N499" s="1">
        <v>46247</v>
      </c>
      <c r="O499" s="1"/>
      <c r="P499" s="5">
        <f>Orders[[#This Row],[Quantity]]*Orders[[#This Row],[Unit Price]]</f>
        <v>1798</v>
      </c>
      <c r="Q499" s="5">
        <f>Orders[[#This Row],[Gross Sales]]*Orders[[#This Row],[Discount %]]</f>
        <v>359.6</v>
      </c>
      <c r="R499" s="5">
        <f>Orders[[#This Row],[Gross Sales]]-Orders[[#This Row],[Discount Amount]]</f>
        <v>1438.4</v>
      </c>
      <c r="S499" t="str">
        <f>IF(Orders[[#This Row],[Actual Delivery Date]]="","",Orders[[#This Row],[Actual Delivery Date]]-Orders[[#This Row],[Order Date]])</f>
        <v/>
      </c>
      <c r="T499" t="str">
        <f>IF(Orders[[#This Row],[Actual Delivery Date]]="","Pending",IF(Orders[[#This Row],[Actual Delivery Date]]&lt;=Orders[[#This Row],[Expected Delivery Date]],"On Time","Late"))</f>
        <v>Pending</v>
      </c>
      <c r="U499" t="str">
        <f>TEXT(Orders[[#This Row],[Order Date]],"mmm")</f>
        <v>Aug</v>
      </c>
      <c r="V499" s="8">
        <f>DATE(YEAR(Orders[[#This Row],[Order Date]]),MONTH(Orders[[#This Row],[Order Date]]),1)</f>
        <v>46235</v>
      </c>
      <c r="W499" s="5">
        <f>IF(Orders[[#This Row],[Order Status]]="Cancelled",Orders[[#This Row],[Net Sales]],0)</f>
        <v>0</v>
      </c>
    </row>
    <row r="500" spans="1:23" x14ac:dyDescent="0.3">
      <c r="A500" t="s">
        <v>1059</v>
      </c>
      <c r="B500" s="7">
        <v>46240</v>
      </c>
      <c r="C500" t="s">
        <v>611</v>
      </c>
      <c r="D500" t="s">
        <v>641</v>
      </c>
      <c r="E500" t="s">
        <v>18</v>
      </c>
      <c r="F500" t="s">
        <v>43</v>
      </c>
      <c r="G500" t="s">
        <v>81</v>
      </c>
      <c r="H500" t="s">
        <v>30</v>
      </c>
      <c r="I500">
        <v>2</v>
      </c>
      <c r="J500" s="5">
        <v>899</v>
      </c>
      <c r="K500" s="2">
        <v>0.15</v>
      </c>
      <c r="L500" t="s">
        <v>39</v>
      </c>
      <c r="M500" t="s">
        <v>23</v>
      </c>
      <c r="N500" s="1">
        <v>46245</v>
      </c>
      <c r="O500" s="1">
        <v>46245</v>
      </c>
      <c r="P500" s="5">
        <f>Orders[[#This Row],[Quantity]]*Orders[[#This Row],[Unit Price]]</f>
        <v>1798</v>
      </c>
      <c r="Q500" s="5">
        <f>Orders[[#This Row],[Gross Sales]]*Orders[[#This Row],[Discount %]]</f>
        <v>269.7</v>
      </c>
      <c r="R500" s="5">
        <f>Orders[[#This Row],[Gross Sales]]-Orders[[#This Row],[Discount Amount]]</f>
        <v>1528.3</v>
      </c>
      <c r="S500">
        <f>IF(Orders[[#This Row],[Actual Delivery Date]]="","",Orders[[#This Row],[Actual Delivery Date]]-Orders[[#This Row],[Order Date]])</f>
        <v>5</v>
      </c>
      <c r="T500" t="str">
        <f>IF(Orders[[#This Row],[Actual Delivery Date]]="","Pending",IF(Orders[[#This Row],[Actual Delivery Date]]&lt;=Orders[[#This Row],[Expected Delivery Date]],"On Time","Late"))</f>
        <v>On Time</v>
      </c>
      <c r="U500" t="str">
        <f>TEXT(Orders[[#This Row],[Order Date]],"mmm")</f>
        <v>Aug</v>
      </c>
      <c r="V500" s="8">
        <f>DATE(YEAR(Orders[[#This Row],[Order Date]]),MONTH(Orders[[#This Row],[Order Date]]),1)</f>
        <v>46235</v>
      </c>
      <c r="W500" s="5">
        <f>IF(Orders[[#This Row],[Order Status]]="Cancelled",Orders[[#This Row],[Net Sales]],0)</f>
        <v>0</v>
      </c>
    </row>
    <row r="501" spans="1:23" x14ac:dyDescent="0.3">
      <c r="A501" t="s">
        <v>1060</v>
      </c>
      <c r="B501" s="7">
        <v>46145</v>
      </c>
      <c r="C501" t="s">
        <v>33</v>
      </c>
      <c r="D501" t="s">
        <v>968</v>
      </c>
      <c r="E501" t="s">
        <v>27</v>
      </c>
      <c r="F501" t="s">
        <v>56</v>
      </c>
      <c r="G501" t="s">
        <v>186</v>
      </c>
      <c r="H501" t="s">
        <v>21</v>
      </c>
      <c r="I501">
        <v>2</v>
      </c>
      <c r="J501" s="5">
        <v>1999</v>
      </c>
      <c r="K501" s="2">
        <v>0</v>
      </c>
      <c r="L501" t="s">
        <v>39</v>
      </c>
      <c r="M501" t="s">
        <v>23</v>
      </c>
      <c r="N501" s="1">
        <v>46152</v>
      </c>
      <c r="O501" s="1">
        <v>46151</v>
      </c>
      <c r="P501" s="5">
        <f>Orders[[#This Row],[Quantity]]*Orders[[#This Row],[Unit Price]]</f>
        <v>3998</v>
      </c>
      <c r="Q501" s="5">
        <f>Orders[[#This Row],[Gross Sales]]*Orders[[#This Row],[Discount %]]</f>
        <v>0</v>
      </c>
      <c r="R501" s="5">
        <f>Orders[[#This Row],[Gross Sales]]-Orders[[#This Row],[Discount Amount]]</f>
        <v>3998</v>
      </c>
      <c r="S501">
        <f>IF(Orders[[#This Row],[Actual Delivery Date]]="","",Orders[[#This Row],[Actual Delivery Date]]-Orders[[#This Row],[Order Date]])</f>
        <v>6</v>
      </c>
      <c r="T501" t="str">
        <f>IF(Orders[[#This Row],[Actual Delivery Date]]="","Pending",IF(Orders[[#This Row],[Actual Delivery Date]]&lt;=Orders[[#This Row],[Expected Delivery Date]],"On Time","Late"))</f>
        <v>On Time</v>
      </c>
      <c r="U501" t="str">
        <f>TEXT(Orders[[#This Row],[Order Date]],"mmm")</f>
        <v>May</v>
      </c>
      <c r="V501" s="8">
        <f>DATE(YEAR(Orders[[#This Row],[Order Date]]),MONTH(Orders[[#This Row],[Order Date]]),1)</f>
        <v>46143</v>
      </c>
      <c r="W501" s="5">
        <f>IF(Orders[[#This Row],[Order Status]]="Cancelled",Orders[[#This Row],[Net Sales]],0)</f>
        <v>0</v>
      </c>
    </row>
    <row r="502" spans="1:23" x14ac:dyDescent="0.3">
      <c r="A502" t="s">
        <v>1061</v>
      </c>
      <c r="B502" s="7">
        <v>46383</v>
      </c>
      <c r="C502" t="s">
        <v>49</v>
      </c>
      <c r="D502" t="s">
        <v>156</v>
      </c>
      <c r="E502" t="s">
        <v>18</v>
      </c>
      <c r="F502" t="s">
        <v>43</v>
      </c>
      <c r="G502" t="s">
        <v>180</v>
      </c>
      <c r="H502" t="s">
        <v>58</v>
      </c>
      <c r="I502">
        <v>1</v>
      </c>
      <c r="J502" s="5">
        <v>599</v>
      </c>
      <c r="K502" s="2">
        <v>0.1</v>
      </c>
      <c r="L502" t="s">
        <v>70</v>
      </c>
      <c r="M502" t="s">
        <v>59</v>
      </c>
      <c r="N502" s="1">
        <v>46390</v>
      </c>
      <c r="O502" s="1">
        <v>46389</v>
      </c>
      <c r="P502" s="5">
        <f>Orders[[#This Row],[Quantity]]*Orders[[#This Row],[Unit Price]]</f>
        <v>599</v>
      </c>
      <c r="Q502" s="5">
        <f>Orders[[#This Row],[Gross Sales]]*Orders[[#This Row],[Discount %]]</f>
        <v>59.900000000000006</v>
      </c>
      <c r="R502" s="5">
        <f>Orders[[#This Row],[Gross Sales]]-Orders[[#This Row],[Discount Amount]]</f>
        <v>539.1</v>
      </c>
      <c r="S502">
        <f>IF(Orders[[#This Row],[Actual Delivery Date]]="","",Orders[[#This Row],[Actual Delivery Date]]-Orders[[#This Row],[Order Date]])</f>
        <v>6</v>
      </c>
      <c r="T502" t="str">
        <f>IF(Orders[[#This Row],[Actual Delivery Date]]="","Pending",IF(Orders[[#This Row],[Actual Delivery Date]]&lt;=Orders[[#This Row],[Expected Delivery Date]],"On Time","Late"))</f>
        <v>On Time</v>
      </c>
      <c r="U502" t="str">
        <f>TEXT(Orders[[#This Row],[Order Date]],"mmm")</f>
        <v>Dec</v>
      </c>
      <c r="V502" s="8">
        <f>DATE(YEAR(Orders[[#This Row],[Order Date]]),MONTH(Orders[[#This Row],[Order Date]]),1)</f>
        <v>46357</v>
      </c>
      <c r="W502" s="5">
        <f>IF(Orders[[#This Row],[Order Status]]="Cancelled",Orders[[#This Row],[Net Sales]],0)</f>
        <v>539.1</v>
      </c>
    </row>
    <row r="503" spans="1:23" x14ac:dyDescent="0.3">
      <c r="A503" t="s">
        <v>1062</v>
      </c>
      <c r="B503" s="7">
        <v>46161</v>
      </c>
      <c r="C503" t="s">
        <v>1063</v>
      </c>
      <c r="D503" t="s">
        <v>632</v>
      </c>
      <c r="E503" t="s">
        <v>35</v>
      </c>
      <c r="F503" t="s">
        <v>135</v>
      </c>
      <c r="G503" t="s">
        <v>218</v>
      </c>
      <c r="H503" t="s">
        <v>21</v>
      </c>
      <c r="I503">
        <v>2</v>
      </c>
      <c r="J503" s="5">
        <v>2999</v>
      </c>
      <c r="K503" s="2">
        <v>0.2</v>
      </c>
      <c r="L503" t="s">
        <v>22</v>
      </c>
      <c r="M503" t="s">
        <v>47</v>
      </c>
      <c r="N503" s="1">
        <v>46164</v>
      </c>
      <c r="O503" s="1"/>
      <c r="P503" s="5">
        <f>Orders[[#This Row],[Quantity]]*Orders[[#This Row],[Unit Price]]</f>
        <v>5998</v>
      </c>
      <c r="Q503" s="5">
        <f>Orders[[#This Row],[Gross Sales]]*Orders[[#This Row],[Discount %]]</f>
        <v>1199.6000000000001</v>
      </c>
      <c r="R503" s="5">
        <f>Orders[[#This Row],[Gross Sales]]-Orders[[#This Row],[Discount Amount]]</f>
        <v>4798.3999999999996</v>
      </c>
      <c r="S503" t="str">
        <f>IF(Orders[[#This Row],[Actual Delivery Date]]="","",Orders[[#This Row],[Actual Delivery Date]]-Orders[[#This Row],[Order Date]])</f>
        <v/>
      </c>
      <c r="T503" t="str">
        <f>IF(Orders[[#This Row],[Actual Delivery Date]]="","Pending",IF(Orders[[#This Row],[Actual Delivery Date]]&lt;=Orders[[#This Row],[Expected Delivery Date]],"On Time","Late"))</f>
        <v>Pending</v>
      </c>
      <c r="U503" t="str">
        <f>TEXT(Orders[[#This Row],[Order Date]],"mmm")</f>
        <v>May</v>
      </c>
      <c r="V503" s="8">
        <f>DATE(YEAR(Orders[[#This Row],[Order Date]]),MONTH(Orders[[#This Row],[Order Date]]),1)</f>
        <v>46143</v>
      </c>
      <c r="W503" s="5">
        <f>IF(Orders[[#This Row],[Order Status]]="Cancelled",Orders[[#This Row],[Net Sales]],0)</f>
        <v>0</v>
      </c>
    </row>
    <row r="504" spans="1:23" x14ac:dyDescent="0.3">
      <c r="A504" t="s">
        <v>1064</v>
      </c>
      <c r="B504" s="7">
        <v>46219</v>
      </c>
      <c r="C504" t="s">
        <v>329</v>
      </c>
      <c r="D504" t="s">
        <v>767</v>
      </c>
      <c r="E504" t="s">
        <v>18</v>
      </c>
      <c r="F504" t="s">
        <v>121</v>
      </c>
      <c r="G504" t="s">
        <v>75</v>
      </c>
      <c r="H504" t="s">
        <v>45</v>
      </c>
      <c r="I504">
        <v>1</v>
      </c>
      <c r="J504" s="5">
        <v>799</v>
      </c>
      <c r="K504" s="2">
        <v>0.2</v>
      </c>
      <c r="L504" t="s">
        <v>39</v>
      </c>
      <c r="M504" t="s">
        <v>23</v>
      </c>
      <c r="N504" s="1">
        <v>46223</v>
      </c>
      <c r="O504" s="1">
        <v>46220</v>
      </c>
      <c r="P504" s="5">
        <f>Orders[[#This Row],[Quantity]]*Orders[[#This Row],[Unit Price]]</f>
        <v>799</v>
      </c>
      <c r="Q504" s="5">
        <f>Orders[[#This Row],[Gross Sales]]*Orders[[#This Row],[Discount %]]</f>
        <v>159.80000000000001</v>
      </c>
      <c r="R504" s="5">
        <f>Orders[[#This Row],[Gross Sales]]-Orders[[#This Row],[Discount Amount]]</f>
        <v>639.20000000000005</v>
      </c>
      <c r="S504">
        <f>IF(Orders[[#This Row],[Actual Delivery Date]]="","",Orders[[#This Row],[Actual Delivery Date]]-Orders[[#This Row],[Order Date]])</f>
        <v>1</v>
      </c>
      <c r="T504" t="str">
        <f>IF(Orders[[#This Row],[Actual Delivery Date]]="","Pending",IF(Orders[[#This Row],[Actual Delivery Date]]&lt;=Orders[[#This Row],[Expected Delivery Date]],"On Time","Late"))</f>
        <v>On Time</v>
      </c>
      <c r="U504" t="str">
        <f>TEXT(Orders[[#This Row],[Order Date]],"mmm")</f>
        <v>Jul</v>
      </c>
      <c r="V504" s="8">
        <f>DATE(YEAR(Orders[[#This Row],[Order Date]]),MONTH(Orders[[#This Row],[Order Date]]),1)</f>
        <v>46204</v>
      </c>
      <c r="W504" s="5">
        <f>IF(Orders[[#This Row],[Order Status]]="Cancelled",Orders[[#This Row],[Net Sales]],0)</f>
        <v>0</v>
      </c>
    </row>
    <row r="505" spans="1:23" x14ac:dyDescent="0.3">
      <c r="A505" t="s">
        <v>1065</v>
      </c>
      <c r="B505" s="7">
        <v>46081</v>
      </c>
      <c r="C505" t="s">
        <v>1066</v>
      </c>
      <c r="D505" t="s">
        <v>146</v>
      </c>
      <c r="E505" t="s">
        <v>27</v>
      </c>
      <c r="F505" t="s">
        <v>51</v>
      </c>
      <c r="G505" t="s">
        <v>69</v>
      </c>
      <c r="H505" t="s">
        <v>38</v>
      </c>
      <c r="I505">
        <v>2</v>
      </c>
      <c r="J505" s="5">
        <v>3499</v>
      </c>
      <c r="K505" s="2">
        <v>0.2</v>
      </c>
      <c r="L505" t="s">
        <v>31</v>
      </c>
      <c r="M505" t="s">
        <v>82</v>
      </c>
      <c r="N505" s="1">
        <v>46088</v>
      </c>
      <c r="O505" s="1">
        <v>46084</v>
      </c>
      <c r="P505" s="5">
        <f>Orders[[#This Row],[Quantity]]*Orders[[#This Row],[Unit Price]]</f>
        <v>6998</v>
      </c>
      <c r="Q505" s="5">
        <f>Orders[[#This Row],[Gross Sales]]*Orders[[#This Row],[Discount %]]</f>
        <v>1399.6000000000001</v>
      </c>
      <c r="R505" s="5">
        <f>Orders[[#This Row],[Gross Sales]]-Orders[[#This Row],[Discount Amount]]</f>
        <v>5598.4</v>
      </c>
      <c r="S505">
        <f>IF(Orders[[#This Row],[Actual Delivery Date]]="","",Orders[[#This Row],[Actual Delivery Date]]-Orders[[#This Row],[Order Date]])</f>
        <v>3</v>
      </c>
      <c r="T505" t="str">
        <f>IF(Orders[[#This Row],[Actual Delivery Date]]="","Pending",IF(Orders[[#This Row],[Actual Delivery Date]]&lt;=Orders[[#This Row],[Expected Delivery Date]],"On Time","Late"))</f>
        <v>On Time</v>
      </c>
      <c r="U505" t="str">
        <f>TEXT(Orders[[#This Row],[Order Date]],"mmm")</f>
        <v>Feb</v>
      </c>
      <c r="V505" s="8">
        <f>DATE(YEAR(Orders[[#This Row],[Order Date]]),MONTH(Orders[[#This Row],[Order Date]]),1)</f>
        <v>46054</v>
      </c>
      <c r="W505" s="5">
        <f>IF(Orders[[#This Row],[Order Status]]="Cancelled",Orders[[#This Row],[Net Sales]],0)</f>
        <v>0</v>
      </c>
    </row>
    <row r="506" spans="1:23" x14ac:dyDescent="0.3">
      <c r="A506" t="s">
        <v>1067</v>
      </c>
      <c r="B506" s="7">
        <v>46213</v>
      </c>
      <c r="C506" t="s">
        <v>243</v>
      </c>
      <c r="D506" t="s">
        <v>1068</v>
      </c>
      <c r="E506" t="s">
        <v>79</v>
      </c>
      <c r="F506" t="s">
        <v>80</v>
      </c>
      <c r="G506" t="s">
        <v>75</v>
      </c>
      <c r="H506" t="s">
        <v>45</v>
      </c>
      <c r="I506">
        <v>1</v>
      </c>
      <c r="J506" s="5">
        <v>799</v>
      </c>
      <c r="K506" s="2">
        <v>0.15</v>
      </c>
      <c r="L506" t="s">
        <v>22</v>
      </c>
      <c r="M506" t="s">
        <v>47</v>
      </c>
      <c r="N506" s="1">
        <v>46215</v>
      </c>
      <c r="O506" s="1"/>
      <c r="P506" s="5">
        <f>Orders[[#This Row],[Quantity]]*Orders[[#This Row],[Unit Price]]</f>
        <v>799</v>
      </c>
      <c r="Q506" s="5">
        <f>Orders[[#This Row],[Gross Sales]]*Orders[[#This Row],[Discount %]]</f>
        <v>119.85</v>
      </c>
      <c r="R506" s="5">
        <f>Orders[[#This Row],[Gross Sales]]-Orders[[#This Row],[Discount Amount]]</f>
        <v>679.15</v>
      </c>
      <c r="S506" t="str">
        <f>IF(Orders[[#This Row],[Actual Delivery Date]]="","",Orders[[#This Row],[Actual Delivery Date]]-Orders[[#This Row],[Order Date]])</f>
        <v/>
      </c>
      <c r="T506" t="str">
        <f>IF(Orders[[#This Row],[Actual Delivery Date]]="","Pending",IF(Orders[[#This Row],[Actual Delivery Date]]&lt;=Orders[[#This Row],[Expected Delivery Date]],"On Time","Late"))</f>
        <v>Pending</v>
      </c>
      <c r="U506" t="str">
        <f>TEXT(Orders[[#This Row],[Order Date]],"mmm")</f>
        <v>Jul</v>
      </c>
      <c r="V506" s="8">
        <f>DATE(YEAR(Orders[[#This Row],[Order Date]]),MONTH(Orders[[#This Row],[Order Date]]),1)</f>
        <v>46204</v>
      </c>
      <c r="W506" s="5">
        <f>IF(Orders[[#This Row],[Order Status]]="Cancelled",Orders[[#This Row],[Net Sales]],0)</f>
        <v>0</v>
      </c>
    </row>
    <row r="507" spans="1:23" x14ac:dyDescent="0.3">
      <c r="A507" t="s">
        <v>1069</v>
      </c>
      <c r="B507" s="7">
        <v>46367</v>
      </c>
      <c r="C507" t="s">
        <v>1070</v>
      </c>
      <c r="D507" t="s">
        <v>347</v>
      </c>
      <c r="E507" t="s">
        <v>35</v>
      </c>
      <c r="F507" t="s">
        <v>63</v>
      </c>
      <c r="G507" t="s">
        <v>91</v>
      </c>
      <c r="H507" t="s">
        <v>30</v>
      </c>
      <c r="I507">
        <v>4</v>
      </c>
      <c r="J507" s="5">
        <v>3299</v>
      </c>
      <c r="K507" s="2">
        <v>0</v>
      </c>
      <c r="L507" t="s">
        <v>31</v>
      </c>
      <c r="M507" t="s">
        <v>23</v>
      </c>
      <c r="N507" s="1">
        <v>46369</v>
      </c>
      <c r="O507" s="1">
        <v>46368</v>
      </c>
      <c r="P507" s="5">
        <f>Orders[[#This Row],[Quantity]]*Orders[[#This Row],[Unit Price]]</f>
        <v>13196</v>
      </c>
      <c r="Q507" s="5">
        <f>Orders[[#This Row],[Gross Sales]]*Orders[[#This Row],[Discount %]]</f>
        <v>0</v>
      </c>
      <c r="R507" s="5">
        <f>Orders[[#This Row],[Gross Sales]]-Orders[[#This Row],[Discount Amount]]</f>
        <v>13196</v>
      </c>
      <c r="S507">
        <f>IF(Orders[[#This Row],[Actual Delivery Date]]="","",Orders[[#This Row],[Actual Delivery Date]]-Orders[[#This Row],[Order Date]])</f>
        <v>1</v>
      </c>
      <c r="T507" t="str">
        <f>IF(Orders[[#This Row],[Actual Delivery Date]]="","Pending",IF(Orders[[#This Row],[Actual Delivery Date]]&lt;=Orders[[#This Row],[Expected Delivery Date]],"On Time","Late"))</f>
        <v>On Time</v>
      </c>
      <c r="U507" t="str">
        <f>TEXT(Orders[[#This Row],[Order Date]],"mmm")</f>
        <v>Dec</v>
      </c>
      <c r="V507" s="8">
        <f>DATE(YEAR(Orders[[#This Row],[Order Date]]),MONTH(Orders[[#This Row],[Order Date]]),1)</f>
        <v>46357</v>
      </c>
      <c r="W507" s="5">
        <f>IF(Orders[[#This Row],[Order Status]]="Cancelled",Orders[[#This Row],[Net Sales]],0)</f>
        <v>0</v>
      </c>
    </row>
    <row r="508" spans="1:23" x14ac:dyDescent="0.3">
      <c r="A508" t="s">
        <v>1071</v>
      </c>
      <c r="B508" s="7">
        <v>46379</v>
      </c>
      <c r="C508" t="s">
        <v>1072</v>
      </c>
      <c r="D508" t="s">
        <v>1073</v>
      </c>
      <c r="E508" t="s">
        <v>18</v>
      </c>
      <c r="F508" t="s">
        <v>95</v>
      </c>
      <c r="G508" t="s">
        <v>64</v>
      </c>
      <c r="H508" t="s">
        <v>21</v>
      </c>
      <c r="I508">
        <v>1</v>
      </c>
      <c r="J508" s="5">
        <v>699</v>
      </c>
      <c r="K508" s="2">
        <v>0.05</v>
      </c>
      <c r="L508" t="s">
        <v>31</v>
      </c>
      <c r="M508" t="s">
        <v>47</v>
      </c>
      <c r="N508" s="1">
        <v>46386</v>
      </c>
      <c r="O508" s="1"/>
      <c r="P508" s="5">
        <f>Orders[[#This Row],[Quantity]]*Orders[[#This Row],[Unit Price]]</f>
        <v>699</v>
      </c>
      <c r="Q508" s="5">
        <f>Orders[[#This Row],[Gross Sales]]*Orders[[#This Row],[Discount %]]</f>
        <v>34.950000000000003</v>
      </c>
      <c r="R508" s="5">
        <f>Orders[[#This Row],[Gross Sales]]-Orders[[#This Row],[Discount Amount]]</f>
        <v>664.05</v>
      </c>
      <c r="S508" t="str">
        <f>IF(Orders[[#This Row],[Actual Delivery Date]]="","",Orders[[#This Row],[Actual Delivery Date]]-Orders[[#This Row],[Order Date]])</f>
        <v/>
      </c>
      <c r="T508" t="str">
        <f>IF(Orders[[#This Row],[Actual Delivery Date]]="","Pending",IF(Orders[[#This Row],[Actual Delivery Date]]&lt;=Orders[[#This Row],[Expected Delivery Date]],"On Time","Late"))</f>
        <v>Pending</v>
      </c>
      <c r="U508" t="str">
        <f>TEXT(Orders[[#This Row],[Order Date]],"mmm")</f>
        <v>Dec</v>
      </c>
      <c r="V508" s="8">
        <f>DATE(YEAR(Orders[[#This Row],[Order Date]]),MONTH(Orders[[#This Row],[Order Date]]),1)</f>
        <v>46357</v>
      </c>
      <c r="W508" s="5">
        <f>IF(Orders[[#This Row],[Order Status]]="Cancelled",Orders[[#This Row],[Net Sales]],0)</f>
        <v>0</v>
      </c>
    </row>
    <row r="509" spans="1:23" x14ac:dyDescent="0.3">
      <c r="A509" t="s">
        <v>1074</v>
      </c>
      <c r="B509" s="7">
        <v>46238</v>
      </c>
      <c r="C509" t="s">
        <v>833</v>
      </c>
      <c r="D509" t="s">
        <v>632</v>
      </c>
      <c r="E509" t="s">
        <v>79</v>
      </c>
      <c r="F509" t="s">
        <v>108</v>
      </c>
      <c r="G509" t="s">
        <v>118</v>
      </c>
      <c r="H509" t="s">
        <v>58</v>
      </c>
      <c r="I509">
        <v>1</v>
      </c>
      <c r="J509" s="5">
        <v>749</v>
      </c>
      <c r="K509" s="2">
        <v>0</v>
      </c>
      <c r="L509" t="s">
        <v>46</v>
      </c>
      <c r="M509" t="s">
        <v>23</v>
      </c>
      <c r="N509" s="1">
        <v>46240</v>
      </c>
      <c r="O509" s="1">
        <v>46239</v>
      </c>
      <c r="P509" s="5">
        <f>Orders[[#This Row],[Quantity]]*Orders[[#This Row],[Unit Price]]</f>
        <v>749</v>
      </c>
      <c r="Q509" s="5">
        <f>Orders[[#This Row],[Gross Sales]]*Orders[[#This Row],[Discount %]]</f>
        <v>0</v>
      </c>
      <c r="R509" s="5">
        <f>Orders[[#This Row],[Gross Sales]]-Orders[[#This Row],[Discount Amount]]</f>
        <v>749</v>
      </c>
      <c r="S509">
        <f>IF(Orders[[#This Row],[Actual Delivery Date]]="","",Orders[[#This Row],[Actual Delivery Date]]-Orders[[#This Row],[Order Date]])</f>
        <v>1</v>
      </c>
      <c r="T509" t="str">
        <f>IF(Orders[[#This Row],[Actual Delivery Date]]="","Pending",IF(Orders[[#This Row],[Actual Delivery Date]]&lt;=Orders[[#This Row],[Expected Delivery Date]],"On Time","Late"))</f>
        <v>On Time</v>
      </c>
      <c r="U509" t="str">
        <f>TEXT(Orders[[#This Row],[Order Date]],"mmm")</f>
        <v>Aug</v>
      </c>
      <c r="V509" s="8">
        <f>DATE(YEAR(Orders[[#This Row],[Order Date]]),MONTH(Orders[[#This Row],[Order Date]]),1)</f>
        <v>46235</v>
      </c>
      <c r="W509" s="5">
        <f>IF(Orders[[#This Row],[Order Status]]="Cancelled",Orders[[#This Row],[Net Sales]],0)</f>
        <v>0</v>
      </c>
    </row>
    <row r="510" spans="1:23" x14ac:dyDescent="0.3">
      <c r="A510" t="s">
        <v>1075</v>
      </c>
      <c r="B510" s="7">
        <v>46326</v>
      </c>
      <c r="C510" t="s">
        <v>595</v>
      </c>
      <c r="D510" t="s">
        <v>50</v>
      </c>
      <c r="E510" t="s">
        <v>79</v>
      </c>
      <c r="F510" t="s">
        <v>80</v>
      </c>
      <c r="G510" t="s">
        <v>218</v>
      </c>
      <c r="H510" t="s">
        <v>21</v>
      </c>
      <c r="I510">
        <v>2</v>
      </c>
      <c r="J510" s="5">
        <v>2999</v>
      </c>
      <c r="K510" s="2">
        <v>0.2</v>
      </c>
      <c r="L510" t="s">
        <v>22</v>
      </c>
      <c r="M510" t="s">
        <v>23</v>
      </c>
      <c r="N510" s="1">
        <v>46331</v>
      </c>
      <c r="O510" s="1">
        <v>46328</v>
      </c>
      <c r="P510" s="5">
        <f>Orders[[#This Row],[Quantity]]*Orders[[#This Row],[Unit Price]]</f>
        <v>5998</v>
      </c>
      <c r="Q510" s="5">
        <f>Orders[[#This Row],[Gross Sales]]*Orders[[#This Row],[Discount %]]</f>
        <v>1199.6000000000001</v>
      </c>
      <c r="R510" s="5">
        <f>Orders[[#This Row],[Gross Sales]]-Orders[[#This Row],[Discount Amount]]</f>
        <v>4798.3999999999996</v>
      </c>
      <c r="S510">
        <f>IF(Orders[[#This Row],[Actual Delivery Date]]="","",Orders[[#This Row],[Actual Delivery Date]]-Orders[[#This Row],[Order Date]])</f>
        <v>2</v>
      </c>
      <c r="T510" t="str">
        <f>IF(Orders[[#This Row],[Actual Delivery Date]]="","Pending",IF(Orders[[#This Row],[Actual Delivery Date]]&lt;=Orders[[#This Row],[Expected Delivery Date]],"On Time","Late"))</f>
        <v>On Time</v>
      </c>
      <c r="U510" t="str">
        <f>TEXT(Orders[[#This Row],[Order Date]],"mmm")</f>
        <v>Oct</v>
      </c>
      <c r="V510" s="8">
        <f>DATE(YEAR(Orders[[#This Row],[Order Date]]),MONTH(Orders[[#This Row],[Order Date]]),1)</f>
        <v>46296</v>
      </c>
      <c r="W510" s="5">
        <f>IF(Orders[[#This Row],[Order Status]]="Cancelled",Orders[[#This Row],[Net Sales]],0)</f>
        <v>0</v>
      </c>
    </row>
    <row r="511" spans="1:23" x14ac:dyDescent="0.3">
      <c r="A511" t="s">
        <v>1076</v>
      </c>
      <c r="B511" s="7">
        <v>46170</v>
      </c>
      <c r="C511" t="s">
        <v>137</v>
      </c>
      <c r="D511" t="s">
        <v>34</v>
      </c>
      <c r="E511" t="s">
        <v>35</v>
      </c>
      <c r="F511" t="s">
        <v>68</v>
      </c>
      <c r="G511" t="s">
        <v>118</v>
      </c>
      <c r="H511" t="s">
        <v>58</v>
      </c>
      <c r="I511">
        <v>3</v>
      </c>
      <c r="J511" s="5">
        <v>749</v>
      </c>
      <c r="K511" s="2">
        <v>0</v>
      </c>
      <c r="L511" t="s">
        <v>31</v>
      </c>
      <c r="M511" t="s">
        <v>23</v>
      </c>
      <c r="N511" s="1">
        <v>46174</v>
      </c>
      <c r="O511" s="1">
        <v>46172</v>
      </c>
      <c r="P511" s="5">
        <f>Orders[[#This Row],[Quantity]]*Orders[[#This Row],[Unit Price]]</f>
        <v>2247</v>
      </c>
      <c r="Q511" s="5">
        <f>Orders[[#This Row],[Gross Sales]]*Orders[[#This Row],[Discount %]]</f>
        <v>0</v>
      </c>
      <c r="R511" s="5">
        <f>Orders[[#This Row],[Gross Sales]]-Orders[[#This Row],[Discount Amount]]</f>
        <v>2247</v>
      </c>
      <c r="S511">
        <f>IF(Orders[[#This Row],[Actual Delivery Date]]="","",Orders[[#This Row],[Actual Delivery Date]]-Orders[[#This Row],[Order Date]])</f>
        <v>2</v>
      </c>
      <c r="T511" t="str">
        <f>IF(Orders[[#This Row],[Actual Delivery Date]]="","Pending",IF(Orders[[#This Row],[Actual Delivery Date]]&lt;=Orders[[#This Row],[Expected Delivery Date]],"On Time","Late"))</f>
        <v>On Time</v>
      </c>
      <c r="U511" t="str">
        <f>TEXT(Orders[[#This Row],[Order Date]],"mmm")</f>
        <v>May</v>
      </c>
      <c r="V511" s="8">
        <f>DATE(YEAR(Orders[[#This Row],[Order Date]]),MONTH(Orders[[#This Row],[Order Date]]),1)</f>
        <v>46143</v>
      </c>
      <c r="W511" s="5">
        <f>IF(Orders[[#This Row],[Order Status]]="Cancelled",Orders[[#This Row],[Net Sales]],0)</f>
        <v>0</v>
      </c>
    </row>
    <row r="512" spans="1:23" x14ac:dyDescent="0.3">
      <c r="A512" t="s">
        <v>1077</v>
      </c>
      <c r="B512" s="7">
        <v>46105</v>
      </c>
      <c r="C512" t="s">
        <v>1078</v>
      </c>
      <c r="D512" t="s">
        <v>804</v>
      </c>
      <c r="E512" t="s">
        <v>35</v>
      </c>
      <c r="F512" t="s">
        <v>68</v>
      </c>
      <c r="G512" t="s">
        <v>37</v>
      </c>
      <c r="H512" t="s">
        <v>38</v>
      </c>
      <c r="I512">
        <v>1</v>
      </c>
      <c r="J512" s="5">
        <v>699</v>
      </c>
      <c r="K512" s="2">
        <v>0</v>
      </c>
      <c r="L512" t="s">
        <v>46</v>
      </c>
      <c r="M512" t="s">
        <v>47</v>
      </c>
      <c r="N512" s="1">
        <v>46108</v>
      </c>
      <c r="O512" s="1"/>
      <c r="P512" s="5">
        <f>Orders[[#This Row],[Quantity]]*Orders[[#This Row],[Unit Price]]</f>
        <v>699</v>
      </c>
      <c r="Q512" s="5">
        <f>Orders[[#This Row],[Gross Sales]]*Orders[[#This Row],[Discount %]]</f>
        <v>0</v>
      </c>
      <c r="R512" s="5">
        <f>Orders[[#This Row],[Gross Sales]]-Orders[[#This Row],[Discount Amount]]</f>
        <v>699</v>
      </c>
      <c r="S512" t="str">
        <f>IF(Orders[[#This Row],[Actual Delivery Date]]="","",Orders[[#This Row],[Actual Delivery Date]]-Orders[[#This Row],[Order Date]])</f>
        <v/>
      </c>
      <c r="T512" t="str">
        <f>IF(Orders[[#This Row],[Actual Delivery Date]]="","Pending",IF(Orders[[#This Row],[Actual Delivery Date]]&lt;=Orders[[#This Row],[Expected Delivery Date]],"On Time","Late"))</f>
        <v>Pending</v>
      </c>
      <c r="U512" t="str">
        <f>TEXT(Orders[[#This Row],[Order Date]],"mmm")</f>
        <v>Mar</v>
      </c>
      <c r="V512" s="8">
        <f>DATE(YEAR(Orders[[#This Row],[Order Date]]),MONTH(Orders[[#This Row],[Order Date]]),1)</f>
        <v>46082</v>
      </c>
      <c r="W512" s="5">
        <f>IF(Orders[[#This Row],[Order Status]]="Cancelled",Orders[[#This Row],[Net Sales]],0)</f>
        <v>0</v>
      </c>
    </row>
    <row r="513" spans="1:23" x14ac:dyDescent="0.3">
      <c r="A513" t="s">
        <v>1079</v>
      </c>
      <c r="B513" s="7">
        <v>46385</v>
      </c>
      <c r="C513" t="s">
        <v>861</v>
      </c>
      <c r="D513" t="s">
        <v>289</v>
      </c>
      <c r="E513" t="s">
        <v>35</v>
      </c>
      <c r="F513" t="s">
        <v>68</v>
      </c>
      <c r="G513" t="s">
        <v>69</v>
      </c>
      <c r="H513" t="s">
        <v>38</v>
      </c>
      <c r="I513">
        <v>1</v>
      </c>
      <c r="J513" s="5">
        <v>3499</v>
      </c>
      <c r="K513" s="2">
        <v>0.1</v>
      </c>
      <c r="L513" t="s">
        <v>46</v>
      </c>
      <c r="M513" t="s">
        <v>23</v>
      </c>
      <c r="N513" s="1">
        <v>46389</v>
      </c>
      <c r="O513" s="1">
        <v>46387</v>
      </c>
      <c r="P513" s="5">
        <f>Orders[[#This Row],[Quantity]]*Orders[[#This Row],[Unit Price]]</f>
        <v>3499</v>
      </c>
      <c r="Q513" s="5">
        <f>Orders[[#This Row],[Gross Sales]]*Orders[[#This Row],[Discount %]]</f>
        <v>349.90000000000003</v>
      </c>
      <c r="R513" s="5">
        <f>Orders[[#This Row],[Gross Sales]]-Orders[[#This Row],[Discount Amount]]</f>
        <v>3149.1</v>
      </c>
      <c r="S513">
        <f>IF(Orders[[#This Row],[Actual Delivery Date]]="","",Orders[[#This Row],[Actual Delivery Date]]-Orders[[#This Row],[Order Date]])</f>
        <v>2</v>
      </c>
      <c r="T513" t="str">
        <f>IF(Orders[[#This Row],[Actual Delivery Date]]="","Pending",IF(Orders[[#This Row],[Actual Delivery Date]]&lt;=Orders[[#This Row],[Expected Delivery Date]],"On Time","Late"))</f>
        <v>On Time</v>
      </c>
      <c r="U513" t="str">
        <f>TEXT(Orders[[#This Row],[Order Date]],"mmm")</f>
        <v>Dec</v>
      </c>
      <c r="V513" s="8">
        <f>DATE(YEAR(Orders[[#This Row],[Order Date]]),MONTH(Orders[[#This Row],[Order Date]]),1)</f>
        <v>46357</v>
      </c>
      <c r="W513" s="5">
        <f>IF(Orders[[#This Row],[Order Status]]="Cancelled",Orders[[#This Row],[Net Sales]],0)</f>
        <v>0</v>
      </c>
    </row>
    <row r="514" spans="1:23" x14ac:dyDescent="0.3">
      <c r="A514" t="s">
        <v>1080</v>
      </c>
      <c r="B514" s="7">
        <v>46097</v>
      </c>
      <c r="C514" t="s">
        <v>960</v>
      </c>
      <c r="D514" t="s">
        <v>1055</v>
      </c>
      <c r="E514" t="s">
        <v>18</v>
      </c>
      <c r="F514" t="s">
        <v>19</v>
      </c>
      <c r="G514" t="s">
        <v>57</v>
      </c>
      <c r="H514" t="s">
        <v>58</v>
      </c>
      <c r="I514">
        <v>4</v>
      </c>
      <c r="J514" s="5">
        <v>499</v>
      </c>
      <c r="K514" s="2">
        <v>0.1</v>
      </c>
      <c r="L514" t="s">
        <v>31</v>
      </c>
      <c r="M514" t="s">
        <v>23</v>
      </c>
      <c r="N514" s="1">
        <v>46104</v>
      </c>
      <c r="O514" s="1">
        <v>46102</v>
      </c>
      <c r="P514" s="5">
        <f>Orders[[#This Row],[Quantity]]*Orders[[#This Row],[Unit Price]]</f>
        <v>1996</v>
      </c>
      <c r="Q514" s="5">
        <f>Orders[[#This Row],[Gross Sales]]*Orders[[#This Row],[Discount %]]</f>
        <v>199.60000000000002</v>
      </c>
      <c r="R514" s="5">
        <f>Orders[[#This Row],[Gross Sales]]-Orders[[#This Row],[Discount Amount]]</f>
        <v>1796.4</v>
      </c>
      <c r="S514">
        <f>IF(Orders[[#This Row],[Actual Delivery Date]]="","",Orders[[#This Row],[Actual Delivery Date]]-Orders[[#This Row],[Order Date]])</f>
        <v>5</v>
      </c>
      <c r="T514" t="str">
        <f>IF(Orders[[#This Row],[Actual Delivery Date]]="","Pending",IF(Orders[[#This Row],[Actual Delivery Date]]&lt;=Orders[[#This Row],[Expected Delivery Date]],"On Time","Late"))</f>
        <v>On Time</v>
      </c>
      <c r="U514" t="str">
        <f>TEXT(Orders[[#This Row],[Order Date]],"mmm")</f>
        <v>Mar</v>
      </c>
      <c r="V514" s="8">
        <f>DATE(YEAR(Orders[[#This Row],[Order Date]]),MONTH(Orders[[#This Row],[Order Date]]),1)</f>
        <v>46082</v>
      </c>
      <c r="W514" s="5">
        <f>IF(Orders[[#This Row],[Order Status]]="Cancelled",Orders[[#This Row],[Net Sales]],0)</f>
        <v>0</v>
      </c>
    </row>
    <row r="515" spans="1:23" x14ac:dyDescent="0.3">
      <c r="A515" t="s">
        <v>1081</v>
      </c>
      <c r="B515" s="7">
        <v>46312</v>
      </c>
      <c r="C515" t="s">
        <v>1082</v>
      </c>
      <c r="D515" t="s">
        <v>1083</v>
      </c>
      <c r="E515" t="s">
        <v>79</v>
      </c>
      <c r="F515" t="s">
        <v>80</v>
      </c>
      <c r="G515" t="s">
        <v>29</v>
      </c>
      <c r="H515" t="s">
        <v>30</v>
      </c>
      <c r="I515">
        <v>2</v>
      </c>
      <c r="J515" s="5">
        <v>599</v>
      </c>
      <c r="K515" s="2">
        <v>0.15</v>
      </c>
      <c r="L515" t="s">
        <v>46</v>
      </c>
      <c r="M515" t="s">
        <v>59</v>
      </c>
      <c r="N515" s="1">
        <v>46314</v>
      </c>
      <c r="O515" s="1">
        <v>46313</v>
      </c>
      <c r="P515" s="5">
        <f>Orders[[#This Row],[Quantity]]*Orders[[#This Row],[Unit Price]]</f>
        <v>1198</v>
      </c>
      <c r="Q515" s="5">
        <f>Orders[[#This Row],[Gross Sales]]*Orders[[#This Row],[Discount %]]</f>
        <v>179.7</v>
      </c>
      <c r="R515" s="5">
        <f>Orders[[#This Row],[Gross Sales]]-Orders[[#This Row],[Discount Amount]]</f>
        <v>1018.3</v>
      </c>
      <c r="S515">
        <f>IF(Orders[[#This Row],[Actual Delivery Date]]="","",Orders[[#This Row],[Actual Delivery Date]]-Orders[[#This Row],[Order Date]])</f>
        <v>1</v>
      </c>
      <c r="T515" t="str">
        <f>IF(Orders[[#This Row],[Actual Delivery Date]]="","Pending",IF(Orders[[#This Row],[Actual Delivery Date]]&lt;=Orders[[#This Row],[Expected Delivery Date]],"On Time","Late"))</f>
        <v>On Time</v>
      </c>
      <c r="U515" t="str">
        <f>TEXT(Orders[[#This Row],[Order Date]],"mmm")</f>
        <v>Oct</v>
      </c>
      <c r="V515" s="8">
        <f>DATE(YEAR(Orders[[#This Row],[Order Date]]),MONTH(Orders[[#This Row],[Order Date]]),1)</f>
        <v>46296</v>
      </c>
      <c r="W515" s="5">
        <f>IF(Orders[[#This Row],[Order Status]]="Cancelled",Orders[[#This Row],[Net Sales]],0)</f>
        <v>1018.3</v>
      </c>
    </row>
    <row r="516" spans="1:23" x14ac:dyDescent="0.3">
      <c r="A516" t="s">
        <v>1084</v>
      </c>
      <c r="B516" s="7">
        <v>46339</v>
      </c>
      <c r="C516" t="s">
        <v>552</v>
      </c>
      <c r="D516" t="s">
        <v>662</v>
      </c>
      <c r="E516" t="s">
        <v>18</v>
      </c>
      <c r="F516" t="s">
        <v>121</v>
      </c>
      <c r="G516" t="s">
        <v>160</v>
      </c>
      <c r="H516" t="s">
        <v>45</v>
      </c>
      <c r="I516">
        <v>3</v>
      </c>
      <c r="J516" s="5">
        <v>1499</v>
      </c>
      <c r="K516" s="2">
        <v>0.15</v>
      </c>
      <c r="L516" t="s">
        <v>46</v>
      </c>
      <c r="M516" t="s">
        <v>23</v>
      </c>
      <c r="N516" s="1">
        <v>46343</v>
      </c>
      <c r="O516" s="1">
        <v>46341</v>
      </c>
      <c r="P516" s="5">
        <f>Orders[[#This Row],[Quantity]]*Orders[[#This Row],[Unit Price]]</f>
        <v>4497</v>
      </c>
      <c r="Q516" s="5">
        <f>Orders[[#This Row],[Gross Sales]]*Orders[[#This Row],[Discount %]]</f>
        <v>674.55</v>
      </c>
      <c r="R516" s="5">
        <f>Orders[[#This Row],[Gross Sales]]-Orders[[#This Row],[Discount Amount]]</f>
        <v>3822.45</v>
      </c>
      <c r="S516">
        <f>IF(Orders[[#This Row],[Actual Delivery Date]]="","",Orders[[#This Row],[Actual Delivery Date]]-Orders[[#This Row],[Order Date]])</f>
        <v>2</v>
      </c>
      <c r="T516" t="str">
        <f>IF(Orders[[#This Row],[Actual Delivery Date]]="","Pending",IF(Orders[[#This Row],[Actual Delivery Date]]&lt;=Orders[[#This Row],[Expected Delivery Date]],"On Time","Late"))</f>
        <v>On Time</v>
      </c>
      <c r="U516" t="str">
        <f>TEXT(Orders[[#This Row],[Order Date]],"mmm")</f>
        <v>Nov</v>
      </c>
      <c r="V516" s="8">
        <f>DATE(YEAR(Orders[[#This Row],[Order Date]]),MONTH(Orders[[#This Row],[Order Date]]),1)</f>
        <v>46327</v>
      </c>
      <c r="W516" s="5">
        <f>IF(Orders[[#This Row],[Order Status]]="Cancelled",Orders[[#This Row],[Net Sales]],0)</f>
        <v>0</v>
      </c>
    </row>
    <row r="517" spans="1:23" x14ac:dyDescent="0.3">
      <c r="A517" t="s">
        <v>1085</v>
      </c>
      <c r="B517" s="7">
        <v>46065</v>
      </c>
      <c r="C517" t="s">
        <v>1086</v>
      </c>
      <c r="D517" t="s">
        <v>321</v>
      </c>
      <c r="E517" t="s">
        <v>27</v>
      </c>
      <c r="F517" t="s">
        <v>51</v>
      </c>
      <c r="G517" t="s">
        <v>104</v>
      </c>
      <c r="H517" t="s">
        <v>38</v>
      </c>
      <c r="I517">
        <v>2</v>
      </c>
      <c r="J517" s="5">
        <v>999</v>
      </c>
      <c r="K517" s="2">
        <v>0.15</v>
      </c>
      <c r="L517" t="s">
        <v>39</v>
      </c>
      <c r="M517" t="s">
        <v>47</v>
      </c>
      <c r="N517" s="1">
        <v>46070</v>
      </c>
      <c r="O517" s="1"/>
      <c r="P517" s="5">
        <f>Orders[[#This Row],[Quantity]]*Orders[[#This Row],[Unit Price]]</f>
        <v>1998</v>
      </c>
      <c r="Q517" s="5">
        <f>Orders[[#This Row],[Gross Sales]]*Orders[[#This Row],[Discount %]]</f>
        <v>299.7</v>
      </c>
      <c r="R517" s="5">
        <f>Orders[[#This Row],[Gross Sales]]-Orders[[#This Row],[Discount Amount]]</f>
        <v>1698.3</v>
      </c>
      <c r="S517" t="str">
        <f>IF(Orders[[#This Row],[Actual Delivery Date]]="","",Orders[[#This Row],[Actual Delivery Date]]-Orders[[#This Row],[Order Date]])</f>
        <v/>
      </c>
      <c r="T517" t="str">
        <f>IF(Orders[[#This Row],[Actual Delivery Date]]="","Pending",IF(Orders[[#This Row],[Actual Delivery Date]]&lt;=Orders[[#This Row],[Expected Delivery Date]],"On Time","Late"))</f>
        <v>Pending</v>
      </c>
      <c r="U517" t="str">
        <f>TEXT(Orders[[#This Row],[Order Date]],"mmm")</f>
        <v>Feb</v>
      </c>
      <c r="V517" s="8">
        <f>DATE(YEAR(Orders[[#This Row],[Order Date]]),MONTH(Orders[[#This Row],[Order Date]]),1)</f>
        <v>46054</v>
      </c>
      <c r="W517" s="5">
        <f>IF(Orders[[#This Row],[Order Status]]="Cancelled",Orders[[#This Row],[Net Sales]],0)</f>
        <v>0</v>
      </c>
    </row>
    <row r="518" spans="1:23" x14ac:dyDescent="0.3">
      <c r="A518" t="s">
        <v>1087</v>
      </c>
      <c r="B518" s="7">
        <v>46098</v>
      </c>
      <c r="C518" t="s">
        <v>1025</v>
      </c>
      <c r="D518" t="s">
        <v>509</v>
      </c>
      <c r="E518" t="s">
        <v>35</v>
      </c>
      <c r="F518" t="s">
        <v>135</v>
      </c>
      <c r="G518" t="s">
        <v>218</v>
      </c>
      <c r="H518" t="s">
        <v>21</v>
      </c>
      <c r="I518">
        <v>2</v>
      </c>
      <c r="J518" s="5">
        <v>2999</v>
      </c>
      <c r="K518" s="2">
        <v>0.15</v>
      </c>
      <c r="L518" t="s">
        <v>46</v>
      </c>
      <c r="M518" t="s">
        <v>23</v>
      </c>
      <c r="N518" s="1">
        <v>46102</v>
      </c>
      <c r="O518" s="1">
        <v>46101</v>
      </c>
      <c r="P518" s="5">
        <f>Orders[[#This Row],[Quantity]]*Orders[[#This Row],[Unit Price]]</f>
        <v>5998</v>
      </c>
      <c r="Q518" s="5">
        <f>Orders[[#This Row],[Gross Sales]]*Orders[[#This Row],[Discount %]]</f>
        <v>899.69999999999993</v>
      </c>
      <c r="R518" s="5">
        <f>Orders[[#This Row],[Gross Sales]]-Orders[[#This Row],[Discount Amount]]</f>
        <v>5098.3</v>
      </c>
      <c r="S518">
        <f>IF(Orders[[#This Row],[Actual Delivery Date]]="","",Orders[[#This Row],[Actual Delivery Date]]-Orders[[#This Row],[Order Date]])</f>
        <v>3</v>
      </c>
      <c r="T518" t="str">
        <f>IF(Orders[[#This Row],[Actual Delivery Date]]="","Pending",IF(Orders[[#This Row],[Actual Delivery Date]]&lt;=Orders[[#This Row],[Expected Delivery Date]],"On Time","Late"))</f>
        <v>On Time</v>
      </c>
      <c r="U518" t="str">
        <f>TEXT(Orders[[#This Row],[Order Date]],"mmm")</f>
        <v>Mar</v>
      </c>
      <c r="V518" s="8">
        <f>DATE(YEAR(Orders[[#This Row],[Order Date]]),MONTH(Orders[[#This Row],[Order Date]]),1)</f>
        <v>46082</v>
      </c>
      <c r="W518" s="5">
        <f>IF(Orders[[#This Row],[Order Status]]="Cancelled",Orders[[#This Row],[Net Sales]],0)</f>
        <v>0</v>
      </c>
    </row>
    <row r="519" spans="1:23" x14ac:dyDescent="0.3">
      <c r="A519" t="s">
        <v>1088</v>
      </c>
      <c r="B519" s="7">
        <v>46235</v>
      </c>
      <c r="C519" t="s">
        <v>558</v>
      </c>
      <c r="D519" t="s">
        <v>1004</v>
      </c>
      <c r="E519" t="s">
        <v>79</v>
      </c>
      <c r="F519" t="s">
        <v>86</v>
      </c>
      <c r="G519" t="s">
        <v>96</v>
      </c>
      <c r="H519" t="s">
        <v>38</v>
      </c>
      <c r="I519">
        <v>3</v>
      </c>
      <c r="J519" s="5">
        <v>1599</v>
      </c>
      <c r="K519" s="2">
        <v>0.1</v>
      </c>
      <c r="L519" t="s">
        <v>31</v>
      </c>
      <c r="M519" t="s">
        <v>82</v>
      </c>
      <c r="N519" s="1">
        <v>46242</v>
      </c>
      <c r="O519" s="1">
        <v>46246</v>
      </c>
      <c r="P519" s="5">
        <f>Orders[[#This Row],[Quantity]]*Orders[[#This Row],[Unit Price]]</f>
        <v>4797</v>
      </c>
      <c r="Q519" s="5">
        <f>Orders[[#This Row],[Gross Sales]]*Orders[[#This Row],[Discount %]]</f>
        <v>479.70000000000005</v>
      </c>
      <c r="R519" s="5">
        <f>Orders[[#This Row],[Gross Sales]]-Orders[[#This Row],[Discount Amount]]</f>
        <v>4317.3</v>
      </c>
      <c r="S519">
        <f>IF(Orders[[#This Row],[Actual Delivery Date]]="","",Orders[[#This Row],[Actual Delivery Date]]-Orders[[#This Row],[Order Date]])</f>
        <v>11</v>
      </c>
      <c r="T519" t="str">
        <f>IF(Orders[[#This Row],[Actual Delivery Date]]="","Pending",IF(Orders[[#This Row],[Actual Delivery Date]]&lt;=Orders[[#This Row],[Expected Delivery Date]],"On Time","Late"))</f>
        <v>Late</v>
      </c>
      <c r="U519" t="str">
        <f>TEXT(Orders[[#This Row],[Order Date]],"mmm")</f>
        <v>Aug</v>
      </c>
      <c r="V519" s="8">
        <f>DATE(YEAR(Orders[[#This Row],[Order Date]]),MONTH(Orders[[#This Row],[Order Date]]),1)</f>
        <v>46235</v>
      </c>
      <c r="W519" s="5">
        <f>IF(Orders[[#This Row],[Order Status]]="Cancelled",Orders[[#This Row],[Net Sales]],0)</f>
        <v>0</v>
      </c>
    </row>
    <row r="520" spans="1:23" x14ac:dyDescent="0.3">
      <c r="A520" t="s">
        <v>1089</v>
      </c>
      <c r="B520" s="7">
        <v>46266</v>
      </c>
      <c r="C520" t="s">
        <v>786</v>
      </c>
      <c r="D520" t="s">
        <v>428</v>
      </c>
      <c r="E520" t="s">
        <v>18</v>
      </c>
      <c r="F520" t="s">
        <v>95</v>
      </c>
      <c r="G520" t="s">
        <v>131</v>
      </c>
      <c r="H520" t="s">
        <v>38</v>
      </c>
      <c r="I520">
        <v>5</v>
      </c>
      <c r="J520" s="5">
        <v>899</v>
      </c>
      <c r="K520" s="2">
        <v>0.2</v>
      </c>
      <c r="L520" t="s">
        <v>46</v>
      </c>
      <c r="M520" t="s">
        <v>23</v>
      </c>
      <c r="N520" s="1">
        <v>46272</v>
      </c>
      <c r="O520" s="1">
        <v>46267</v>
      </c>
      <c r="P520" s="5">
        <f>Orders[[#This Row],[Quantity]]*Orders[[#This Row],[Unit Price]]</f>
        <v>4495</v>
      </c>
      <c r="Q520" s="5">
        <f>Orders[[#This Row],[Gross Sales]]*Orders[[#This Row],[Discount %]]</f>
        <v>899</v>
      </c>
      <c r="R520" s="5">
        <f>Orders[[#This Row],[Gross Sales]]-Orders[[#This Row],[Discount Amount]]</f>
        <v>3596</v>
      </c>
      <c r="S520">
        <f>IF(Orders[[#This Row],[Actual Delivery Date]]="","",Orders[[#This Row],[Actual Delivery Date]]-Orders[[#This Row],[Order Date]])</f>
        <v>1</v>
      </c>
      <c r="T520" t="str">
        <f>IF(Orders[[#This Row],[Actual Delivery Date]]="","Pending",IF(Orders[[#This Row],[Actual Delivery Date]]&lt;=Orders[[#This Row],[Expected Delivery Date]],"On Time","Late"))</f>
        <v>On Time</v>
      </c>
      <c r="U520" t="str">
        <f>TEXT(Orders[[#This Row],[Order Date]],"mmm")</f>
        <v>Sep</v>
      </c>
      <c r="V520" s="8">
        <f>DATE(YEAR(Orders[[#This Row],[Order Date]]),MONTH(Orders[[#This Row],[Order Date]]),1)</f>
        <v>46266</v>
      </c>
      <c r="W520" s="5">
        <f>IF(Orders[[#This Row],[Order Status]]="Cancelled",Orders[[#This Row],[Net Sales]],0)</f>
        <v>0</v>
      </c>
    </row>
    <row r="521" spans="1:23" x14ac:dyDescent="0.3">
      <c r="A521" t="s">
        <v>1090</v>
      </c>
      <c r="B521" s="7">
        <v>46259</v>
      </c>
      <c r="C521" t="s">
        <v>1091</v>
      </c>
      <c r="D521" t="s">
        <v>289</v>
      </c>
      <c r="E521" t="s">
        <v>35</v>
      </c>
      <c r="F521" t="s">
        <v>63</v>
      </c>
      <c r="G521" t="s">
        <v>69</v>
      </c>
      <c r="H521" t="s">
        <v>38</v>
      </c>
      <c r="I521">
        <v>2</v>
      </c>
      <c r="J521" s="5">
        <v>3499</v>
      </c>
      <c r="K521" s="2">
        <v>0.05</v>
      </c>
      <c r="L521" t="s">
        <v>31</v>
      </c>
      <c r="M521" t="s">
        <v>23</v>
      </c>
      <c r="N521" s="1">
        <v>46264</v>
      </c>
      <c r="O521" s="1">
        <v>46263</v>
      </c>
      <c r="P521" s="5">
        <f>Orders[[#This Row],[Quantity]]*Orders[[#This Row],[Unit Price]]</f>
        <v>6998</v>
      </c>
      <c r="Q521" s="5">
        <f>Orders[[#This Row],[Gross Sales]]*Orders[[#This Row],[Discount %]]</f>
        <v>349.90000000000003</v>
      </c>
      <c r="R521" s="5">
        <f>Orders[[#This Row],[Gross Sales]]-Orders[[#This Row],[Discount Amount]]</f>
        <v>6648.1</v>
      </c>
      <c r="S521">
        <f>IF(Orders[[#This Row],[Actual Delivery Date]]="","",Orders[[#This Row],[Actual Delivery Date]]-Orders[[#This Row],[Order Date]])</f>
        <v>4</v>
      </c>
      <c r="T521" t="str">
        <f>IF(Orders[[#This Row],[Actual Delivery Date]]="","Pending",IF(Orders[[#This Row],[Actual Delivery Date]]&lt;=Orders[[#This Row],[Expected Delivery Date]],"On Time","Late"))</f>
        <v>On Time</v>
      </c>
      <c r="U521" t="str">
        <f>TEXT(Orders[[#This Row],[Order Date]],"mmm")</f>
        <v>Aug</v>
      </c>
      <c r="V521" s="8">
        <f>DATE(YEAR(Orders[[#This Row],[Order Date]]),MONTH(Orders[[#This Row],[Order Date]]),1)</f>
        <v>46235</v>
      </c>
      <c r="W521" s="5">
        <f>IF(Orders[[#This Row],[Order Status]]="Cancelled",Orders[[#This Row],[Net Sales]],0)</f>
        <v>0</v>
      </c>
    </row>
    <row r="522" spans="1:23" x14ac:dyDescent="0.3">
      <c r="A522" t="s">
        <v>1092</v>
      </c>
      <c r="B522" s="7">
        <v>46137</v>
      </c>
      <c r="C522" t="s">
        <v>700</v>
      </c>
      <c r="D522" t="s">
        <v>249</v>
      </c>
      <c r="E522" t="s">
        <v>35</v>
      </c>
      <c r="F522" t="s">
        <v>63</v>
      </c>
      <c r="G522" t="s">
        <v>100</v>
      </c>
      <c r="H522" t="s">
        <v>30</v>
      </c>
      <c r="I522">
        <v>1</v>
      </c>
      <c r="J522" s="5">
        <v>2499</v>
      </c>
      <c r="K522" s="2">
        <v>0</v>
      </c>
      <c r="L522" t="s">
        <v>31</v>
      </c>
      <c r="M522" t="s">
        <v>23</v>
      </c>
      <c r="N522" s="1">
        <v>46141</v>
      </c>
      <c r="O522" s="1">
        <v>46145</v>
      </c>
      <c r="P522" s="5">
        <f>Orders[[#This Row],[Quantity]]*Orders[[#This Row],[Unit Price]]</f>
        <v>2499</v>
      </c>
      <c r="Q522" s="5">
        <f>Orders[[#This Row],[Gross Sales]]*Orders[[#This Row],[Discount %]]</f>
        <v>0</v>
      </c>
      <c r="R522" s="5">
        <f>Orders[[#This Row],[Gross Sales]]-Orders[[#This Row],[Discount Amount]]</f>
        <v>2499</v>
      </c>
      <c r="S522">
        <f>IF(Orders[[#This Row],[Actual Delivery Date]]="","",Orders[[#This Row],[Actual Delivery Date]]-Orders[[#This Row],[Order Date]])</f>
        <v>8</v>
      </c>
      <c r="T522" t="str">
        <f>IF(Orders[[#This Row],[Actual Delivery Date]]="","Pending",IF(Orders[[#This Row],[Actual Delivery Date]]&lt;=Orders[[#This Row],[Expected Delivery Date]],"On Time","Late"))</f>
        <v>Late</v>
      </c>
      <c r="U522" t="str">
        <f>TEXT(Orders[[#This Row],[Order Date]],"mmm")</f>
        <v>Apr</v>
      </c>
      <c r="V522" s="8">
        <f>DATE(YEAR(Orders[[#This Row],[Order Date]]),MONTH(Orders[[#This Row],[Order Date]]),1)</f>
        <v>46113</v>
      </c>
      <c r="W522" s="5">
        <f>IF(Orders[[#This Row],[Order Status]]="Cancelled",Orders[[#This Row],[Net Sales]],0)</f>
        <v>0</v>
      </c>
    </row>
    <row r="523" spans="1:23" x14ac:dyDescent="0.3">
      <c r="A523" t="s">
        <v>1093</v>
      </c>
      <c r="B523" s="7">
        <v>46037</v>
      </c>
      <c r="C523" t="s">
        <v>843</v>
      </c>
      <c r="D523" t="s">
        <v>1094</v>
      </c>
      <c r="E523" t="s">
        <v>79</v>
      </c>
      <c r="F523" t="s">
        <v>108</v>
      </c>
      <c r="G523" t="s">
        <v>180</v>
      </c>
      <c r="H523" t="s">
        <v>58</v>
      </c>
      <c r="I523">
        <v>1</v>
      </c>
      <c r="J523" s="5">
        <v>599</v>
      </c>
      <c r="K523" s="2">
        <v>0.1</v>
      </c>
      <c r="L523" t="s">
        <v>70</v>
      </c>
      <c r="M523" t="s">
        <v>23</v>
      </c>
      <c r="N523" s="1">
        <v>46043</v>
      </c>
      <c r="O523" s="1">
        <v>46042</v>
      </c>
      <c r="P523" s="5">
        <f>Orders[[#This Row],[Quantity]]*Orders[[#This Row],[Unit Price]]</f>
        <v>599</v>
      </c>
      <c r="Q523" s="5">
        <f>Orders[[#This Row],[Gross Sales]]*Orders[[#This Row],[Discount %]]</f>
        <v>59.900000000000006</v>
      </c>
      <c r="R523" s="5">
        <f>Orders[[#This Row],[Gross Sales]]-Orders[[#This Row],[Discount Amount]]</f>
        <v>539.1</v>
      </c>
      <c r="S523">
        <f>IF(Orders[[#This Row],[Actual Delivery Date]]="","",Orders[[#This Row],[Actual Delivery Date]]-Orders[[#This Row],[Order Date]])</f>
        <v>5</v>
      </c>
      <c r="T523" t="str">
        <f>IF(Orders[[#This Row],[Actual Delivery Date]]="","Pending",IF(Orders[[#This Row],[Actual Delivery Date]]&lt;=Orders[[#This Row],[Expected Delivery Date]],"On Time","Late"))</f>
        <v>On Time</v>
      </c>
      <c r="U523" t="str">
        <f>TEXT(Orders[[#This Row],[Order Date]],"mmm")</f>
        <v>Jan</v>
      </c>
      <c r="V523" s="8">
        <f>DATE(YEAR(Orders[[#This Row],[Order Date]]),MONTH(Orders[[#This Row],[Order Date]]),1)</f>
        <v>46023</v>
      </c>
      <c r="W523" s="5">
        <f>IF(Orders[[#This Row],[Order Status]]="Cancelled",Orders[[#This Row],[Net Sales]],0)</f>
        <v>0</v>
      </c>
    </row>
    <row r="524" spans="1:23" x14ac:dyDescent="0.3">
      <c r="A524" t="s">
        <v>1095</v>
      </c>
      <c r="B524" s="7">
        <v>46214</v>
      </c>
      <c r="C524" t="s">
        <v>808</v>
      </c>
      <c r="D524" t="s">
        <v>561</v>
      </c>
      <c r="E524" t="s">
        <v>79</v>
      </c>
      <c r="F524" t="s">
        <v>80</v>
      </c>
      <c r="G524" t="s">
        <v>147</v>
      </c>
      <c r="H524" t="s">
        <v>58</v>
      </c>
      <c r="I524">
        <v>2</v>
      </c>
      <c r="J524" s="5">
        <v>399</v>
      </c>
      <c r="K524" s="2">
        <v>0.2</v>
      </c>
      <c r="L524" t="s">
        <v>39</v>
      </c>
      <c r="M524" t="s">
        <v>82</v>
      </c>
      <c r="N524" s="1">
        <v>46218</v>
      </c>
      <c r="O524" s="1">
        <v>46215</v>
      </c>
      <c r="P524" s="5">
        <f>Orders[[#This Row],[Quantity]]*Orders[[#This Row],[Unit Price]]</f>
        <v>798</v>
      </c>
      <c r="Q524" s="5">
        <f>Orders[[#This Row],[Gross Sales]]*Orders[[#This Row],[Discount %]]</f>
        <v>159.60000000000002</v>
      </c>
      <c r="R524" s="5">
        <f>Orders[[#This Row],[Gross Sales]]-Orders[[#This Row],[Discount Amount]]</f>
        <v>638.4</v>
      </c>
      <c r="S524">
        <f>IF(Orders[[#This Row],[Actual Delivery Date]]="","",Orders[[#This Row],[Actual Delivery Date]]-Orders[[#This Row],[Order Date]])</f>
        <v>1</v>
      </c>
      <c r="T524" t="str">
        <f>IF(Orders[[#This Row],[Actual Delivery Date]]="","Pending",IF(Orders[[#This Row],[Actual Delivery Date]]&lt;=Orders[[#This Row],[Expected Delivery Date]],"On Time","Late"))</f>
        <v>On Time</v>
      </c>
      <c r="U524" t="str">
        <f>TEXT(Orders[[#This Row],[Order Date]],"mmm")</f>
        <v>Jul</v>
      </c>
      <c r="V524" s="8">
        <f>DATE(YEAR(Orders[[#This Row],[Order Date]]),MONTH(Orders[[#This Row],[Order Date]]),1)</f>
        <v>46204</v>
      </c>
      <c r="W524" s="5">
        <f>IF(Orders[[#This Row],[Order Status]]="Cancelled",Orders[[#This Row],[Net Sales]],0)</f>
        <v>0</v>
      </c>
    </row>
    <row r="525" spans="1:23" x14ac:dyDescent="0.3">
      <c r="A525" t="s">
        <v>1096</v>
      </c>
      <c r="B525" s="7">
        <v>46050</v>
      </c>
      <c r="C525" t="s">
        <v>1097</v>
      </c>
      <c r="D525" t="s">
        <v>716</v>
      </c>
      <c r="E525" t="s">
        <v>79</v>
      </c>
      <c r="F525" t="s">
        <v>108</v>
      </c>
      <c r="G525" t="s">
        <v>20</v>
      </c>
      <c r="H525" t="s">
        <v>21</v>
      </c>
      <c r="I525">
        <v>1</v>
      </c>
      <c r="J525" s="5">
        <v>1799</v>
      </c>
      <c r="K525" s="2">
        <v>0.15</v>
      </c>
      <c r="L525" t="s">
        <v>46</v>
      </c>
      <c r="M525" t="s">
        <v>23</v>
      </c>
      <c r="N525" s="1">
        <v>46054</v>
      </c>
      <c r="O525" s="1">
        <v>46051</v>
      </c>
      <c r="P525" s="5">
        <f>Orders[[#This Row],[Quantity]]*Orders[[#This Row],[Unit Price]]</f>
        <v>1799</v>
      </c>
      <c r="Q525" s="5">
        <f>Orders[[#This Row],[Gross Sales]]*Orders[[#This Row],[Discount %]]</f>
        <v>269.84999999999997</v>
      </c>
      <c r="R525" s="5">
        <f>Orders[[#This Row],[Gross Sales]]-Orders[[#This Row],[Discount Amount]]</f>
        <v>1529.15</v>
      </c>
      <c r="S525">
        <f>IF(Orders[[#This Row],[Actual Delivery Date]]="","",Orders[[#This Row],[Actual Delivery Date]]-Orders[[#This Row],[Order Date]])</f>
        <v>1</v>
      </c>
      <c r="T525" t="str">
        <f>IF(Orders[[#This Row],[Actual Delivery Date]]="","Pending",IF(Orders[[#This Row],[Actual Delivery Date]]&lt;=Orders[[#This Row],[Expected Delivery Date]],"On Time","Late"))</f>
        <v>On Time</v>
      </c>
      <c r="U525" t="str">
        <f>TEXT(Orders[[#This Row],[Order Date]],"mmm")</f>
        <v>Jan</v>
      </c>
      <c r="V525" s="8">
        <f>DATE(YEAR(Orders[[#This Row],[Order Date]]),MONTH(Orders[[#This Row],[Order Date]]),1)</f>
        <v>46023</v>
      </c>
      <c r="W525" s="5">
        <f>IF(Orders[[#This Row],[Order Status]]="Cancelled",Orders[[#This Row],[Net Sales]],0)</f>
        <v>0</v>
      </c>
    </row>
    <row r="526" spans="1:23" x14ac:dyDescent="0.3">
      <c r="A526" t="s">
        <v>1098</v>
      </c>
      <c r="B526" s="7">
        <v>46301</v>
      </c>
      <c r="C526" t="s">
        <v>863</v>
      </c>
      <c r="D526" t="s">
        <v>907</v>
      </c>
      <c r="E526" t="s">
        <v>27</v>
      </c>
      <c r="F526" t="s">
        <v>28</v>
      </c>
      <c r="G526" t="s">
        <v>29</v>
      </c>
      <c r="H526" t="s">
        <v>30</v>
      </c>
      <c r="I526">
        <v>1</v>
      </c>
      <c r="J526" s="5">
        <v>599</v>
      </c>
      <c r="K526" s="2">
        <v>0.1</v>
      </c>
      <c r="L526" t="s">
        <v>46</v>
      </c>
      <c r="M526" t="s">
        <v>23</v>
      </c>
      <c r="N526" s="1">
        <v>46308</v>
      </c>
      <c r="O526" s="1">
        <v>46304</v>
      </c>
      <c r="P526" s="5">
        <f>Orders[[#This Row],[Quantity]]*Orders[[#This Row],[Unit Price]]</f>
        <v>599</v>
      </c>
      <c r="Q526" s="5">
        <f>Orders[[#This Row],[Gross Sales]]*Orders[[#This Row],[Discount %]]</f>
        <v>59.900000000000006</v>
      </c>
      <c r="R526" s="5">
        <f>Orders[[#This Row],[Gross Sales]]-Orders[[#This Row],[Discount Amount]]</f>
        <v>539.1</v>
      </c>
      <c r="S526">
        <f>IF(Orders[[#This Row],[Actual Delivery Date]]="","",Orders[[#This Row],[Actual Delivery Date]]-Orders[[#This Row],[Order Date]])</f>
        <v>3</v>
      </c>
      <c r="T526" t="str">
        <f>IF(Orders[[#This Row],[Actual Delivery Date]]="","Pending",IF(Orders[[#This Row],[Actual Delivery Date]]&lt;=Orders[[#This Row],[Expected Delivery Date]],"On Time","Late"))</f>
        <v>On Time</v>
      </c>
      <c r="U526" t="str">
        <f>TEXT(Orders[[#This Row],[Order Date]],"mmm")</f>
        <v>Oct</v>
      </c>
      <c r="V526" s="8">
        <f>DATE(YEAR(Orders[[#This Row],[Order Date]]),MONTH(Orders[[#This Row],[Order Date]]),1)</f>
        <v>46296</v>
      </c>
      <c r="W526" s="5">
        <f>IF(Orders[[#This Row],[Order Status]]="Cancelled",Orders[[#This Row],[Net Sales]],0)</f>
        <v>0</v>
      </c>
    </row>
    <row r="527" spans="1:23" x14ac:dyDescent="0.3">
      <c r="A527" t="s">
        <v>1099</v>
      </c>
      <c r="B527" s="7">
        <v>46288</v>
      </c>
      <c r="C527" t="s">
        <v>853</v>
      </c>
      <c r="D527" t="s">
        <v>511</v>
      </c>
      <c r="E527" t="s">
        <v>35</v>
      </c>
      <c r="F527" t="s">
        <v>68</v>
      </c>
      <c r="G527" t="s">
        <v>52</v>
      </c>
      <c r="H527" t="s">
        <v>45</v>
      </c>
      <c r="I527">
        <v>1</v>
      </c>
      <c r="J527" s="5">
        <v>1299</v>
      </c>
      <c r="K527" s="2">
        <v>0.15</v>
      </c>
      <c r="L527" t="s">
        <v>70</v>
      </c>
      <c r="M527" t="s">
        <v>23</v>
      </c>
      <c r="N527" s="1">
        <v>46291</v>
      </c>
      <c r="O527" s="1">
        <v>46289</v>
      </c>
      <c r="P527" s="5">
        <f>Orders[[#This Row],[Quantity]]*Orders[[#This Row],[Unit Price]]</f>
        <v>1299</v>
      </c>
      <c r="Q527" s="5">
        <f>Orders[[#This Row],[Gross Sales]]*Orders[[#This Row],[Discount %]]</f>
        <v>194.85</v>
      </c>
      <c r="R527" s="5">
        <f>Orders[[#This Row],[Gross Sales]]-Orders[[#This Row],[Discount Amount]]</f>
        <v>1104.1500000000001</v>
      </c>
      <c r="S527">
        <f>IF(Orders[[#This Row],[Actual Delivery Date]]="","",Orders[[#This Row],[Actual Delivery Date]]-Orders[[#This Row],[Order Date]])</f>
        <v>1</v>
      </c>
      <c r="T527" t="str">
        <f>IF(Orders[[#This Row],[Actual Delivery Date]]="","Pending",IF(Orders[[#This Row],[Actual Delivery Date]]&lt;=Orders[[#This Row],[Expected Delivery Date]],"On Time","Late"))</f>
        <v>On Time</v>
      </c>
      <c r="U527" t="str">
        <f>TEXT(Orders[[#This Row],[Order Date]],"mmm")</f>
        <v>Sep</v>
      </c>
      <c r="V527" s="8">
        <f>DATE(YEAR(Orders[[#This Row],[Order Date]]),MONTH(Orders[[#This Row],[Order Date]]),1)</f>
        <v>46266</v>
      </c>
      <c r="W527" s="5">
        <f>IF(Orders[[#This Row],[Order Status]]="Cancelled",Orders[[#This Row],[Net Sales]],0)</f>
        <v>0</v>
      </c>
    </row>
    <row r="528" spans="1:23" x14ac:dyDescent="0.3">
      <c r="A528" t="s">
        <v>1100</v>
      </c>
      <c r="B528" s="7">
        <v>46062</v>
      </c>
      <c r="C528" t="s">
        <v>1082</v>
      </c>
      <c r="D528" t="s">
        <v>111</v>
      </c>
      <c r="E528" t="s">
        <v>27</v>
      </c>
      <c r="F528" t="s">
        <v>28</v>
      </c>
      <c r="G528" t="s">
        <v>57</v>
      </c>
      <c r="H528" t="s">
        <v>58</v>
      </c>
      <c r="I528">
        <v>1</v>
      </c>
      <c r="J528" s="5">
        <v>499</v>
      </c>
      <c r="K528" s="2">
        <v>0.05</v>
      </c>
      <c r="L528" t="s">
        <v>39</v>
      </c>
      <c r="M528" t="s">
        <v>23</v>
      </c>
      <c r="N528" s="1">
        <v>46066</v>
      </c>
      <c r="O528" s="1">
        <v>46065</v>
      </c>
      <c r="P528" s="5">
        <f>Orders[[#This Row],[Quantity]]*Orders[[#This Row],[Unit Price]]</f>
        <v>499</v>
      </c>
      <c r="Q528" s="5">
        <f>Orders[[#This Row],[Gross Sales]]*Orders[[#This Row],[Discount %]]</f>
        <v>24.950000000000003</v>
      </c>
      <c r="R528" s="5">
        <f>Orders[[#This Row],[Gross Sales]]-Orders[[#This Row],[Discount Amount]]</f>
        <v>474.05</v>
      </c>
      <c r="S528">
        <f>IF(Orders[[#This Row],[Actual Delivery Date]]="","",Orders[[#This Row],[Actual Delivery Date]]-Orders[[#This Row],[Order Date]])</f>
        <v>3</v>
      </c>
      <c r="T528" t="str">
        <f>IF(Orders[[#This Row],[Actual Delivery Date]]="","Pending",IF(Orders[[#This Row],[Actual Delivery Date]]&lt;=Orders[[#This Row],[Expected Delivery Date]],"On Time","Late"))</f>
        <v>On Time</v>
      </c>
      <c r="U528" t="str">
        <f>TEXT(Orders[[#This Row],[Order Date]],"mmm")</f>
        <v>Feb</v>
      </c>
      <c r="V528" s="8">
        <f>DATE(YEAR(Orders[[#This Row],[Order Date]]),MONTH(Orders[[#This Row],[Order Date]]),1)</f>
        <v>46054</v>
      </c>
      <c r="W528" s="5">
        <f>IF(Orders[[#This Row],[Order Status]]="Cancelled",Orders[[#This Row],[Net Sales]],0)</f>
        <v>0</v>
      </c>
    </row>
    <row r="529" spans="1:23" x14ac:dyDescent="0.3">
      <c r="A529" t="s">
        <v>1101</v>
      </c>
      <c r="B529" s="7">
        <v>46083</v>
      </c>
      <c r="C529" t="s">
        <v>780</v>
      </c>
      <c r="D529" t="s">
        <v>980</v>
      </c>
      <c r="E529" t="s">
        <v>35</v>
      </c>
      <c r="F529" t="s">
        <v>68</v>
      </c>
      <c r="G529" t="s">
        <v>64</v>
      </c>
      <c r="H529" t="s">
        <v>21</v>
      </c>
      <c r="I529">
        <v>1</v>
      </c>
      <c r="J529" s="5">
        <v>699</v>
      </c>
      <c r="K529" s="2">
        <v>0.05</v>
      </c>
      <c r="L529" t="s">
        <v>31</v>
      </c>
      <c r="M529" t="s">
        <v>23</v>
      </c>
      <c r="N529" s="1">
        <v>46086</v>
      </c>
      <c r="O529" s="1">
        <v>46084</v>
      </c>
      <c r="P529" s="5">
        <f>Orders[[#This Row],[Quantity]]*Orders[[#This Row],[Unit Price]]</f>
        <v>699</v>
      </c>
      <c r="Q529" s="5">
        <f>Orders[[#This Row],[Gross Sales]]*Orders[[#This Row],[Discount %]]</f>
        <v>34.950000000000003</v>
      </c>
      <c r="R529" s="5">
        <f>Orders[[#This Row],[Gross Sales]]-Orders[[#This Row],[Discount Amount]]</f>
        <v>664.05</v>
      </c>
      <c r="S529">
        <f>IF(Orders[[#This Row],[Actual Delivery Date]]="","",Orders[[#This Row],[Actual Delivery Date]]-Orders[[#This Row],[Order Date]])</f>
        <v>1</v>
      </c>
      <c r="T529" t="str">
        <f>IF(Orders[[#This Row],[Actual Delivery Date]]="","Pending",IF(Orders[[#This Row],[Actual Delivery Date]]&lt;=Orders[[#This Row],[Expected Delivery Date]],"On Time","Late"))</f>
        <v>On Time</v>
      </c>
      <c r="U529" t="str">
        <f>TEXT(Orders[[#This Row],[Order Date]],"mmm")</f>
        <v>Mar</v>
      </c>
      <c r="V529" s="8">
        <f>DATE(YEAR(Orders[[#This Row],[Order Date]]),MONTH(Orders[[#This Row],[Order Date]]),1)</f>
        <v>46082</v>
      </c>
      <c r="W529" s="5">
        <f>IF(Orders[[#This Row],[Order Status]]="Cancelled",Orders[[#This Row],[Net Sales]],0)</f>
        <v>0</v>
      </c>
    </row>
    <row r="530" spans="1:23" x14ac:dyDescent="0.3">
      <c r="A530" t="s">
        <v>1102</v>
      </c>
      <c r="B530" s="7">
        <v>46044</v>
      </c>
      <c r="C530" t="s">
        <v>243</v>
      </c>
      <c r="D530" t="s">
        <v>239</v>
      </c>
      <c r="E530" t="s">
        <v>18</v>
      </c>
      <c r="F530" t="s">
        <v>19</v>
      </c>
      <c r="G530" t="s">
        <v>57</v>
      </c>
      <c r="H530" t="s">
        <v>58</v>
      </c>
      <c r="I530">
        <v>1</v>
      </c>
      <c r="J530" s="5">
        <v>499</v>
      </c>
      <c r="K530" s="2">
        <v>0</v>
      </c>
      <c r="L530" t="s">
        <v>22</v>
      </c>
      <c r="M530" t="s">
        <v>47</v>
      </c>
      <c r="N530" s="1">
        <v>46046</v>
      </c>
      <c r="O530" s="1"/>
      <c r="P530" s="5">
        <f>Orders[[#This Row],[Quantity]]*Orders[[#This Row],[Unit Price]]</f>
        <v>499</v>
      </c>
      <c r="Q530" s="5">
        <f>Orders[[#This Row],[Gross Sales]]*Orders[[#This Row],[Discount %]]</f>
        <v>0</v>
      </c>
      <c r="R530" s="5">
        <f>Orders[[#This Row],[Gross Sales]]-Orders[[#This Row],[Discount Amount]]</f>
        <v>499</v>
      </c>
      <c r="S530" t="str">
        <f>IF(Orders[[#This Row],[Actual Delivery Date]]="","",Orders[[#This Row],[Actual Delivery Date]]-Orders[[#This Row],[Order Date]])</f>
        <v/>
      </c>
      <c r="T530" t="str">
        <f>IF(Orders[[#This Row],[Actual Delivery Date]]="","Pending",IF(Orders[[#This Row],[Actual Delivery Date]]&lt;=Orders[[#This Row],[Expected Delivery Date]],"On Time","Late"))</f>
        <v>Pending</v>
      </c>
      <c r="U530" t="str">
        <f>TEXT(Orders[[#This Row],[Order Date]],"mmm")</f>
        <v>Jan</v>
      </c>
      <c r="V530" s="8">
        <f>DATE(YEAR(Orders[[#This Row],[Order Date]]),MONTH(Orders[[#This Row],[Order Date]]),1)</f>
        <v>46023</v>
      </c>
      <c r="W530" s="5">
        <f>IF(Orders[[#This Row],[Order Status]]="Cancelled",Orders[[#This Row],[Net Sales]],0)</f>
        <v>0</v>
      </c>
    </row>
    <row r="531" spans="1:23" x14ac:dyDescent="0.3">
      <c r="A531" t="s">
        <v>1103</v>
      </c>
      <c r="B531" s="7">
        <v>46364</v>
      </c>
      <c r="C531" t="s">
        <v>296</v>
      </c>
      <c r="D531" t="s">
        <v>941</v>
      </c>
      <c r="E531" t="s">
        <v>35</v>
      </c>
      <c r="F531" t="s">
        <v>135</v>
      </c>
      <c r="G531" t="s">
        <v>153</v>
      </c>
      <c r="H531" t="s">
        <v>45</v>
      </c>
      <c r="I531">
        <v>1</v>
      </c>
      <c r="J531" s="5">
        <v>1999</v>
      </c>
      <c r="K531" s="2">
        <v>0</v>
      </c>
      <c r="L531" t="s">
        <v>39</v>
      </c>
      <c r="M531" t="s">
        <v>47</v>
      </c>
      <c r="N531" s="1">
        <v>46367</v>
      </c>
      <c r="O531" s="1"/>
      <c r="P531" s="5">
        <f>Orders[[#This Row],[Quantity]]*Orders[[#This Row],[Unit Price]]</f>
        <v>1999</v>
      </c>
      <c r="Q531" s="5">
        <f>Orders[[#This Row],[Gross Sales]]*Orders[[#This Row],[Discount %]]</f>
        <v>0</v>
      </c>
      <c r="R531" s="5">
        <f>Orders[[#This Row],[Gross Sales]]-Orders[[#This Row],[Discount Amount]]</f>
        <v>1999</v>
      </c>
      <c r="S531" t="str">
        <f>IF(Orders[[#This Row],[Actual Delivery Date]]="","",Orders[[#This Row],[Actual Delivery Date]]-Orders[[#This Row],[Order Date]])</f>
        <v/>
      </c>
      <c r="T531" t="str">
        <f>IF(Orders[[#This Row],[Actual Delivery Date]]="","Pending",IF(Orders[[#This Row],[Actual Delivery Date]]&lt;=Orders[[#This Row],[Expected Delivery Date]],"On Time","Late"))</f>
        <v>Pending</v>
      </c>
      <c r="U531" t="str">
        <f>TEXT(Orders[[#This Row],[Order Date]],"mmm")</f>
        <v>Dec</v>
      </c>
      <c r="V531" s="8">
        <f>DATE(YEAR(Orders[[#This Row],[Order Date]]),MONTH(Orders[[#This Row],[Order Date]]),1)</f>
        <v>46357</v>
      </c>
      <c r="W531" s="5">
        <f>IF(Orders[[#This Row],[Order Status]]="Cancelled",Orders[[#This Row],[Net Sales]],0)</f>
        <v>0</v>
      </c>
    </row>
    <row r="532" spans="1:23" x14ac:dyDescent="0.3">
      <c r="A532" t="s">
        <v>1104</v>
      </c>
      <c r="B532" s="7">
        <v>46165</v>
      </c>
      <c r="C532" t="s">
        <v>502</v>
      </c>
      <c r="D532" t="s">
        <v>365</v>
      </c>
      <c r="E532" t="s">
        <v>35</v>
      </c>
      <c r="F532" t="s">
        <v>135</v>
      </c>
      <c r="G532" t="s">
        <v>52</v>
      </c>
      <c r="H532" t="s">
        <v>45</v>
      </c>
      <c r="I532">
        <v>4</v>
      </c>
      <c r="J532" s="5">
        <v>1299</v>
      </c>
      <c r="K532" s="2">
        <v>0.1</v>
      </c>
      <c r="L532" t="s">
        <v>46</v>
      </c>
      <c r="M532" t="s">
        <v>23</v>
      </c>
      <c r="N532" s="1">
        <v>46171</v>
      </c>
      <c r="O532" s="1">
        <v>46170</v>
      </c>
      <c r="P532" s="5">
        <f>Orders[[#This Row],[Quantity]]*Orders[[#This Row],[Unit Price]]</f>
        <v>5196</v>
      </c>
      <c r="Q532" s="5">
        <f>Orders[[#This Row],[Gross Sales]]*Orders[[#This Row],[Discount %]]</f>
        <v>519.6</v>
      </c>
      <c r="R532" s="5">
        <f>Orders[[#This Row],[Gross Sales]]-Orders[[#This Row],[Discount Amount]]</f>
        <v>4676.3999999999996</v>
      </c>
      <c r="S532">
        <f>IF(Orders[[#This Row],[Actual Delivery Date]]="","",Orders[[#This Row],[Actual Delivery Date]]-Orders[[#This Row],[Order Date]])</f>
        <v>5</v>
      </c>
      <c r="T532" t="str">
        <f>IF(Orders[[#This Row],[Actual Delivery Date]]="","Pending",IF(Orders[[#This Row],[Actual Delivery Date]]&lt;=Orders[[#This Row],[Expected Delivery Date]],"On Time","Late"))</f>
        <v>On Time</v>
      </c>
      <c r="U532" t="str">
        <f>TEXT(Orders[[#This Row],[Order Date]],"mmm")</f>
        <v>May</v>
      </c>
      <c r="V532" s="8">
        <f>DATE(YEAR(Orders[[#This Row],[Order Date]]),MONTH(Orders[[#This Row],[Order Date]]),1)</f>
        <v>46143</v>
      </c>
      <c r="W532" s="5">
        <f>IF(Orders[[#This Row],[Order Status]]="Cancelled",Orders[[#This Row],[Net Sales]],0)</f>
        <v>0</v>
      </c>
    </row>
    <row r="533" spans="1:23" x14ac:dyDescent="0.3">
      <c r="A533" t="s">
        <v>1105</v>
      </c>
      <c r="B533" s="7">
        <v>46293</v>
      </c>
      <c r="C533" t="s">
        <v>106</v>
      </c>
      <c r="D533" t="s">
        <v>1106</v>
      </c>
      <c r="E533" t="s">
        <v>18</v>
      </c>
      <c r="F533" t="s">
        <v>19</v>
      </c>
      <c r="G533" t="s">
        <v>81</v>
      </c>
      <c r="H533" t="s">
        <v>30</v>
      </c>
      <c r="I533">
        <v>1</v>
      </c>
      <c r="J533" s="5">
        <v>899</v>
      </c>
      <c r="K533" s="2">
        <v>0.05</v>
      </c>
      <c r="L533" t="s">
        <v>46</v>
      </c>
      <c r="M533" t="s">
        <v>23</v>
      </c>
      <c r="N533" s="1">
        <v>46299</v>
      </c>
      <c r="O533" s="1">
        <v>46299</v>
      </c>
      <c r="P533" s="5">
        <f>Orders[[#This Row],[Quantity]]*Orders[[#This Row],[Unit Price]]</f>
        <v>899</v>
      </c>
      <c r="Q533" s="5">
        <f>Orders[[#This Row],[Gross Sales]]*Orders[[#This Row],[Discount %]]</f>
        <v>44.95</v>
      </c>
      <c r="R533" s="5">
        <f>Orders[[#This Row],[Gross Sales]]-Orders[[#This Row],[Discount Amount]]</f>
        <v>854.05</v>
      </c>
      <c r="S533">
        <f>IF(Orders[[#This Row],[Actual Delivery Date]]="","",Orders[[#This Row],[Actual Delivery Date]]-Orders[[#This Row],[Order Date]])</f>
        <v>6</v>
      </c>
      <c r="T533" t="str">
        <f>IF(Orders[[#This Row],[Actual Delivery Date]]="","Pending",IF(Orders[[#This Row],[Actual Delivery Date]]&lt;=Orders[[#This Row],[Expected Delivery Date]],"On Time","Late"))</f>
        <v>On Time</v>
      </c>
      <c r="U533" t="str">
        <f>TEXT(Orders[[#This Row],[Order Date]],"mmm")</f>
        <v>Sep</v>
      </c>
      <c r="V533" s="8">
        <f>DATE(YEAR(Orders[[#This Row],[Order Date]]),MONTH(Orders[[#This Row],[Order Date]]),1)</f>
        <v>46266</v>
      </c>
      <c r="W533" s="5">
        <f>IF(Orders[[#This Row],[Order Status]]="Cancelled",Orders[[#This Row],[Net Sales]],0)</f>
        <v>0</v>
      </c>
    </row>
    <row r="534" spans="1:23" x14ac:dyDescent="0.3">
      <c r="A534" t="s">
        <v>1107</v>
      </c>
      <c r="B534" s="7">
        <v>46248</v>
      </c>
      <c r="C534" t="s">
        <v>374</v>
      </c>
      <c r="D534" t="s">
        <v>778</v>
      </c>
      <c r="E534" t="s">
        <v>79</v>
      </c>
      <c r="F534" t="s">
        <v>80</v>
      </c>
      <c r="G534" t="s">
        <v>29</v>
      </c>
      <c r="H534" t="s">
        <v>30</v>
      </c>
      <c r="I534">
        <v>2</v>
      </c>
      <c r="J534" s="5">
        <v>599</v>
      </c>
      <c r="K534" s="2">
        <v>0</v>
      </c>
      <c r="L534" t="s">
        <v>31</v>
      </c>
      <c r="M534" t="s">
        <v>82</v>
      </c>
      <c r="N534" s="1">
        <v>46252</v>
      </c>
      <c r="O534" s="1">
        <v>46256</v>
      </c>
      <c r="P534" s="5">
        <f>Orders[[#This Row],[Quantity]]*Orders[[#This Row],[Unit Price]]</f>
        <v>1198</v>
      </c>
      <c r="Q534" s="5">
        <f>Orders[[#This Row],[Gross Sales]]*Orders[[#This Row],[Discount %]]</f>
        <v>0</v>
      </c>
      <c r="R534" s="5">
        <f>Orders[[#This Row],[Gross Sales]]-Orders[[#This Row],[Discount Amount]]</f>
        <v>1198</v>
      </c>
      <c r="S534">
        <f>IF(Orders[[#This Row],[Actual Delivery Date]]="","",Orders[[#This Row],[Actual Delivery Date]]-Orders[[#This Row],[Order Date]])</f>
        <v>8</v>
      </c>
      <c r="T534" t="str">
        <f>IF(Orders[[#This Row],[Actual Delivery Date]]="","Pending",IF(Orders[[#This Row],[Actual Delivery Date]]&lt;=Orders[[#This Row],[Expected Delivery Date]],"On Time","Late"))</f>
        <v>Late</v>
      </c>
      <c r="U534" t="str">
        <f>TEXT(Orders[[#This Row],[Order Date]],"mmm")</f>
        <v>Aug</v>
      </c>
      <c r="V534" s="8">
        <f>DATE(YEAR(Orders[[#This Row],[Order Date]]),MONTH(Orders[[#This Row],[Order Date]]),1)</f>
        <v>46235</v>
      </c>
      <c r="W534" s="5">
        <f>IF(Orders[[#This Row],[Order Status]]="Cancelled",Orders[[#This Row],[Net Sales]],0)</f>
        <v>0</v>
      </c>
    </row>
    <row r="535" spans="1:23" x14ac:dyDescent="0.3">
      <c r="A535" t="s">
        <v>1108</v>
      </c>
      <c r="B535" s="7">
        <v>46086</v>
      </c>
      <c r="C535" t="s">
        <v>920</v>
      </c>
      <c r="D535" t="s">
        <v>1109</v>
      </c>
      <c r="E535" t="s">
        <v>27</v>
      </c>
      <c r="F535" t="s">
        <v>74</v>
      </c>
      <c r="G535" t="s">
        <v>153</v>
      </c>
      <c r="H535" t="s">
        <v>45</v>
      </c>
      <c r="I535">
        <v>2</v>
      </c>
      <c r="J535" s="5">
        <v>1999</v>
      </c>
      <c r="K535" s="2">
        <v>0.2</v>
      </c>
      <c r="L535" t="s">
        <v>31</v>
      </c>
      <c r="M535" t="s">
        <v>23</v>
      </c>
      <c r="N535" s="1">
        <v>46090</v>
      </c>
      <c r="O535" s="1">
        <v>46087</v>
      </c>
      <c r="P535" s="5">
        <f>Orders[[#This Row],[Quantity]]*Orders[[#This Row],[Unit Price]]</f>
        <v>3998</v>
      </c>
      <c r="Q535" s="5">
        <f>Orders[[#This Row],[Gross Sales]]*Orders[[#This Row],[Discount %]]</f>
        <v>799.6</v>
      </c>
      <c r="R535" s="5">
        <f>Orders[[#This Row],[Gross Sales]]-Orders[[#This Row],[Discount Amount]]</f>
        <v>3198.4</v>
      </c>
      <c r="S535">
        <f>IF(Orders[[#This Row],[Actual Delivery Date]]="","",Orders[[#This Row],[Actual Delivery Date]]-Orders[[#This Row],[Order Date]])</f>
        <v>1</v>
      </c>
      <c r="T535" t="str">
        <f>IF(Orders[[#This Row],[Actual Delivery Date]]="","Pending",IF(Orders[[#This Row],[Actual Delivery Date]]&lt;=Orders[[#This Row],[Expected Delivery Date]],"On Time","Late"))</f>
        <v>On Time</v>
      </c>
      <c r="U535" t="str">
        <f>TEXT(Orders[[#This Row],[Order Date]],"mmm")</f>
        <v>Mar</v>
      </c>
      <c r="V535" s="8">
        <f>DATE(YEAR(Orders[[#This Row],[Order Date]]),MONTH(Orders[[#This Row],[Order Date]]),1)</f>
        <v>46082</v>
      </c>
      <c r="W535" s="5">
        <f>IF(Orders[[#This Row],[Order Status]]="Cancelled",Orders[[#This Row],[Net Sales]],0)</f>
        <v>0</v>
      </c>
    </row>
    <row r="536" spans="1:23" x14ac:dyDescent="0.3">
      <c r="A536" t="s">
        <v>1110</v>
      </c>
      <c r="B536" s="7">
        <v>46256</v>
      </c>
      <c r="C536" t="s">
        <v>709</v>
      </c>
      <c r="D536" t="s">
        <v>628</v>
      </c>
      <c r="E536" t="s">
        <v>79</v>
      </c>
      <c r="F536" t="s">
        <v>86</v>
      </c>
      <c r="G536" t="s">
        <v>118</v>
      </c>
      <c r="H536" t="s">
        <v>58</v>
      </c>
      <c r="I536">
        <v>2</v>
      </c>
      <c r="J536" s="5">
        <v>749</v>
      </c>
      <c r="K536" s="2">
        <v>0.1</v>
      </c>
      <c r="L536" t="s">
        <v>70</v>
      </c>
      <c r="M536" t="s">
        <v>23</v>
      </c>
      <c r="N536" s="1">
        <v>46262</v>
      </c>
      <c r="O536" s="1">
        <v>46260</v>
      </c>
      <c r="P536" s="5">
        <f>Orders[[#This Row],[Quantity]]*Orders[[#This Row],[Unit Price]]</f>
        <v>1498</v>
      </c>
      <c r="Q536" s="5">
        <f>Orders[[#This Row],[Gross Sales]]*Orders[[#This Row],[Discount %]]</f>
        <v>149.80000000000001</v>
      </c>
      <c r="R536" s="5">
        <f>Orders[[#This Row],[Gross Sales]]-Orders[[#This Row],[Discount Amount]]</f>
        <v>1348.2</v>
      </c>
      <c r="S536">
        <f>IF(Orders[[#This Row],[Actual Delivery Date]]="","",Orders[[#This Row],[Actual Delivery Date]]-Orders[[#This Row],[Order Date]])</f>
        <v>4</v>
      </c>
      <c r="T536" t="str">
        <f>IF(Orders[[#This Row],[Actual Delivery Date]]="","Pending",IF(Orders[[#This Row],[Actual Delivery Date]]&lt;=Orders[[#This Row],[Expected Delivery Date]],"On Time","Late"))</f>
        <v>On Time</v>
      </c>
      <c r="U536" t="str">
        <f>TEXT(Orders[[#This Row],[Order Date]],"mmm")</f>
        <v>Aug</v>
      </c>
      <c r="V536" s="8">
        <f>DATE(YEAR(Orders[[#This Row],[Order Date]]),MONTH(Orders[[#This Row],[Order Date]]),1)</f>
        <v>46235</v>
      </c>
      <c r="W536" s="5">
        <f>IF(Orders[[#This Row],[Order Status]]="Cancelled",Orders[[#This Row],[Net Sales]],0)</f>
        <v>0</v>
      </c>
    </row>
    <row r="537" spans="1:23" x14ac:dyDescent="0.3">
      <c r="A537" t="s">
        <v>1111</v>
      </c>
      <c r="B537" s="7">
        <v>46368</v>
      </c>
      <c r="C537" t="s">
        <v>849</v>
      </c>
      <c r="D537" t="s">
        <v>62</v>
      </c>
      <c r="E537" t="s">
        <v>79</v>
      </c>
      <c r="F537" t="s">
        <v>80</v>
      </c>
      <c r="G537" t="s">
        <v>104</v>
      </c>
      <c r="H537" t="s">
        <v>38</v>
      </c>
      <c r="I537">
        <v>2</v>
      </c>
      <c r="J537" s="5">
        <v>999</v>
      </c>
      <c r="K537" s="2">
        <v>0</v>
      </c>
      <c r="L537" t="s">
        <v>70</v>
      </c>
      <c r="M537" t="s">
        <v>23</v>
      </c>
      <c r="N537" s="1">
        <v>46374</v>
      </c>
      <c r="O537" s="1">
        <v>46369</v>
      </c>
      <c r="P537" s="5">
        <f>Orders[[#This Row],[Quantity]]*Orders[[#This Row],[Unit Price]]</f>
        <v>1998</v>
      </c>
      <c r="Q537" s="5">
        <f>Orders[[#This Row],[Gross Sales]]*Orders[[#This Row],[Discount %]]</f>
        <v>0</v>
      </c>
      <c r="R537" s="5">
        <f>Orders[[#This Row],[Gross Sales]]-Orders[[#This Row],[Discount Amount]]</f>
        <v>1998</v>
      </c>
      <c r="S537">
        <f>IF(Orders[[#This Row],[Actual Delivery Date]]="","",Orders[[#This Row],[Actual Delivery Date]]-Orders[[#This Row],[Order Date]])</f>
        <v>1</v>
      </c>
      <c r="T537" t="str">
        <f>IF(Orders[[#This Row],[Actual Delivery Date]]="","Pending",IF(Orders[[#This Row],[Actual Delivery Date]]&lt;=Orders[[#This Row],[Expected Delivery Date]],"On Time","Late"))</f>
        <v>On Time</v>
      </c>
      <c r="U537" t="str">
        <f>TEXT(Orders[[#This Row],[Order Date]],"mmm")</f>
        <v>Dec</v>
      </c>
      <c r="V537" s="8">
        <f>DATE(YEAR(Orders[[#This Row],[Order Date]]),MONTH(Orders[[#This Row],[Order Date]]),1)</f>
        <v>46357</v>
      </c>
      <c r="W537" s="5">
        <f>IF(Orders[[#This Row],[Order Status]]="Cancelled",Orders[[#This Row],[Net Sales]],0)</f>
        <v>0</v>
      </c>
    </row>
    <row r="538" spans="1:23" x14ac:dyDescent="0.3">
      <c r="A538" t="s">
        <v>1112</v>
      </c>
      <c r="B538" s="7">
        <v>46109</v>
      </c>
      <c r="C538" t="s">
        <v>886</v>
      </c>
      <c r="D538" t="s">
        <v>596</v>
      </c>
      <c r="E538" t="s">
        <v>79</v>
      </c>
      <c r="F538" t="s">
        <v>170</v>
      </c>
      <c r="G538" t="s">
        <v>81</v>
      </c>
      <c r="H538" t="s">
        <v>30</v>
      </c>
      <c r="I538">
        <v>1</v>
      </c>
      <c r="J538" s="5">
        <v>899</v>
      </c>
      <c r="K538" s="2">
        <v>0.05</v>
      </c>
      <c r="L538" t="s">
        <v>46</v>
      </c>
      <c r="M538" t="s">
        <v>23</v>
      </c>
      <c r="N538" s="1">
        <v>46115</v>
      </c>
      <c r="O538" s="1">
        <v>46113</v>
      </c>
      <c r="P538" s="5">
        <f>Orders[[#This Row],[Quantity]]*Orders[[#This Row],[Unit Price]]</f>
        <v>899</v>
      </c>
      <c r="Q538" s="5">
        <f>Orders[[#This Row],[Gross Sales]]*Orders[[#This Row],[Discount %]]</f>
        <v>44.95</v>
      </c>
      <c r="R538" s="5">
        <f>Orders[[#This Row],[Gross Sales]]-Orders[[#This Row],[Discount Amount]]</f>
        <v>854.05</v>
      </c>
      <c r="S538">
        <f>IF(Orders[[#This Row],[Actual Delivery Date]]="","",Orders[[#This Row],[Actual Delivery Date]]-Orders[[#This Row],[Order Date]])</f>
        <v>4</v>
      </c>
      <c r="T538" t="str">
        <f>IF(Orders[[#This Row],[Actual Delivery Date]]="","Pending",IF(Orders[[#This Row],[Actual Delivery Date]]&lt;=Orders[[#This Row],[Expected Delivery Date]],"On Time","Late"))</f>
        <v>On Time</v>
      </c>
      <c r="U538" t="str">
        <f>TEXT(Orders[[#This Row],[Order Date]],"mmm")</f>
        <v>Mar</v>
      </c>
      <c r="V538" s="8">
        <f>DATE(YEAR(Orders[[#This Row],[Order Date]]),MONTH(Orders[[#This Row],[Order Date]]),1)</f>
        <v>46082</v>
      </c>
      <c r="W538" s="5">
        <f>IF(Orders[[#This Row],[Order Status]]="Cancelled",Orders[[#This Row],[Net Sales]],0)</f>
        <v>0</v>
      </c>
    </row>
    <row r="539" spans="1:23" x14ac:dyDescent="0.3">
      <c r="A539" t="s">
        <v>1113</v>
      </c>
      <c r="B539" s="7">
        <v>46326</v>
      </c>
      <c r="C539" t="s">
        <v>590</v>
      </c>
      <c r="D539" t="s">
        <v>737</v>
      </c>
      <c r="E539" t="s">
        <v>79</v>
      </c>
      <c r="F539" t="s">
        <v>170</v>
      </c>
      <c r="G539" t="s">
        <v>87</v>
      </c>
      <c r="H539" t="s">
        <v>21</v>
      </c>
      <c r="I539">
        <v>1</v>
      </c>
      <c r="J539" s="5">
        <v>1899</v>
      </c>
      <c r="K539" s="2">
        <v>0.15</v>
      </c>
      <c r="L539" t="s">
        <v>46</v>
      </c>
      <c r="M539" t="s">
        <v>23</v>
      </c>
      <c r="N539" s="1">
        <v>46333</v>
      </c>
      <c r="O539" s="1">
        <v>46330</v>
      </c>
      <c r="P539" s="5">
        <f>Orders[[#This Row],[Quantity]]*Orders[[#This Row],[Unit Price]]</f>
        <v>1899</v>
      </c>
      <c r="Q539" s="5">
        <f>Orders[[#This Row],[Gross Sales]]*Orders[[#This Row],[Discount %]]</f>
        <v>284.84999999999997</v>
      </c>
      <c r="R539" s="5">
        <f>Orders[[#This Row],[Gross Sales]]-Orders[[#This Row],[Discount Amount]]</f>
        <v>1614.15</v>
      </c>
      <c r="S539">
        <f>IF(Orders[[#This Row],[Actual Delivery Date]]="","",Orders[[#This Row],[Actual Delivery Date]]-Orders[[#This Row],[Order Date]])</f>
        <v>4</v>
      </c>
      <c r="T539" t="str">
        <f>IF(Orders[[#This Row],[Actual Delivery Date]]="","Pending",IF(Orders[[#This Row],[Actual Delivery Date]]&lt;=Orders[[#This Row],[Expected Delivery Date]],"On Time","Late"))</f>
        <v>On Time</v>
      </c>
      <c r="U539" t="str">
        <f>TEXT(Orders[[#This Row],[Order Date]],"mmm")</f>
        <v>Oct</v>
      </c>
      <c r="V539" s="8">
        <f>DATE(YEAR(Orders[[#This Row],[Order Date]]),MONTH(Orders[[#This Row],[Order Date]]),1)</f>
        <v>46296</v>
      </c>
      <c r="W539" s="5">
        <f>IF(Orders[[#This Row],[Order Status]]="Cancelled",Orders[[#This Row],[Net Sales]],0)</f>
        <v>0</v>
      </c>
    </row>
    <row r="540" spans="1:23" x14ac:dyDescent="0.3">
      <c r="A540" t="s">
        <v>1114</v>
      </c>
      <c r="B540" s="7">
        <v>46085</v>
      </c>
      <c r="C540" t="s">
        <v>794</v>
      </c>
      <c r="D540" t="s">
        <v>120</v>
      </c>
      <c r="E540" t="s">
        <v>35</v>
      </c>
      <c r="F540" t="s">
        <v>68</v>
      </c>
      <c r="G540" t="s">
        <v>147</v>
      </c>
      <c r="H540" t="s">
        <v>58</v>
      </c>
      <c r="I540">
        <v>1</v>
      </c>
      <c r="J540" s="5">
        <v>399</v>
      </c>
      <c r="K540" s="2">
        <v>0.15</v>
      </c>
      <c r="L540" t="s">
        <v>31</v>
      </c>
      <c r="M540" t="s">
        <v>59</v>
      </c>
      <c r="N540" s="1">
        <v>46088</v>
      </c>
      <c r="O540" s="1">
        <v>46088</v>
      </c>
      <c r="P540" s="5">
        <f>Orders[[#This Row],[Quantity]]*Orders[[#This Row],[Unit Price]]</f>
        <v>399</v>
      </c>
      <c r="Q540" s="5">
        <f>Orders[[#This Row],[Gross Sales]]*Orders[[#This Row],[Discount %]]</f>
        <v>59.849999999999994</v>
      </c>
      <c r="R540" s="5">
        <f>Orders[[#This Row],[Gross Sales]]-Orders[[#This Row],[Discount Amount]]</f>
        <v>339.15</v>
      </c>
      <c r="S540">
        <f>IF(Orders[[#This Row],[Actual Delivery Date]]="","",Orders[[#This Row],[Actual Delivery Date]]-Orders[[#This Row],[Order Date]])</f>
        <v>3</v>
      </c>
      <c r="T540" t="str">
        <f>IF(Orders[[#This Row],[Actual Delivery Date]]="","Pending",IF(Orders[[#This Row],[Actual Delivery Date]]&lt;=Orders[[#This Row],[Expected Delivery Date]],"On Time","Late"))</f>
        <v>On Time</v>
      </c>
      <c r="U540" t="str">
        <f>TEXT(Orders[[#This Row],[Order Date]],"mmm")</f>
        <v>Mar</v>
      </c>
      <c r="V540" s="8">
        <f>DATE(YEAR(Orders[[#This Row],[Order Date]]),MONTH(Orders[[#This Row],[Order Date]]),1)</f>
        <v>46082</v>
      </c>
      <c r="W540" s="5">
        <f>IF(Orders[[#This Row],[Order Status]]="Cancelled",Orders[[#This Row],[Net Sales]],0)</f>
        <v>339.15</v>
      </c>
    </row>
    <row r="541" spans="1:23" x14ac:dyDescent="0.3">
      <c r="A541" t="s">
        <v>1115</v>
      </c>
      <c r="B541" s="7">
        <v>46332</v>
      </c>
      <c r="C541" t="s">
        <v>863</v>
      </c>
      <c r="D541" t="s">
        <v>347</v>
      </c>
      <c r="E541" t="s">
        <v>79</v>
      </c>
      <c r="F541" t="s">
        <v>86</v>
      </c>
      <c r="G541" t="s">
        <v>96</v>
      </c>
      <c r="H541" t="s">
        <v>38</v>
      </c>
      <c r="I541">
        <v>2</v>
      </c>
      <c r="J541" s="5">
        <v>1599</v>
      </c>
      <c r="K541" s="2">
        <v>0.05</v>
      </c>
      <c r="L541" t="s">
        <v>46</v>
      </c>
      <c r="M541" t="s">
        <v>47</v>
      </c>
      <c r="N541" s="1">
        <v>46338</v>
      </c>
      <c r="O541" s="1"/>
      <c r="P541" s="5">
        <f>Orders[[#This Row],[Quantity]]*Orders[[#This Row],[Unit Price]]</f>
        <v>3198</v>
      </c>
      <c r="Q541" s="5">
        <f>Orders[[#This Row],[Gross Sales]]*Orders[[#This Row],[Discount %]]</f>
        <v>159.9</v>
      </c>
      <c r="R541" s="5">
        <f>Orders[[#This Row],[Gross Sales]]-Orders[[#This Row],[Discount Amount]]</f>
        <v>3038.1</v>
      </c>
      <c r="S541" t="str">
        <f>IF(Orders[[#This Row],[Actual Delivery Date]]="","",Orders[[#This Row],[Actual Delivery Date]]-Orders[[#This Row],[Order Date]])</f>
        <v/>
      </c>
      <c r="T541" t="str">
        <f>IF(Orders[[#This Row],[Actual Delivery Date]]="","Pending",IF(Orders[[#This Row],[Actual Delivery Date]]&lt;=Orders[[#This Row],[Expected Delivery Date]],"On Time","Late"))</f>
        <v>Pending</v>
      </c>
      <c r="U541" t="str">
        <f>TEXT(Orders[[#This Row],[Order Date]],"mmm")</f>
        <v>Nov</v>
      </c>
      <c r="V541" s="8">
        <f>DATE(YEAR(Orders[[#This Row],[Order Date]]),MONTH(Orders[[#This Row],[Order Date]]),1)</f>
        <v>46327</v>
      </c>
      <c r="W541" s="5">
        <f>IF(Orders[[#This Row],[Order Status]]="Cancelled",Orders[[#This Row],[Net Sales]],0)</f>
        <v>0</v>
      </c>
    </row>
    <row r="542" spans="1:23" x14ac:dyDescent="0.3">
      <c r="A542" t="s">
        <v>1116</v>
      </c>
      <c r="B542" s="7">
        <v>46361</v>
      </c>
      <c r="C542" t="s">
        <v>102</v>
      </c>
      <c r="D542" t="s">
        <v>909</v>
      </c>
      <c r="E542" t="s">
        <v>79</v>
      </c>
      <c r="F542" t="s">
        <v>170</v>
      </c>
      <c r="G542" t="s">
        <v>131</v>
      </c>
      <c r="H542" t="s">
        <v>38</v>
      </c>
      <c r="I542">
        <v>2</v>
      </c>
      <c r="J542" s="5">
        <v>899</v>
      </c>
      <c r="K542" s="2">
        <v>0.2</v>
      </c>
      <c r="L542" t="s">
        <v>46</v>
      </c>
      <c r="M542" t="s">
        <v>47</v>
      </c>
      <c r="N542" s="1">
        <v>46365</v>
      </c>
      <c r="O542" s="1"/>
      <c r="P542" s="5">
        <f>Orders[[#This Row],[Quantity]]*Orders[[#This Row],[Unit Price]]</f>
        <v>1798</v>
      </c>
      <c r="Q542" s="5">
        <f>Orders[[#This Row],[Gross Sales]]*Orders[[#This Row],[Discount %]]</f>
        <v>359.6</v>
      </c>
      <c r="R542" s="5">
        <f>Orders[[#This Row],[Gross Sales]]-Orders[[#This Row],[Discount Amount]]</f>
        <v>1438.4</v>
      </c>
      <c r="S542" t="str">
        <f>IF(Orders[[#This Row],[Actual Delivery Date]]="","",Orders[[#This Row],[Actual Delivery Date]]-Orders[[#This Row],[Order Date]])</f>
        <v/>
      </c>
      <c r="T542" t="str">
        <f>IF(Orders[[#This Row],[Actual Delivery Date]]="","Pending",IF(Orders[[#This Row],[Actual Delivery Date]]&lt;=Orders[[#This Row],[Expected Delivery Date]],"On Time","Late"))</f>
        <v>Pending</v>
      </c>
      <c r="U542" t="str">
        <f>TEXT(Orders[[#This Row],[Order Date]],"mmm")</f>
        <v>Dec</v>
      </c>
      <c r="V542" s="8">
        <f>DATE(YEAR(Orders[[#This Row],[Order Date]]),MONTH(Orders[[#This Row],[Order Date]]),1)</f>
        <v>46357</v>
      </c>
      <c r="W542" s="5">
        <f>IF(Orders[[#This Row],[Order Status]]="Cancelled",Orders[[#This Row],[Net Sales]],0)</f>
        <v>0</v>
      </c>
    </row>
    <row r="543" spans="1:23" x14ac:dyDescent="0.3">
      <c r="A543" t="s">
        <v>1117</v>
      </c>
      <c r="B543" s="7">
        <v>46219</v>
      </c>
      <c r="C543" t="s">
        <v>1118</v>
      </c>
      <c r="D543" t="s">
        <v>321</v>
      </c>
      <c r="E543" t="s">
        <v>18</v>
      </c>
      <c r="F543" t="s">
        <v>19</v>
      </c>
      <c r="G543" t="s">
        <v>147</v>
      </c>
      <c r="H543" t="s">
        <v>58</v>
      </c>
      <c r="I543">
        <v>2</v>
      </c>
      <c r="J543" s="5">
        <v>399</v>
      </c>
      <c r="K543" s="2">
        <v>0.15</v>
      </c>
      <c r="L543" t="s">
        <v>70</v>
      </c>
      <c r="M543" t="s">
        <v>23</v>
      </c>
      <c r="N543" s="1">
        <v>46221</v>
      </c>
      <c r="O543" s="1">
        <v>46221</v>
      </c>
      <c r="P543" s="5">
        <f>Orders[[#This Row],[Quantity]]*Orders[[#This Row],[Unit Price]]</f>
        <v>798</v>
      </c>
      <c r="Q543" s="5">
        <f>Orders[[#This Row],[Gross Sales]]*Orders[[#This Row],[Discount %]]</f>
        <v>119.69999999999999</v>
      </c>
      <c r="R543" s="5">
        <f>Orders[[#This Row],[Gross Sales]]-Orders[[#This Row],[Discount Amount]]</f>
        <v>678.3</v>
      </c>
      <c r="S543">
        <f>IF(Orders[[#This Row],[Actual Delivery Date]]="","",Orders[[#This Row],[Actual Delivery Date]]-Orders[[#This Row],[Order Date]])</f>
        <v>2</v>
      </c>
      <c r="T543" t="str">
        <f>IF(Orders[[#This Row],[Actual Delivery Date]]="","Pending",IF(Orders[[#This Row],[Actual Delivery Date]]&lt;=Orders[[#This Row],[Expected Delivery Date]],"On Time","Late"))</f>
        <v>On Time</v>
      </c>
      <c r="U543" t="str">
        <f>TEXT(Orders[[#This Row],[Order Date]],"mmm")</f>
        <v>Jul</v>
      </c>
      <c r="V543" s="8">
        <f>DATE(YEAR(Orders[[#This Row],[Order Date]]),MONTH(Orders[[#This Row],[Order Date]]),1)</f>
        <v>46204</v>
      </c>
      <c r="W543" s="5">
        <f>IF(Orders[[#This Row],[Order Status]]="Cancelled",Orders[[#This Row],[Net Sales]],0)</f>
        <v>0</v>
      </c>
    </row>
    <row r="544" spans="1:23" x14ac:dyDescent="0.3">
      <c r="A544" t="s">
        <v>1119</v>
      </c>
      <c r="B544" s="7">
        <v>46272</v>
      </c>
      <c r="C544" t="s">
        <v>243</v>
      </c>
      <c r="D544" t="s">
        <v>921</v>
      </c>
      <c r="E544" t="s">
        <v>79</v>
      </c>
      <c r="F544" t="s">
        <v>108</v>
      </c>
      <c r="G544" t="s">
        <v>218</v>
      </c>
      <c r="H544" t="s">
        <v>21</v>
      </c>
      <c r="I544">
        <v>3</v>
      </c>
      <c r="J544" s="5">
        <v>2999</v>
      </c>
      <c r="K544" s="2">
        <v>0.2</v>
      </c>
      <c r="L544" t="s">
        <v>70</v>
      </c>
      <c r="M544" t="s">
        <v>59</v>
      </c>
      <c r="N544" s="1">
        <v>46278</v>
      </c>
      <c r="O544" s="1">
        <v>46277</v>
      </c>
      <c r="P544" s="5">
        <f>Orders[[#This Row],[Quantity]]*Orders[[#This Row],[Unit Price]]</f>
        <v>8997</v>
      </c>
      <c r="Q544" s="5">
        <f>Orders[[#This Row],[Gross Sales]]*Orders[[#This Row],[Discount %]]</f>
        <v>1799.4</v>
      </c>
      <c r="R544" s="5">
        <f>Orders[[#This Row],[Gross Sales]]-Orders[[#This Row],[Discount Amount]]</f>
        <v>7197.6</v>
      </c>
      <c r="S544">
        <f>IF(Orders[[#This Row],[Actual Delivery Date]]="","",Orders[[#This Row],[Actual Delivery Date]]-Orders[[#This Row],[Order Date]])</f>
        <v>5</v>
      </c>
      <c r="T544" t="str">
        <f>IF(Orders[[#This Row],[Actual Delivery Date]]="","Pending",IF(Orders[[#This Row],[Actual Delivery Date]]&lt;=Orders[[#This Row],[Expected Delivery Date]],"On Time","Late"))</f>
        <v>On Time</v>
      </c>
      <c r="U544" t="str">
        <f>TEXT(Orders[[#This Row],[Order Date]],"mmm")</f>
        <v>Sep</v>
      </c>
      <c r="V544" s="8">
        <f>DATE(YEAR(Orders[[#This Row],[Order Date]]),MONTH(Orders[[#This Row],[Order Date]]),1)</f>
        <v>46266</v>
      </c>
      <c r="W544" s="5">
        <f>IF(Orders[[#This Row],[Order Status]]="Cancelled",Orders[[#This Row],[Net Sales]],0)</f>
        <v>7197.6</v>
      </c>
    </row>
    <row r="545" spans="1:23" x14ac:dyDescent="0.3">
      <c r="A545" t="s">
        <v>1120</v>
      </c>
      <c r="B545" s="7">
        <v>46276</v>
      </c>
      <c r="C545" t="s">
        <v>165</v>
      </c>
      <c r="D545" t="s">
        <v>107</v>
      </c>
      <c r="E545" t="s">
        <v>27</v>
      </c>
      <c r="F545" t="s">
        <v>28</v>
      </c>
      <c r="G545" t="s">
        <v>118</v>
      </c>
      <c r="H545" t="s">
        <v>58</v>
      </c>
      <c r="I545">
        <v>2</v>
      </c>
      <c r="J545" s="5">
        <v>749</v>
      </c>
      <c r="K545" s="2">
        <v>0.15</v>
      </c>
      <c r="L545" t="s">
        <v>22</v>
      </c>
      <c r="M545" t="s">
        <v>59</v>
      </c>
      <c r="N545" s="1">
        <v>46280</v>
      </c>
      <c r="O545" s="1">
        <v>46279</v>
      </c>
      <c r="P545" s="5">
        <f>Orders[[#This Row],[Quantity]]*Orders[[#This Row],[Unit Price]]</f>
        <v>1498</v>
      </c>
      <c r="Q545" s="5">
        <f>Orders[[#This Row],[Gross Sales]]*Orders[[#This Row],[Discount %]]</f>
        <v>224.7</v>
      </c>
      <c r="R545" s="5">
        <f>Orders[[#This Row],[Gross Sales]]-Orders[[#This Row],[Discount Amount]]</f>
        <v>1273.3</v>
      </c>
      <c r="S545">
        <f>IF(Orders[[#This Row],[Actual Delivery Date]]="","",Orders[[#This Row],[Actual Delivery Date]]-Orders[[#This Row],[Order Date]])</f>
        <v>3</v>
      </c>
      <c r="T545" t="str">
        <f>IF(Orders[[#This Row],[Actual Delivery Date]]="","Pending",IF(Orders[[#This Row],[Actual Delivery Date]]&lt;=Orders[[#This Row],[Expected Delivery Date]],"On Time","Late"))</f>
        <v>On Time</v>
      </c>
      <c r="U545" t="str">
        <f>TEXT(Orders[[#This Row],[Order Date]],"mmm")</f>
        <v>Sep</v>
      </c>
      <c r="V545" s="8">
        <f>DATE(YEAR(Orders[[#This Row],[Order Date]]),MONTH(Orders[[#This Row],[Order Date]]),1)</f>
        <v>46266</v>
      </c>
      <c r="W545" s="5">
        <f>IF(Orders[[#This Row],[Order Status]]="Cancelled",Orders[[#This Row],[Net Sales]],0)</f>
        <v>1273.3</v>
      </c>
    </row>
    <row r="546" spans="1:23" x14ac:dyDescent="0.3">
      <c r="A546" t="s">
        <v>1121</v>
      </c>
      <c r="B546" s="7">
        <v>46201</v>
      </c>
      <c r="C546" t="s">
        <v>798</v>
      </c>
      <c r="D546" t="s">
        <v>1122</v>
      </c>
      <c r="E546" t="s">
        <v>18</v>
      </c>
      <c r="F546" t="s">
        <v>19</v>
      </c>
      <c r="G546" t="s">
        <v>131</v>
      </c>
      <c r="H546" t="s">
        <v>38</v>
      </c>
      <c r="I546">
        <v>3</v>
      </c>
      <c r="J546" s="5">
        <v>899</v>
      </c>
      <c r="K546" s="2">
        <v>0.2</v>
      </c>
      <c r="L546" t="s">
        <v>39</v>
      </c>
      <c r="M546" t="s">
        <v>82</v>
      </c>
      <c r="N546" s="1">
        <v>46208</v>
      </c>
      <c r="O546" s="1">
        <v>46202</v>
      </c>
      <c r="P546" s="5">
        <f>Orders[[#This Row],[Quantity]]*Orders[[#This Row],[Unit Price]]</f>
        <v>2697</v>
      </c>
      <c r="Q546" s="5">
        <f>Orders[[#This Row],[Gross Sales]]*Orders[[#This Row],[Discount %]]</f>
        <v>539.4</v>
      </c>
      <c r="R546" s="5">
        <f>Orders[[#This Row],[Gross Sales]]-Orders[[#This Row],[Discount Amount]]</f>
        <v>2157.6</v>
      </c>
      <c r="S546">
        <f>IF(Orders[[#This Row],[Actual Delivery Date]]="","",Orders[[#This Row],[Actual Delivery Date]]-Orders[[#This Row],[Order Date]])</f>
        <v>1</v>
      </c>
      <c r="T546" t="str">
        <f>IF(Orders[[#This Row],[Actual Delivery Date]]="","Pending",IF(Orders[[#This Row],[Actual Delivery Date]]&lt;=Orders[[#This Row],[Expected Delivery Date]],"On Time","Late"))</f>
        <v>On Time</v>
      </c>
      <c r="U546" t="str">
        <f>TEXT(Orders[[#This Row],[Order Date]],"mmm")</f>
        <v>Jun</v>
      </c>
      <c r="V546" s="8">
        <f>DATE(YEAR(Orders[[#This Row],[Order Date]]),MONTH(Orders[[#This Row],[Order Date]]),1)</f>
        <v>46174</v>
      </c>
      <c r="W546" s="5">
        <f>IF(Orders[[#This Row],[Order Status]]="Cancelled",Orders[[#This Row],[Net Sales]],0)</f>
        <v>0</v>
      </c>
    </row>
    <row r="547" spans="1:23" x14ac:dyDescent="0.3">
      <c r="A547" t="s">
        <v>1123</v>
      </c>
      <c r="B547" s="7">
        <v>46361</v>
      </c>
      <c r="C547" t="s">
        <v>976</v>
      </c>
      <c r="D547" t="s">
        <v>1124</v>
      </c>
      <c r="E547" t="s">
        <v>35</v>
      </c>
      <c r="F547" t="s">
        <v>63</v>
      </c>
      <c r="G547" t="s">
        <v>64</v>
      </c>
      <c r="H547" t="s">
        <v>21</v>
      </c>
      <c r="I547">
        <v>1</v>
      </c>
      <c r="J547" s="5">
        <v>699</v>
      </c>
      <c r="K547" s="2">
        <v>0.05</v>
      </c>
      <c r="L547" t="s">
        <v>46</v>
      </c>
      <c r="M547" t="s">
        <v>47</v>
      </c>
      <c r="N547" s="1">
        <v>46363</v>
      </c>
      <c r="O547" s="1"/>
      <c r="P547" s="5">
        <f>Orders[[#This Row],[Quantity]]*Orders[[#This Row],[Unit Price]]</f>
        <v>699</v>
      </c>
      <c r="Q547" s="5">
        <f>Orders[[#This Row],[Gross Sales]]*Orders[[#This Row],[Discount %]]</f>
        <v>34.950000000000003</v>
      </c>
      <c r="R547" s="5">
        <f>Orders[[#This Row],[Gross Sales]]-Orders[[#This Row],[Discount Amount]]</f>
        <v>664.05</v>
      </c>
      <c r="S547" t="str">
        <f>IF(Orders[[#This Row],[Actual Delivery Date]]="","",Orders[[#This Row],[Actual Delivery Date]]-Orders[[#This Row],[Order Date]])</f>
        <v/>
      </c>
      <c r="T547" t="str">
        <f>IF(Orders[[#This Row],[Actual Delivery Date]]="","Pending",IF(Orders[[#This Row],[Actual Delivery Date]]&lt;=Orders[[#This Row],[Expected Delivery Date]],"On Time","Late"))</f>
        <v>Pending</v>
      </c>
      <c r="U547" t="str">
        <f>TEXT(Orders[[#This Row],[Order Date]],"mmm")</f>
        <v>Dec</v>
      </c>
      <c r="V547" s="8">
        <f>DATE(YEAR(Orders[[#This Row],[Order Date]]),MONTH(Orders[[#This Row],[Order Date]]),1)</f>
        <v>46357</v>
      </c>
      <c r="W547" s="5">
        <f>IF(Orders[[#This Row],[Order Status]]="Cancelled",Orders[[#This Row],[Net Sales]],0)</f>
        <v>0</v>
      </c>
    </row>
    <row r="548" spans="1:23" x14ac:dyDescent="0.3">
      <c r="A548" t="s">
        <v>1125</v>
      </c>
      <c r="B548" s="7">
        <v>46298</v>
      </c>
      <c r="C548" t="s">
        <v>491</v>
      </c>
      <c r="D548" t="s">
        <v>146</v>
      </c>
      <c r="E548" t="s">
        <v>18</v>
      </c>
      <c r="F548" t="s">
        <v>121</v>
      </c>
      <c r="G548" t="s">
        <v>104</v>
      </c>
      <c r="H548" t="s">
        <v>38</v>
      </c>
      <c r="I548">
        <v>1</v>
      </c>
      <c r="J548" s="5">
        <v>999</v>
      </c>
      <c r="K548" s="2">
        <v>0.15</v>
      </c>
      <c r="L548" t="s">
        <v>70</v>
      </c>
      <c r="M548" t="s">
        <v>47</v>
      </c>
      <c r="N548" s="1">
        <v>46304</v>
      </c>
      <c r="O548" s="1"/>
      <c r="P548" s="5">
        <f>Orders[[#This Row],[Quantity]]*Orders[[#This Row],[Unit Price]]</f>
        <v>999</v>
      </c>
      <c r="Q548" s="5">
        <f>Orders[[#This Row],[Gross Sales]]*Orders[[#This Row],[Discount %]]</f>
        <v>149.85</v>
      </c>
      <c r="R548" s="5">
        <f>Orders[[#This Row],[Gross Sales]]-Orders[[#This Row],[Discount Amount]]</f>
        <v>849.15</v>
      </c>
      <c r="S548" t="str">
        <f>IF(Orders[[#This Row],[Actual Delivery Date]]="","",Orders[[#This Row],[Actual Delivery Date]]-Orders[[#This Row],[Order Date]])</f>
        <v/>
      </c>
      <c r="T548" t="str">
        <f>IF(Orders[[#This Row],[Actual Delivery Date]]="","Pending",IF(Orders[[#This Row],[Actual Delivery Date]]&lt;=Orders[[#This Row],[Expected Delivery Date]],"On Time","Late"))</f>
        <v>Pending</v>
      </c>
      <c r="U548" t="str">
        <f>TEXT(Orders[[#This Row],[Order Date]],"mmm")</f>
        <v>Oct</v>
      </c>
      <c r="V548" s="8">
        <f>DATE(YEAR(Orders[[#This Row],[Order Date]]),MONTH(Orders[[#This Row],[Order Date]]),1)</f>
        <v>46296</v>
      </c>
      <c r="W548" s="5">
        <f>IF(Orders[[#This Row],[Order Status]]="Cancelled",Orders[[#This Row],[Net Sales]],0)</f>
        <v>0</v>
      </c>
    </row>
    <row r="549" spans="1:23" x14ac:dyDescent="0.3">
      <c r="A549" t="s">
        <v>1126</v>
      </c>
      <c r="B549" s="7">
        <v>46185</v>
      </c>
      <c r="C549" t="s">
        <v>1127</v>
      </c>
      <c r="D549" t="s">
        <v>1128</v>
      </c>
      <c r="E549" t="s">
        <v>18</v>
      </c>
      <c r="F549" t="s">
        <v>43</v>
      </c>
      <c r="G549" t="s">
        <v>81</v>
      </c>
      <c r="H549" t="s">
        <v>30</v>
      </c>
      <c r="I549">
        <v>1</v>
      </c>
      <c r="J549" s="5">
        <v>899</v>
      </c>
      <c r="K549" s="2">
        <v>0.15</v>
      </c>
      <c r="L549" t="s">
        <v>46</v>
      </c>
      <c r="M549" t="s">
        <v>47</v>
      </c>
      <c r="N549" s="1">
        <v>46187</v>
      </c>
      <c r="O549" s="1"/>
      <c r="P549" s="5">
        <f>Orders[[#This Row],[Quantity]]*Orders[[#This Row],[Unit Price]]</f>
        <v>899</v>
      </c>
      <c r="Q549" s="5">
        <f>Orders[[#This Row],[Gross Sales]]*Orders[[#This Row],[Discount %]]</f>
        <v>134.85</v>
      </c>
      <c r="R549" s="5">
        <f>Orders[[#This Row],[Gross Sales]]-Orders[[#This Row],[Discount Amount]]</f>
        <v>764.15</v>
      </c>
      <c r="S549" t="str">
        <f>IF(Orders[[#This Row],[Actual Delivery Date]]="","",Orders[[#This Row],[Actual Delivery Date]]-Orders[[#This Row],[Order Date]])</f>
        <v/>
      </c>
      <c r="T549" t="str">
        <f>IF(Orders[[#This Row],[Actual Delivery Date]]="","Pending",IF(Orders[[#This Row],[Actual Delivery Date]]&lt;=Orders[[#This Row],[Expected Delivery Date]],"On Time","Late"))</f>
        <v>Pending</v>
      </c>
      <c r="U549" t="str">
        <f>TEXT(Orders[[#This Row],[Order Date]],"mmm")</f>
        <v>Jun</v>
      </c>
      <c r="V549" s="8">
        <f>DATE(YEAR(Orders[[#This Row],[Order Date]]),MONTH(Orders[[#This Row],[Order Date]]),1)</f>
        <v>46174</v>
      </c>
      <c r="W549" s="5">
        <f>IF(Orders[[#This Row],[Order Status]]="Cancelled",Orders[[#This Row],[Net Sales]],0)</f>
        <v>0</v>
      </c>
    </row>
    <row r="550" spans="1:23" x14ac:dyDescent="0.3">
      <c r="A550" t="s">
        <v>1129</v>
      </c>
      <c r="B550" s="7">
        <v>46364</v>
      </c>
      <c r="C550" t="s">
        <v>448</v>
      </c>
      <c r="D550" t="s">
        <v>1106</v>
      </c>
      <c r="E550" t="s">
        <v>27</v>
      </c>
      <c r="F550" t="s">
        <v>51</v>
      </c>
      <c r="G550" t="s">
        <v>228</v>
      </c>
      <c r="H550" t="s">
        <v>58</v>
      </c>
      <c r="I550">
        <v>1</v>
      </c>
      <c r="J550" s="5">
        <v>1499</v>
      </c>
      <c r="K550" s="2">
        <v>0.2</v>
      </c>
      <c r="L550" t="s">
        <v>46</v>
      </c>
      <c r="M550" t="s">
        <v>23</v>
      </c>
      <c r="N550" s="1">
        <v>46369</v>
      </c>
      <c r="O550" s="1">
        <v>46365</v>
      </c>
      <c r="P550" s="5">
        <f>Orders[[#This Row],[Quantity]]*Orders[[#This Row],[Unit Price]]</f>
        <v>1499</v>
      </c>
      <c r="Q550" s="5">
        <f>Orders[[#This Row],[Gross Sales]]*Orders[[#This Row],[Discount %]]</f>
        <v>299.8</v>
      </c>
      <c r="R550" s="5">
        <f>Orders[[#This Row],[Gross Sales]]-Orders[[#This Row],[Discount Amount]]</f>
        <v>1199.2</v>
      </c>
      <c r="S550">
        <f>IF(Orders[[#This Row],[Actual Delivery Date]]="","",Orders[[#This Row],[Actual Delivery Date]]-Orders[[#This Row],[Order Date]])</f>
        <v>1</v>
      </c>
      <c r="T550" t="str">
        <f>IF(Orders[[#This Row],[Actual Delivery Date]]="","Pending",IF(Orders[[#This Row],[Actual Delivery Date]]&lt;=Orders[[#This Row],[Expected Delivery Date]],"On Time","Late"))</f>
        <v>On Time</v>
      </c>
      <c r="U550" t="str">
        <f>TEXT(Orders[[#This Row],[Order Date]],"mmm")</f>
        <v>Dec</v>
      </c>
      <c r="V550" s="8">
        <f>DATE(YEAR(Orders[[#This Row],[Order Date]]),MONTH(Orders[[#This Row],[Order Date]]),1)</f>
        <v>46357</v>
      </c>
      <c r="W550" s="5">
        <f>IF(Orders[[#This Row],[Order Status]]="Cancelled",Orders[[#This Row],[Net Sales]],0)</f>
        <v>0</v>
      </c>
    </row>
    <row r="551" spans="1:23" x14ac:dyDescent="0.3">
      <c r="A551" t="s">
        <v>1130</v>
      </c>
      <c r="B551" s="7">
        <v>46316</v>
      </c>
      <c r="C551" t="s">
        <v>455</v>
      </c>
      <c r="D551" t="s">
        <v>882</v>
      </c>
      <c r="E551" t="s">
        <v>35</v>
      </c>
      <c r="F551" t="s">
        <v>36</v>
      </c>
      <c r="G551" t="s">
        <v>153</v>
      </c>
      <c r="H551" t="s">
        <v>45</v>
      </c>
      <c r="I551">
        <v>1</v>
      </c>
      <c r="J551" s="5">
        <v>1999</v>
      </c>
      <c r="K551" s="2">
        <v>0.05</v>
      </c>
      <c r="L551" t="s">
        <v>22</v>
      </c>
      <c r="M551" t="s">
        <v>59</v>
      </c>
      <c r="N551" s="1">
        <v>46318</v>
      </c>
      <c r="O551" s="1">
        <v>46317</v>
      </c>
      <c r="P551" s="5">
        <f>Orders[[#This Row],[Quantity]]*Orders[[#This Row],[Unit Price]]</f>
        <v>1999</v>
      </c>
      <c r="Q551" s="5">
        <f>Orders[[#This Row],[Gross Sales]]*Orders[[#This Row],[Discount %]]</f>
        <v>99.95</v>
      </c>
      <c r="R551" s="5">
        <f>Orders[[#This Row],[Gross Sales]]-Orders[[#This Row],[Discount Amount]]</f>
        <v>1899.05</v>
      </c>
      <c r="S551">
        <f>IF(Orders[[#This Row],[Actual Delivery Date]]="","",Orders[[#This Row],[Actual Delivery Date]]-Orders[[#This Row],[Order Date]])</f>
        <v>1</v>
      </c>
      <c r="T551" t="str">
        <f>IF(Orders[[#This Row],[Actual Delivery Date]]="","Pending",IF(Orders[[#This Row],[Actual Delivery Date]]&lt;=Orders[[#This Row],[Expected Delivery Date]],"On Time","Late"))</f>
        <v>On Time</v>
      </c>
      <c r="U551" t="str">
        <f>TEXT(Orders[[#This Row],[Order Date]],"mmm")</f>
        <v>Oct</v>
      </c>
      <c r="V551" s="8">
        <f>DATE(YEAR(Orders[[#This Row],[Order Date]]),MONTH(Orders[[#This Row],[Order Date]]),1)</f>
        <v>46296</v>
      </c>
      <c r="W551" s="5">
        <f>IF(Orders[[#This Row],[Order Status]]="Cancelled",Orders[[#This Row],[Net Sales]],0)</f>
        <v>1899.05</v>
      </c>
    </row>
    <row r="552" spans="1:23" x14ac:dyDescent="0.3">
      <c r="A552" t="s">
        <v>1131</v>
      </c>
      <c r="B552" s="7">
        <v>46200</v>
      </c>
      <c r="C552" t="s">
        <v>296</v>
      </c>
      <c r="D552" t="s">
        <v>173</v>
      </c>
      <c r="E552" t="s">
        <v>18</v>
      </c>
      <c r="F552" t="s">
        <v>43</v>
      </c>
      <c r="G552" t="s">
        <v>180</v>
      </c>
      <c r="H552" t="s">
        <v>58</v>
      </c>
      <c r="I552">
        <v>3</v>
      </c>
      <c r="J552" s="5">
        <v>599</v>
      </c>
      <c r="K552" s="2">
        <v>0.1</v>
      </c>
      <c r="L552" t="s">
        <v>22</v>
      </c>
      <c r="M552" t="s">
        <v>82</v>
      </c>
      <c r="N552" s="1">
        <v>46204</v>
      </c>
      <c r="O552" s="1">
        <v>46203</v>
      </c>
      <c r="P552" s="5">
        <f>Orders[[#This Row],[Quantity]]*Orders[[#This Row],[Unit Price]]</f>
        <v>1797</v>
      </c>
      <c r="Q552" s="5">
        <f>Orders[[#This Row],[Gross Sales]]*Orders[[#This Row],[Discount %]]</f>
        <v>179.70000000000002</v>
      </c>
      <c r="R552" s="5">
        <f>Orders[[#This Row],[Gross Sales]]-Orders[[#This Row],[Discount Amount]]</f>
        <v>1617.3</v>
      </c>
      <c r="S552">
        <f>IF(Orders[[#This Row],[Actual Delivery Date]]="","",Orders[[#This Row],[Actual Delivery Date]]-Orders[[#This Row],[Order Date]])</f>
        <v>3</v>
      </c>
      <c r="T552" t="str">
        <f>IF(Orders[[#This Row],[Actual Delivery Date]]="","Pending",IF(Orders[[#This Row],[Actual Delivery Date]]&lt;=Orders[[#This Row],[Expected Delivery Date]],"On Time","Late"))</f>
        <v>On Time</v>
      </c>
      <c r="U552" t="str">
        <f>TEXT(Orders[[#This Row],[Order Date]],"mmm")</f>
        <v>Jun</v>
      </c>
      <c r="V552" s="8">
        <f>DATE(YEAR(Orders[[#This Row],[Order Date]]),MONTH(Orders[[#This Row],[Order Date]]),1)</f>
        <v>46174</v>
      </c>
      <c r="W552" s="5">
        <f>IF(Orders[[#This Row],[Order Status]]="Cancelled",Orders[[#This Row],[Net Sales]],0)</f>
        <v>0</v>
      </c>
    </row>
    <row r="553" spans="1:23" x14ac:dyDescent="0.3">
      <c r="A553" t="s">
        <v>1132</v>
      </c>
      <c r="B553" s="7">
        <v>46255</v>
      </c>
      <c r="C553" t="s">
        <v>978</v>
      </c>
      <c r="D553" t="s">
        <v>254</v>
      </c>
      <c r="E553" t="s">
        <v>79</v>
      </c>
      <c r="F553" t="s">
        <v>80</v>
      </c>
      <c r="G553" t="s">
        <v>206</v>
      </c>
      <c r="H553" t="s">
        <v>30</v>
      </c>
      <c r="I553">
        <v>2</v>
      </c>
      <c r="J553" s="5">
        <v>1199</v>
      </c>
      <c r="K553" s="2">
        <v>0.2</v>
      </c>
      <c r="L553" t="s">
        <v>31</v>
      </c>
      <c r="M553" t="s">
        <v>23</v>
      </c>
      <c r="N553" s="1">
        <v>46262</v>
      </c>
      <c r="O553" s="1">
        <v>46262</v>
      </c>
      <c r="P553" s="5">
        <f>Orders[[#This Row],[Quantity]]*Orders[[#This Row],[Unit Price]]</f>
        <v>2398</v>
      </c>
      <c r="Q553" s="5">
        <f>Orders[[#This Row],[Gross Sales]]*Orders[[#This Row],[Discount %]]</f>
        <v>479.6</v>
      </c>
      <c r="R553" s="5">
        <f>Orders[[#This Row],[Gross Sales]]-Orders[[#This Row],[Discount Amount]]</f>
        <v>1918.4</v>
      </c>
      <c r="S553">
        <f>IF(Orders[[#This Row],[Actual Delivery Date]]="","",Orders[[#This Row],[Actual Delivery Date]]-Orders[[#This Row],[Order Date]])</f>
        <v>7</v>
      </c>
      <c r="T553" t="str">
        <f>IF(Orders[[#This Row],[Actual Delivery Date]]="","Pending",IF(Orders[[#This Row],[Actual Delivery Date]]&lt;=Orders[[#This Row],[Expected Delivery Date]],"On Time","Late"))</f>
        <v>On Time</v>
      </c>
      <c r="U553" t="str">
        <f>TEXT(Orders[[#This Row],[Order Date]],"mmm")</f>
        <v>Aug</v>
      </c>
      <c r="V553" s="8">
        <f>DATE(YEAR(Orders[[#This Row],[Order Date]]),MONTH(Orders[[#This Row],[Order Date]]),1)</f>
        <v>46235</v>
      </c>
      <c r="W553" s="5">
        <f>IF(Orders[[#This Row],[Order Status]]="Cancelled",Orders[[#This Row],[Net Sales]],0)</f>
        <v>0</v>
      </c>
    </row>
    <row r="554" spans="1:23" x14ac:dyDescent="0.3">
      <c r="A554" t="s">
        <v>1133</v>
      </c>
      <c r="B554" s="7">
        <v>46349</v>
      </c>
      <c r="C554" t="s">
        <v>113</v>
      </c>
      <c r="D554" t="s">
        <v>1039</v>
      </c>
      <c r="E554" t="s">
        <v>79</v>
      </c>
      <c r="F554" t="s">
        <v>108</v>
      </c>
      <c r="G554" t="s">
        <v>118</v>
      </c>
      <c r="H554" t="s">
        <v>58</v>
      </c>
      <c r="I554">
        <v>2</v>
      </c>
      <c r="J554" s="5">
        <v>749</v>
      </c>
      <c r="K554" s="2">
        <v>0.2</v>
      </c>
      <c r="L554" t="s">
        <v>70</v>
      </c>
      <c r="M554" t="s">
        <v>47</v>
      </c>
      <c r="N554" s="1">
        <v>46356</v>
      </c>
      <c r="O554" s="1"/>
      <c r="P554" s="5">
        <f>Orders[[#This Row],[Quantity]]*Orders[[#This Row],[Unit Price]]</f>
        <v>1498</v>
      </c>
      <c r="Q554" s="5">
        <f>Orders[[#This Row],[Gross Sales]]*Orders[[#This Row],[Discount %]]</f>
        <v>299.60000000000002</v>
      </c>
      <c r="R554" s="5">
        <f>Orders[[#This Row],[Gross Sales]]-Orders[[#This Row],[Discount Amount]]</f>
        <v>1198.4000000000001</v>
      </c>
      <c r="S554" t="str">
        <f>IF(Orders[[#This Row],[Actual Delivery Date]]="","",Orders[[#This Row],[Actual Delivery Date]]-Orders[[#This Row],[Order Date]])</f>
        <v/>
      </c>
      <c r="T554" t="str">
        <f>IF(Orders[[#This Row],[Actual Delivery Date]]="","Pending",IF(Orders[[#This Row],[Actual Delivery Date]]&lt;=Orders[[#This Row],[Expected Delivery Date]],"On Time","Late"))</f>
        <v>Pending</v>
      </c>
      <c r="U554" t="str">
        <f>TEXT(Orders[[#This Row],[Order Date]],"mmm")</f>
        <v>Nov</v>
      </c>
      <c r="V554" s="8">
        <f>DATE(YEAR(Orders[[#This Row],[Order Date]]),MONTH(Orders[[#This Row],[Order Date]]),1)</f>
        <v>46327</v>
      </c>
      <c r="W554" s="5">
        <f>IF(Orders[[#This Row],[Order Status]]="Cancelled",Orders[[#This Row],[Net Sales]],0)</f>
        <v>0</v>
      </c>
    </row>
    <row r="555" spans="1:23" x14ac:dyDescent="0.3">
      <c r="A555" t="s">
        <v>1134</v>
      </c>
      <c r="B555" s="7">
        <v>46146</v>
      </c>
      <c r="C555" t="s">
        <v>133</v>
      </c>
      <c r="D555" t="s">
        <v>792</v>
      </c>
      <c r="E555" t="s">
        <v>27</v>
      </c>
      <c r="F555" t="s">
        <v>51</v>
      </c>
      <c r="G555" t="s">
        <v>180</v>
      </c>
      <c r="H555" t="s">
        <v>58</v>
      </c>
      <c r="I555">
        <v>1</v>
      </c>
      <c r="J555" s="5">
        <v>599</v>
      </c>
      <c r="K555" s="2">
        <v>0.1</v>
      </c>
      <c r="L555" t="s">
        <v>70</v>
      </c>
      <c r="M555" t="s">
        <v>23</v>
      </c>
      <c r="N555" s="1">
        <v>46150</v>
      </c>
      <c r="O555" s="1">
        <v>46147</v>
      </c>
      <c r="P555" s="5">
        <f>Orders[[#This Row],[Quantity]]*Orders[[#This Row],[Unit Price]]</f>
        <v>599</v>
      </c>
      <c r="Q555" s="5">
        <f>Orders[[#This Row],[Gross Sales]]*Orders[[#This Row],[Discount %]]</f>
        <v>59.900000000000006</v>
      </c>
      <c r="R555" s="5">
        <f>Orders[[#This Row],[Gross Sales]]-Orders[[#This Row],[Discount Amount]]</f>
        <v>539.1</v>
      </c>
      <c r="S555">
        <f>IF(Orders[[#This Row],[Actual Delivery Date]]="","",Orders[[#This Row],[Actual Delivery Date]]-Orders[[#This Row],[Order Date]])</f>
        <v>1</v>
      </c>
      <c r="T555" t="str">
        <f>IF(Orders[[#This Row],[Actual Delivery Date]]="","Pending",IF(Orders[[#This Row],[Actual Delivery Date]]&lt;=Orders[[#This Row],[Expected Delivery Date]],"On Time","Late"))</f>
        <v>On Time</v>
      </c>
      <c r="U555" t="str">
        <f>TEXT(Orders[[#This Row],[Order Date]],"mmm")</f>
        <v>May</v>
      </c>
      <c r="V555" s="8">
        <f>DATE(YEAR(Orders[[#This Row],[Order Date]]),MONTH(Orders[[#This Row],[Order Date]]),1)</f>
        <v>46143</v>
      </c>
      <c r="W555" s="5">
        <f>IF(Orders[[#This Row],[Order Status]]="Cancelled",Orders[[#This Row],[Net Sales]],0)</f>
        <v>0</v>
      </c>
    </row>
    <row r="556" spans="1:23" x14ac:dyDescent="0.3">
      <c r="A556" t="s">
        <v>1135</v>
      </c>
      <c r="B556" s="7">
        <v>46374</v>
      </c>
      <c r="C556" t="s">
        <v>1136</v>
      </c>
      <c r="D556" t="s">
        <v>302</v>
      </c>
      <c r="E556" t="s">
        <v>35</v>
      </c>
      <c r="F556" t="s">
        <v>36</v>
      </c>
      <c r="G556" t="s">
        <v>131</v>
      </c>
      <c r="H556" t="s">
        <v>38</v>
      </c>
      <c r="I556">
        <v>2</v>
      </c>
      <c r="J556" s="5">
        <v>899</v>
      </c>
      <c r="K556" s="2">
        <v>0.15</v>
      </c>
      <c r="L556" t="s">
        <v>31</v>
      </c>
      <c r="M556" t="s">
        <v>23</v>
      </c>
      <c r="N556" s="1">
        <v>46377</v>
      </c>
      <c r="O556" s="1">
        <v>46375</v>
      </c>
      <c r="P556" s="5">
        <f>Orders[[#This Row],[Quantity]]*Orders[[#This Row],[Unit Price]]</f>
        <v>1798</v>
      </c>
      <c r="Q556" s="5">
        <f>Orders[[#This Row],[Gross Sales]]*Orders[[#This Row],[Discount %]]</f>
        <v>269.7</v>
      </c>
      <c r="R556" s="5">
        <f>Orders[[#This Row],[Gross Sales]]-Orders[[#This Row],[Discount Amount]]</f>
        <v>1528.3</v>
      </c>
      <c r="S556">
        <f>IF(Orders[[#This Row],[Actual Delivery Date]]="","",Orders[[#This Row],[Actual Delivery Date]]-Orders[[#This Row],[Order Date]])</f>
        <v>1</v>
      </c>
      <c r="T556" t="str">
        <f>IF(Orders[[#This Row],[Actual Delivery Date]]="","Pending",IF(Orders[[#This Row],[Actual Delivery Date]]&lt;=Orders[[#This Row],[Expected Delivery Date]],"On Time","Late"))</f>
        <v>On Time</v>
      </c>
      <c r="U556" t="str">
        <f>TEXT(Orders[[#This Row],[Order Date]],"mmm")</f>
        <v>Dec</v>
      </c>
      <c r="V556" s="8">
        <f>DATE(YEAR(Orders[[#This Row],[Order Date]]),MONTH(Orders[[#This Row],[Order Date]]),1)</f>
        <v>46357</v>
      </c>
      <c r="W556" s="5">
        <f>IF(Orders[[#This Row],[Order Status]]="Cancelled",Orders[[#This Row],[Net Sales]],0)</f>
        <v>0</v>
      </c>
    </row>
    <row r="557" spans="1:23" x14ac:dyDescent="0.3">
      <c r="A557" t="s">
        <v>1137</v>
      </c>
      <c r="B557" s="7">
        <v>46126</v>
      </c>
      <c r="C557" t="s">
        <v>1091</v>
      </c>
      <c r="D557" t="s">
        <v>90</v>
      </c>
      <c r="E557" t="s">
        <v>79</v>
      </c>
      <c r="F557" t="s">
        <v>170</v>
      </c>
      <c r="G557" t="s">
        <v>147</v>
      </c>
      <c r="H557" t="s">
        <v>58</v>
      </c>
      <c r="I557">
        <v>1</v>
      </c>
      <c r="J557" s="5">
        <v>399</v>
      </c>
      <c r="K557" s="2">
        <v>0.05</v>
      </c>
      <c r="L557" t="s">
        <v>39</v>
      </c>
      <c r="M557" t="s">
        <v>23</v>
      </c>
      <c r="N557" s="1">
        <v>46130</v>
      </c>
      <c r="O557" s="1">
        <v>46128</v>
      </c>
      <c r="P557" s="5">
        <f>Orders[[#This Row],[Quantity]]*Orders[[#This Row],[Unit Price]]</f>
        <v>399</v>
      </c>
      <c r="Q557" s="5">
        <f>Orders[[#This Row],[Gross Sales]]*Orders[[#This Row],[Discount %]]</f>
        <v>19.950000000000003</v>
      </c>
      <c r="R557" s="5">
        <f>Orders[[#This Row],[Gross Sales]]-Orders[[#This Row],[Discount Amount]]</f>
        <v>379.05</v>
      </c>
      <c r="S557">
        <f>IF(Orders[[#This Row],[Actual Delivery Date]]="","",Orders[[#This Row],[Actual Delivery Date]]-Orders[[#This Row],[Order Date]])</f>
        <v>2</v>
      </c>
      <c r="T557" t="str">
        <f>IF(Orders[[#This Row],[Actual Delivery Date]]="","Pending",IF(Orders[[#This Row],[Actual Delivery Date]]&lt;=Orders[[#This Row],[Expected Delivery Date]],"On Time","Late"))</f>
        <v>On Time</v>
      </c>
      <c r="U557" t="str">
        <f>TEXT(Orders[[#This Row],[Order Date]],"mmm")</f>
        <v>Apr</v>
      </c>
      <c r="V557" s="8">
        <f>DATE(YEAR(Orders[[#This Row],[Order Date]]),MONTH(Orders[[#This Row],[Order Date]]),1)</f>
        <v>46113</v>
      </c>
      <c r="W557" s="5">
        <f>IF(Orders[[#This Row],[Order Status]]="Cancelled",Orders[[#This Row],[Net Sales]],0)</f>
        <v>0</v>
      </c>
    </row>
    <row r="558" spans="1:23" x14ac:dyDescent="0.3">
      <c r="A558" t="s">
        <v>1138</v>
      </c>
      <c r="B558" s="7">
        <v>46331</v>
      </c>
      <c r="C558" t="s">
        <v>806</v>
      </c>
      <c r="D558" t="s">
        <v>1004</v>
      </c>
      <c r="E558" t="s">
        <v>18</v>
      </c>
      <c r="F558" t="s">
        <v>19</v>
      </c>
      <c r="G558" t="s">
        <v>153</v>
      </c>
      <c r="H558" t="s">
        <v>45</v>
      </c>
      <c r="I558">
        <v>1</v>
      </c>
      <c r="J558" s="5">
        <v>1999</v>
      </c>
      <c r="K558" s="2">
        <v>0</v>
      </c>
      <c r="L558" t="s">
        <v>70</v>
      </c>
      <c r="M558" t="s">
        <v>23</v>
      </c>
      <c r="N558" s="1">
        <v>46338</v>
      </c>
      <c r="O558" s="1">
        <v>46332</v>
      </c>
      <c r="P558" s="5">
        <f>Orders[[#This Row],[Quantity]]*Orders[[#This Row],[Unit Price]]</f>
        <v>1999</v>
      </c>
      <c r="Q558" s="5">
        <f>Orders[[#This Row],[Gross Sales]]*Orders[[#This Row],[Discount %]]</f>
        <v>0</v>
      </c>
      <c r="R558" s="5">
        <f>Orders[[#This Row],[Gross Sales]]-Orders[[#This Row],[Discount Amount]]</f>
        <v>1999</v>
      </c>
      <c r="S558">
        <f>IF(Orders[[#This Row],[Actual Delivery Date]]="","",Orders[[#This Row],[Actual Delivery Date]]-Orders[[#This Row],[Order Date]])</f>
        <v>1</v>
      </c>
      <c r="T558" t="str">
        <f>IF(Orders[[#This Row],[Actual Delivery Date]]="","Pending",IF(Orders[[#This Row],[Actual Delivery Date]]&lt;=Orders[[#This Row],[Expected Delivery Date]],"On Time","Late"))</f>
        <v>On Time</v>
      </c>
      <c r="U558" t="str">
        <f>TEXT(Orders[[#This Row],[Order Date]],"mmm")</f>
        <v>Nov</v>
      </c>
      <c r="V558" s="8">
        <f>DATE(YEAR(Orders[[#This Row],[Order Date]]),MONTH(Orders[[#This Row],[Order Date]]),1)</f>
        <v>46327</v>
      </c>
      <c r="W558" s="5">
        <f>IF(Orders[[#This Row],[Order Status]]="Cancelled",Orders[[#This Row],[Net Sales]],0)</f>
        <v>0</v>
      </c>
    </row>
    <row r="559" spans="1:23" x14ac:dyDescent="0.3">
      <c r="A559" t="s">
        <v>1139</v>
      </c>
      <c r="B559" s="7">
        <v>46084</v>
      </c>
      <c r="C559" t="s">
        <v>886</v>
      </c>
      <c r="D559" t="s">
        <v>547</v>
      </c>
      <c r="E559" t="s">
        <v>27</v>
      </c>
      <c r="F559" t="s">
        <v>28</v>
      </c>
      <c r="G559" t="s">
        <v>206</v>
      </c>
      <c r="H559" t="s">
        <v>30</v>
      </c>
      <c r="I559">
        <v>2</v>
      </c>
      <c r="J559" s="5">
        <v>1199</v>
      </c>
      <c r="K559" s="2">
        <v>0.2</v>
      </c>
      <c r="L559" t="s">
        <v>22</v>
      </c>
      <c r="M559" t="s">
        <v>23</v>
      </c>
      <c r="N559" s="1">
        <v>46089</v>
      </c>
      <c r="O559" s="1">
        <v>46091</v>
      </c>
      <c r="P559" s="5">
        <f>Orders[[#This Row],[Quantity]]*Orders[[#This Row],[Unit Price]]</f>
        <v>2398</v>
      </c>
      <c r="Q559" s="5">
        <f>Orders[[#This Row],[Gross Sales]]*Orders[[#This Row],[Discount %]]</f>
        <v>479.6</v>
      </c>
      <c r="R559" s="5">
        <f>Orders[[#This Row],[Gross Sales]]-Orders[[#This Row],[Discount Amount]]</f>
        <v>1918.4</v>
      </c>
      <c r="S559">
        <f>IF(Orders[[#This Row],[Actual Delivery Date]]="","",Orders[[#This Row],[Actual Delivery Date]]-Orders[[#This Row],[Order Date]])</f>
        <v>7</v>
      </c>
      <c r="T559" t="str">
        <f>IF(Orders[[#This Row],[Actual Delivery Date]]="","Pending",IF(Orders[[#This Row],[Actual Delivery Date]]&lt;=Orders[[#This Row],[Expected Delivery Date]],"On Time","Late"))</f>
        <v>Late</v>
      </c>
      <c r="U559" t="str">
        <f>TEXT(Orders[[#This Row],[Order Date]],"mmm")</f>
        <v>Mar</v>
      </c>
      <c r="V559" s="8">
        <f>DATE(YEAR(Orders[[#This Row],[Order Date]]),MONTH(Orders[[#This Row],[Order Date]]),1)</f>
        <v>46082</v>
      </c>
      <c r="W559" s="5">
        <f>IF(Orders[[#This Row],[Order Status]]="Cancelled",Orders[[#This Row],[Net Sales]],0)</f>
        <v>0</v>
      </c>
    </row>
    <row r="560" spans="1:23" x14ac:dyDescent="0.3">
      <c r="A560" t="s">
        <v>1140</v>
      </c>
      <c r="B560" s="7">
        <v>46134</v>
      </c>
      <c r="C560" t="s">
        <v>488</v>
      </c>
      <c r="D560" t="s">
        <v>321</v>
      </c>
      <c r="E560" t="s">
        <v>35</v>
      </c>
      <c r="F560" t="s">
        <v>63</v>
      </c>
      <c r="G560" t="s">
        <v>96</v>
      </c>
      <c r="H560" t="s">
        <v>38</v>
      </c>
      <c r="I560">
        <v>1</v>
      </c>
      <c r="J560" s="5">
        <v>1599</v>
      </c>
      <c r="K560" s="2">
        <v>0.05</v>
      </c>
      <c r="L560" t="s">
        <v>31</v>
      </c>
      <c r="M560" t="s">
        <v>23</v>
      </c>
      <c r="N560" s="1">
        <v>46139</v>
      </c>
      <c r="O560" s="1">
        <v>46139</v>
      </c>
      <c r="P560" s="5">
        <f>Orders[[#This Row],[Quantity]]*Orders[[#This Row],[Unit Price]]</f>
        <v>1599</v>
      </c>
      <c r="Q560" s="5">
        <f>Orders[[#This Row],[Gross Sales]]*Orders[[#This Row],[Discount %]]</f>
        <v>79.95</v>
      </c>
      <c r="R560" s="5">
        <f>Orders[[#This Row],[Gross Sales]]-Orders[[#This Row],[Discount Amount]]</f>
        <v>1519.05</v>
      </c>
      <c r="S560">
        <f>IF(Orders[[#This Row],[Actual Delivery Date]]="","",Orders[[#This Row],[Actual Delivery Date]]-Orders[[#This Row],[Order Date]])</f>
        <v>5</v>
      </c>
      <c r="T560" t="str">
        <f>IF(Orders[[#This Row],[Actual Delivery Date]]="","Pending",IF(Orders[[#This Row],[Actual Delivery Date]]&lt;=Orders[[#This Row],[Expected Delivery Date]],"On Time","Late"))</f>
        <v>On Time</v>
      </c>
      <c r="U560" t="str">
        <f>TEXT(Orders[[#This Row],[Order Date]],"mmm")</f>
        <v>Apr</v>
      </c>
      <c r="V560" s="8">
        <f>DATE(YEAR(Orders[[#This Row],[Order Date]]),MONTH(Orders[[#This Row],[Order Date]]),1)</f>
        <v>46113</v>
      </c>
      <c r="W560" s="5">
        <f>IF(Orders[[#This Row],[Order Status]]="Cancelled",Orders[[#This Row],[Net Sales]],0)</f>
        <v>0</v>
      </c>
    </row>
    <row r="561" spans="1:23" x14ac:dyDescent="0.3">
      <c r="A561" t="s">
        <v>1141</v>
      </c>
      <c r="B561" s="7">
        <v>46239</v>
      </c>
      <c r="C561" t="s">
        <v>1142</v>
      </c>
      <c r="D561" t="s">
        <v>509</v>
      </c>
      <c r="E561" t="s">
        <v>35</v>
      </c>
      <c r="F561" t="s">
        <v>135</v>
      </c>
      <c r="G561" t="s">
        <v>87</v>
      </c>
      <c r="H561" t="s">
        <v>21</v>
      </c>
      <c r="I561">
        <v>2</v>
      </c>
      <c r="J561" s="5">
        <v>1899</v>
      </c>
      <c r="K561" s="2">
        <v>0.05</v>
      </c>
      <c r="L561" t="s">
        <v>46</v>
      </c>
      <c r="M561" t="s">
        <v>82</v>
      </c>
      <c r="N561" s="1">
        <v>46242</v>
      </c>
      <c r="O561" s="1">
        <v>46242</v>
      </c>
      <c r="P561" s="5">
        <f>Orders[[#This Row],[Quantity]]*Orders[[#This Row],[Unit Price]]</f>
        <v>3798</v>
      </c>
      <c r="Q561" s="5">
        <f>Orders[[#This Row],[Gross Sales]]*Orders[[#This Row],[Discount %]]</f>
        <v>189.9</v>
      </c>
      <c r="R561" s="5">
        <f>Orders[[#This Row],[Gross Sales]]-Orders[[#This Row],[Discount Amount]]</f>
        <v>3608.1</v>
      </c>
      <c r="S561">
        <f>IF(Orders[[#This Row],[Actual Delivery Date]]="","",Orders[[#This Row],[Actual Delivery Date]]-Orders[[#This Row],[Order Date]])</f>
        <v>3</v>
      </c>
      <c r="T561" t="str">
        <f>IF(Orders[[#This Row],[Actual Delivery Date]]="","Pending",IF(Orders[[#This Row],[Actual Delivery Date]]&lt;=Orders[[#This Row],[Expected Delivery Date]],"On Time","Late"))</f>
        <v>On Time</v>
      </c>
      <c r="U561" t="str">
        <f>TEXT(Orders[[#This Row],[Order Date]],"mmm")</f>
        <v>Aug</v>
      </c>
      <c r="V561" s="8">
        <f>DATE(YEAR(Orders[[#This Row],[Order Date]]),MONTH(Orders[[#This Row],[Order Date]]),1)</f>
        <v>46235</v>
      </c>
      <c r="W561" s="5">
        <f>IF(Orders[[#This Row],[Order Status]]="Cancelled",Orders[[#This Row],[Net Sales]],0)</f>
        <v>0</v>
      </c>
    </row>
    <row r="562" spans="1:23" x14ac:dyDescent="0.3">
      <c r="A562" t="s">
        <v>1143</v>
      </c>
      <c r="B562" s="7">
        <v>46152</v>
      </c>
      <c r="C562" t="s">
        <v>315</v>
      </c>
      <c r="D562" t="s">
        <v>111</v>
      </c>
      <c r="E562" t="s">
        <v>18</v>
      </c>
      <c r="F562" t="s">
        <v>19</v>
      </c>
      <c r="G562" t="s">
        <v>52</v>
      </c>
      <c r="H562" t="s">
        <v>45</v>
      </c>
      <c r="I562">
        <v>2</v>
      </c>
      <c r="J562" s="5">
        <v>1299</v>
      </c>
      <c r="K562" s="2">
        <v>0.1</v>
      </c>
      <c r="L562" t="s">
        <v>46</v>
      </c>
      <c r="M562" t="s">
        <v>82</v>
      </c>
      <c r="N562" s="1">
        <v>46159</v>
      </c>
      <c r="O562" s="1">
        <v>46159</v>
      </c>
      <c r="P562" s="5">
        <f>Orders[[#This Row],[Quantity]]*Orders[[#This Row],[Unit Price]]</f>
        <v>2598</v>
      </c>
      <c r="Q562" s="5">
        <f>Orders[[#This Row],[Gross Sales]]*Orders[[#This Row],[Discount %]]</f>
        <v>259.8</v>
      </c>
      <c r="R562" s="5">
        <f>Orders[[#This Row],[Gross Sales]]-Orders[[#This Row],[Discount Amount]]</f>
        <v>2338.1999999999998</v>
      </c>
      <c r="S562">
        <f>IF(Orders[[#This Row],[Actual Delivery Date]]="","",Orders[[#This Row],[Actual Delivery Date]]-Orders[[#This Row],[Order Date]])</f>
        <v>7</v>
      </c>
      <c r="T562" t="str">
        <f>IF(Orders[[#This Row],[Actual Delivery Date]]="","Pending",IF(Orders[[#This Row],[Actual Delivery Date]]&lt;=Orders[[#This Row],[Expected Delivery Date]],"On Time","Late"))</f>
        <v>On Time</v>
      </c>
      <c r="U562" t="str">
        <f>TEXT(Orders[[#This Row],[Order Date]],"mmm")</f>
        <v>May</v>
      </c>
      <c r="V562" s="8">
        <f>DATE(YEAR(Orders[[#This Row],[Order Date]]),MONTH(Orders[[#This Row],[Order Date]]),1)</f>
        <v>46143</v>
      </c>
      <c r="W562" s="5">
        <f>IF(Orders[[#This Row],[Order Status]]="Cancelled",Orders[[#This Row],[Net Sales]],0)</f>
        <v>0</v>
      </c>
    </row>
    <row r="563" spans="1:23" x14ac:dyDescent="0.3">
      <c r="A563" t="s">
        <v>1144</v>
      </c>
      <c r="B563" s="7">
        <v>46177</v>
      </c>
      <c r="C563" t="s">
        <v>538</v>
      </c>
      <c r="D563" t="s">
        <v>650</v>
      </c>
      <c r="E563" t="s">
        <v>79</v>
      </c>
      <c r="F563" t="s">
        <v>86</v>
      </c>
      <c r="G563" t="s">
        <v>118</v>
      </c>
      <c r="H563" t="s">
        <v>58</v>
      </c>
      <c r="I563">
        <v>1</v>
      </c>
      <c r="J563" s="5">
        <v>749</v>
      </c>
      <c r="K563" s="2">
        <v>0.05</v>
      </c>
      <c r="L563" t="s">
        <v>46</v>
      </c>
      <c r="M563" t="s">
        <v>23</v>
      </c>
      <c r="N563" s="1">
        <v>46180</v>
      </c>
      <c r="O563" s="1">
        <v>46183</v>
      </c>
      <c r="P563" s="5">
        <f>Orders[[#This Row],[Quantity]]*Orders[[#This Row],[Unit Price]]</f>
        <v>749</v>
      </c>
      <c r="Q563" s="5">
        <f>Orders[[#This Row],[Gross Sales]]*Orders[[#This Row],[Discount %]]</f>
        <v>37.450000000000003</v>
      </c>
      <c r="R563" s="5">
        <f>Orders[[#This Row],[Gross Sales]]-Orders[[#This Row],[Discount Amount]]</f>
        <v>711.55</v>
      </c>
      <c r="S563">
        <f>IF(Orders[[#This Row],[Actual Delivery Date]]="","",Orders[[#This Row],[Actual Delivery Date]]-Orders[[#This Row],[Order Date]])</f>
        <v>6</v>
      </c>
      <c r="T563" t="str">
        <f>IF(Orders[[#This Row],[Actual Delivery Date]]="","Pending",IF(Orders[[#This Row],[Actual Delivery Date]]&lt;=Orders[[#This Row],[Expected Delivery Date]],"On Time","Late"))</f>
        <v>Late</v>
      </c>
      <c r="U563" t="str">
        <f>TEXT(Orders[[#This Row],[Order Date]],"mmm")</f>
        <v>Jun</v>
      </c>
      <c r="V563" s="8">
        <f>DATE(YEAR(Orders[[#This Row],[Order Date]]),MONTH(Orders[[#This Row],[Order Date]]),1)</f>
        <v>46174</v>
      </c>
      <c r="W563" s="5">
        <f>IF(Orders[[#This Row],[Order Status]]="Cancelled",Orders[[#This Row],[Net Sales]],0)</f>
        <v>0</v>
      </c>
    </row>
    <row r="564" spans="1:23" x14ac:dyDescent="0.3">
      <c r="A564" t="s">
        <v>1145</v>
      </c>
      <c r="B564" s="7">
        <v>46234</v>
      </c>
      <c r="C564" t="s">
        <v>360</v>
      </c>
      <c r="D564" t="s">
        <v>422</v>
      </c>
      <c r="E564" t="s">
        <v>35</v>
      </c>
      <c r="F564" t="s">
        <v>135</v>
      </c>
      <c r="G564" t="s">
        <v>57</v>
      </c>
      <c r="H564" t="s">
        <v>58</v>
      </c>
      <c r="I564">
        <v>4</v>
      </c>
      <c r="J564" s="5">
        <v>499</v>
      </c>
      <c r="K564" s="2">
        <v>0.1</v>
      </c>
      <c r="L564" t="s">
        <v>70</v>
      </c>
      <c r="M564" t="s">
        <v>82</v>
      </c>
      <c r="N564" s="1">
        <v>46236</v>
      </c>
      <c r="O564" s="1">
        <v>46236</v>
      </c>
      <c r="P564" s="5">
        <f>Orders[[#This Row],[Quantity]]*Orders[[#This Row],[Unit Price]]</f>
        <v>1996</v>
      </c>
      <c r="Q564" s="5">
        <f>Orders[[#This Row],[Gross Sales]]*Orders[[#This Row],[Discount %]]</f>
        <v>199.60000000000002</v>
      </c>
      <c r="R564" s="5">
        <f>Orders[[#This Row],[Gross Sales]]-Orders[[#This Row],[Discount Amount]]</f>
        <v>1796.4</v>
      </c>
      <c r="S564">
        <f>IF(Orders[[#This Row],[Actual Delivery Date]]="","",Orders[[#This Row],[Actual Delivery Date]]-Orders[[#This Row],[Order Date]])</f>
        <v>2</v>
      </c>
      <c r="T564" t="str">
        <f>IF(Orders[[#This Row],[Actual Delivery Date]]="","Pending",IF(Orders[[#This Row],[Actual Delivery Date]]&lt;=Orders[[#This Row],[Expected Delivery Date]],"On Time","Late"))</f>
        <v>On Time</v>
      </c>
      <c r="U564" t="str">
        <f>TEXT(Orders[[#This Row],[Order Date]],"mmm")</f>
        <v>Jul</v>
      </c>
      <c r="V564" s="8">
        <f>DATE(YEAR(Orders[[#This Row],[Order Date]]),MONTH(Orders[[#This Row],[Order Date]]),1)</f>
        <v>46204</v>
      </c>
      <c r="W564" s="5">
        <f>IF(Orders[[#This Row],[Order Status]]="Cancelled",Orders[[#This Row],[Net Sales]],0)</f>
        <v>0</v>
      </c>
    </row>
    <row r="565" spans="1:23" x14ac:dyDescent="0.3">
      <c r="A565" t="s">
        <v>1146</v>
      </c>
      <c r="B565" s="7">
        <v>46190</v>
      </c>
      <c r="C565" t="s">
        <v>1147</v>
      </c>
      <c r="D565" t="s">
        <v>271</v>
      </c>
      <c r="E565" t="s">
        <v>35</v>
      </c>
      <c r="F565" t="s">
        <v>63</v>
      </c>
      <c r="G565" t="s">
        <v>206</v>
      </c>
      <c r="H565" t="s">
        <v>30</v>
      </c>
      <c r="I565">
        <v>2</v>
      </c>
      <c r="J565" s="5">
        <v>1199</v>
      </c>
      <c r="K565" s="2">
        <v>0</v>
      </c>
      <c r="L565" t="s">
        <v>39</v>
      </c>
      <c r="M565" t="s">
        <v>59</v>
      </c>
      <c r="N565" s="1">
        <v>46197</v>
      </c>
      <c r="O565" s="1">
        <v>46194</v>
      </c>
      <c r="P565" s="5">
        <f>Orders[[#This Row],[Quantity]]*Orders[[#This Row],[Unit Price]]</f>
        <v>2398</v>
      </c>
      <c r="Q565" s="5">
        <f>Orders[[#This Row],[Gross Sales]]*Orders[[#This Row],[Discount %]]</f>
        <v>0</v>
      </c>
      <c r="R565" s="5">
        <f>Orders[[#This Row],[Gross Sales]]-Orders[[#This Row],[Discount Amount]]</f>
        <v>2398</v>
      </c>
      <c r="S565">
        <f>IF(Orders[[#This Row],[Actual Delivery Date]]="","",Orders[[#This Row],[Actual Delivery Date]]-Orders[[#This Row],[Order Date]])</f>
        <v>4</v>
      </c>
      <c r="T565" t="str">
        <f>IF(Orders[[#This Row],[Actual Delivery Date]]="","Pending",IF(Orders[[#This Row],[Actual Delivery Date]]&lt;=Orders[[#This Row],[Expected Delivery Date]],"On Time","Late"))</f>
        <v>On Time</v>
      </c>
      <c r="U565" t="str">
        <f>TEXT(Orders[[#This Row],[Order Date]],"mmm")</f>
        <v>Jun</v>
      </c>
      <c r="V565" s="8">
        <f>DATE(YEAR(Orders[[#This Row],[Order Date]]),MONTH(Orders[[#This Row],[Order Date]]),1)</f>
        <v>46174</v>
      </c>
      <c r="W565" s="5">
        <f>IF(Orders[[#This Row],[Order Status]]="Cancelled",Orders[[#This Row],[Net Sales]],0)</f>
        <v>2398</v>
      </c>
    </row>
    <row r="566" spans="1:23" x14ac:dyDescent="0.3">
      <c r="A566" t="s">
        <v>1148</v>
      </c>
      <c r="B566" s="7">
        <v>46317</v>
      </c>
      <c r="C566" t="s">
        <v>430</v>
      </c>
      <c r="D566" t="s">
        <v>603</v>
      </c>
      <c r="E566" t="s">
        <v>79</v>
      </c>
      <c r="F566" t="s">
        <v>108</v>
      </c>
      <c r="G566" t="s">
        <v>186</v>
      </c>
      <c r="H566" t="s">
        <v>21</v>
      </c>
      <c r="I566">
        <v>1</v>
      </c>
      <c r="J566" s="5">
        <v>1999</v>
      </c>
      <c r="K566" s="2">
        <v>0.05</v>
      </c>
      <c r="L566" t="s">
        <v>31</v>
      </c>
      <c r="M566" t="s">
        <v>47</v>
      </c>
      <c r="N566" s="1">
        <v>46324</v>
      </c>
      <c r="O566" s="1"/>
      <c r="P566" s="5">
        <f>Orders[[#This Row],[Quantity]]*Orders[[#This Row],[Unit Price]]</f>
        <v>1999</v>
      </c>
      <c r="Q566" s="5">
        <f>Orders[[#This Row],[Gross Sales]]*Orders[[#This Row],[Discount %]]</f>
        <v>99.95</v>
      </c>
      <c r="R566" s="5">
        <f>Orders[[#This Row],[Gross Sales]]-Orders[[#This Row],[Discount Amount]]</f>
        <v>1899.05</v>
      </c>
      <c r="S566" t="str">
        <f>IF(Orders[[#This Row],[Actual Delivery Date]]="","",Orders[[#This Row],[Actual Delivery Date]]-Orders[[#This Row],[Order Date]])</f>
        <v/>
      </c>
      <c r="T566" t="str">
        <f>IF(Orders[[#This Row],[Actual Delivery Date]]="","Pending",IF(Orders[[#This Row],[Actual Delivery Date]]&lt;=Orders[[#This Row],[Expected Delivery Date]],"On Time","Late"))</f>
        <v>Pending</v>
      </c>
      <c r="U566" t="str">
        <f>TEXT(Orders[[#This Row],[Order Date]],"mmm")</f>
        <v>Oct</v>
      </c>
      <c r="V566" s="8">
        <f>DATE(YEAR(Orders[[#This Row],[Order Date]]),MONTH(Orders[[#This Row],[Order Date]]),1)</f>
        <v>46296</v>
      </c>
      <c r="W566" s="5">
        <f>IF(Orders[[#This Row],[Order Status]]="Cancelled",Orders[[#This Row],[Net Sales]],0)</f>
        <v>0</v>
      </c>
    </row>
    <row r="567" spans="1:23" x14ac:dyDescent="0.3">
      <c r="A567" t="s">
        <v>1149</v>
      </c>
      <c r="B567" s="7">
        <v>46156</v>
      </c>
      <c r="C567" t="s">
        <v>1142</v>
      </c>
      <c r="D567" t="s">
        <v>217</v>
      </c>
      <c r="E567" t="s">
        <v>35</v>
      </c>
      <c r="F567" t="s">
        <v>63</v>
      </c>
      <c r="G567" t="s">
        <v>180</v>
      </c>
      <c r="H567" t="s">
        <v>58</v>
      </c>
      <c r="I567">
        <v>1</v>
      </c>
      <c r="J567" s="5">
        <v>599</v>
      </c>
      <c r="K567" s="2">
        <v>0.2</v>
      </c>
      <c r="L567" t="s">
        <v>46</v>
      </c>
      <c r="M567" t="s">
        <v>82</v>
      </c>
      <c r="N567" s="1">
        <v>46160</v>
      </c>
      <c r="O567" s="1">
        <v>46160</v>
      </c>
      <c r="P567" s="5">
        <f>Orders[[#This Row],[Quantity]]*Orders[[#This Row],[Unit Price]]</f>
        <v>599</v>
      </c>
      <c r="Q567" s="5">
        <f>Orders[[#This Row],[Gross Sales]]*Orders[[#This Row],[Discount %]]</f>
        <v>119.80000000000001</v>
      </c>
      <c r="R567" s="5">
        <f>Orders[[#This Row],[Gross Sales]]-Orders[[#This Row],[Discount Amount]]</f>
        <v>479.2</v>
      </c>
      <c r="S567">
        <f>IF(Orders[[#This Row],[Actual Delivery Date]]="","",Orders[[#This Row],[Actual Delivery Date]]-Orders[[#This Row],[Order Date]])</f>
        <v>4</v>
      </c>
      <c r="T567" t="str">
        <f>IF(Orders[[#This Row],[Actual Delivery Date]]="","Pending",IF(Orders[[#This Row],[Actual Delivery Date]]&lt;=Orders[[#This Row],[Expected Delivery Date]],"On Time","Late"))</f>
        <v>On Time</v>
      </c>
      <c r="U567" t="str">
        <f>TEXT(Orders[[#This Row],[Order Date]],"mmm")</f>
        <v>May</v>
      </c>
      <c r="V567" s="8">
        <f>DATE(YEAR(Orders[[#This Row],[Order Date]]),MONTH(Orders[[#This Row],[Order Date]]),1)</f>
        <v>46143</v>
      </c>
      <c r="W567" s="5">
        <f>IF(Orders[[#This Row],[Order Status]]="Cancelled",Orders[[#This Row],[Net Sales]],0)</f>
        <v>0</v>
      </c>
    </row>
    <row r="568" spans="1:23" x14ac:dyDescent="0.3">
      <c r="A568" t="s">
        <v>1150</v>
      </c>
      <c r="B568" s="7">
        <v>46033</v>
      </c>
      <c r="C568" t="s">
        <v>245</v>
      </c>
      <c r="D568" t="s">
        <v>613</v>
      </c>
      <c r="E568" t="s">
        <v>79</v>
      </c>
      <c r="F568" t="s">
        <v>170</v>
      </c>
      <c r="G568" t="s">
        <v>29</v>
      </c>
      <c r="H568" t="s">
        <v>30</v>
      </c>
      <c r="I568">
        <v>4</v>
      </c>
      <c r="J568" s="5">
        <v>599</v>
      </c>
      <c r="K568" s="2">
        <v>0.2</v>
      </c>
      <c r="L568" t="s">
        <v>22</v>
      </c>
      <c r="M568" t="s">
        <v>59</v>
      </c>
      <c r="N568" s="1">
        <v>46036</v>
      </c>
      <c r="O568" s="1">
        <v>46040</v>
      </c>
      <c r="P568" s="5">
        <f>Orders[[#This Row],[Quantity]]*Orders[[#This Row],[Unit Price]]</f>
        <v>2396</v>
      </c>
      <c r="Q568" s="5">
        <f>Orders[[#This Row],[Gross Sales]]*Orders[[#This Row],[Discount %]]</f>
        <v>479.20000000000005</v>
      </c>
      <c r="R568" s="5">
        <f>Orders[[#This Row],[Gross Sales]]-Orders[[#This Row],[Discount Amount]]</f>
        <v>1916.8</v>
      </c>
      <c r="S568">
        <f>IF(Orders[[#This Row],[Actual Delivery Date]]="","",Orders[[#This Row],[Actual Delivery Date]]-Orders[[#This Row],[Order Date]])</f>
        <v>7</v>
      </c>
      <c r="T568" t="str">
        <f>IF(Orders[[#This Row],[Actual Delivery Date]]="","Pending",IF(Orders[[#This Row],[Actual Delivery Date]]&lt;=Orders[[#This Row],[Expected Delivery Date]],"On Time","Late"))</f>
        <v>Late</v>
      </c>
      <c r="U568" t="str">
        <f>TEXT(Orders[[#This Row],[Order Date]],"mmm")</f>
        <v>Jan</v>
      </c>
      <c r="V568" s="8">
        <f>DATE(YEAR(Orders[[#This Row],[Order Date]]),MONTH(Orders[[#This Row],[Order Date]]),1)</f>
        <v>46023</v>
      </c>
      <c r="W568" s="5">
        <f>IF(Orders[[#This Row],[Order Status]]="Cancelled",Orders[[#This Row],[Net Sales]],0)</f>
        <v>1916.8</v>
      </c>
    </row>
    <row r="569" spans="1:23" x14ac:dyDescent="0.3">
      <c r="A569" t="s">
        <v>1151</v>
      </c>
      <c r="B569" s="7">
        <v>46242</v>
      </c>
      <c r="C569" t="s">
        <v>278</v>
      </c>
      <c r="D569" t="s">
        <v>662</v>
      </c>
      <c r="E569" t="s">
        <v>27</v>
      </c>
      <c r="F569" t="s">
        <v>28</v>
      </c>
      <c r="G569" t="s">
        <v>228</v>
      </c>
      <c r="H569" t="s">
        <v>58</v>
      </c>
      <c r="I569">
        <v>2</v>
      </c>
      <c r="J569" s="5">
        <v>1499</v>
      </c>
      <c r="K569" s="2">
        <v>0.05</v>
      </c>
      <c r="L569" t="s">
        <v>39</v>
      </c>
      <c r="M569" t="s">
        <v>23</v>
      </c>
      <c r="N569" s="1">
        <v>46245</v>
      </c>
      <c r="O569" s="1">
        <v>46246</v>
      </c>
      <c r="P569" s="5">
        <f>Orders[[#This Row],[Quantity]]*Orders[[#This Row],[Unit Price]]</f>
        <v>2998</v>
      </c>
      <c r="Q569" s="5">
        <f>Orders[[#This Row],[Gross Sales]]*Orders[[#This Row],[Discount %]]</f>
        <v>149.9</v>
      </c>
      <c r="R569" s="5">
        <f>Orders[[#This Row],[Gross Sales]]-Orders[[#This Row],[Discount Amount]]</f>
        <v>2848.1</v>
      </c>
      <c r="S569">
        <f>IF(Orders[[#This Row],[Actual Delivery Date]]="","",Orders[[#This Row],[Actual Delivery Date]]-Orders[[#This Row],[Order Date]])</f>
        <v>4</v>
      </c>
      <c r="T569" t="str">
        <f>IF(Orders[[#This Row],[Actual Delivery Date]]="","Pending",IF(Orders[[#This Row],[Actual Delivery Date]]&lt;=Orders[[#This Row],[Expected Delivery Date]],"On Time","Late"))</f>
        <v>Late</v>
      </c>
      <c r="U569" t="str">
        <f>TEXT(Orders[[#This Row],[Order Date]],"mmm")</f>
        <v>Aug</v>
      </c>
      <c r="V569" s="8">
        <f>DATE(YEAR(Orders[[#This Row],[Order Date]]),MONTH(Orders[[#This Row],[Order Date]]),1)</f>
        <v>46235</v>
      </c>
      <c r="W569" s="5">
        <f>IF(Orders[[#This Row],[Order Status]]="Cancelled",Orders[[#This Row],[Net Sales]],0)</f>
        <v>0</v>
      </c>
    </row>
    <row r="570" spans="1:23" x14ac:dyDescent="0.3">
      <c r="A570" t="s">
        <v>1152</v>
      </c>
      <c r="B570" s="7">
        <v>46137</v>
      </c>
      <c r="C570" t="s">
        <v>139</v>
      </c>
      <c r="D570" t="s">
        <v>1153</v>
      </c>
      <c r="E570" t="s">
        <v>79</v>
      </c>
      <c r="F570" t="s">
        <v>170</v>
      </c>
      <c r="G570" t="s">
        <v>147</v>
      </c>
      <c r="H570" t="s">
        <v>58</v>
      </c>
      <c r="I570">
        <v>2</v>
      </c>
      <c r="J570" s="5">
        <v>399</v>
      </c>
      <c r="K570" s="2">
        <v>0.05</v>
      </c>
      <c r="L570" t="s">
        <v>46</v>
      </c>
      <c r="M570" t="s">
        <v>23</v>
      </c>
      <c r="N570" s="1">
        <v>46144</v>
      </c>
      <c r="O570" s="1">
        <v>46139</v>
      </c>
      <c r="P570" s="5">
        <f>Orders[[#This Row],[Quantity]]*Orders[[#This Row],[Unit Price]]</f>
        <v>798</v>
      </c>
      <c r="Q570" s="5">
        <f>Orders[[#This Row],[Gross Sales]]*Orders[[#This Row],[Discount %]]</f>
        <v>39.900000000000006</v>
      </c>
      <c r="R570" s="5">
        <f>Orders[[#This Row],[Gross Sales]]-Orders[[#This Row],[Discount Amount]]</f>
        <v>758.1</v>
      </c>
      <c r="S570">
        <f>IF(Orders[[#This Row],[Actual Delivery Date]]="","",Orders[[#This Row],[Actual Delivery Date]]-Orders[[#This Row],[Order Date]])</f>
        <v>2</v>
      </c>
      <c r="T570" t="str">
        <f>IF(Orders[[#This Row],[Actual Delivery Date]]="","Pending",IF(Orders[[#This Row],[Actual Delivery Date]]&lt;=Orders[[#This Row],[Expected Delivery Date]],"On Time","Late"))</f>
        <v>On Time</v>
      </c>
      <c r="U570" t="str">
        <f>TEXT(Orders[[#This Row],[Order Date]],"mmm")</f>
        <v>Apr</v>
      </c>
      <c r="V570" s="8">
        <f>DATE(YEAR(Orders[[#This Row],[Order Date]]),MONTH(Orders[[#This Row],[Order Date]]),1)</f>
        <v>46113</v>
      </c>
      <c r="W570" s="5">
        <f>IF(Orders[[#This Row],[Order Status]]="Cancelled",Orders[[#This Row],[Net Sales]],0)</f>
        <v>0</v>
      </c>
    </row>
    <row r="571" spans="1:23" x14ac:dyDescent="0.3">
      <c r="A571" t="s">
        <v>1154</v>
      </c>
      <c r="B571" s="7">
        <v>46115</v>
      </c>
      <c r="C571" t="s">
        <v>145</v>
      </c>
      <c r="D571" t="s">
        <v>680</v>
      </c>
      <c r="E571" t="s">
        <v>27</v>
      </c>
      <c r="F571" t="s">
        <v>51</v>
      </c>
      <c r="G571" t="s">
        <v>96</v>
      </c>
      <c r="H571" t="s">
        <v>38</v>
      </c>
      <c r="I571">
        <v>1</v>
      </c>
      <c r="J571" s="5">
        <v>1599</v>
      </c>
      <c r="K571" s="2">
        <v>0.05</v>
      </c>
      <c r="L571" t="s">
        <v>39</v>
      </c>
      <c r="M571" t="s">
        <v>23</v>
      </c>
      <c r="N571" s="1">
        <v>46119</v>
      </c>
      <c r="O571" s="1">
        <v>46119</v>
      </c>
      <c r="P571" s="5">
        <f>Orders[[#This Row],[Quantity]]*Orders[[#This Row],[Unit Price]]</f>
        <v>1599</v>
      </c>
      <c r="Q571" s="5">
        <f>Orders[[#This Row],[Gross Sales]]*Orders[[#This Row],[Discount %]]</f>
        <v>79.95</v>
      </c>
      <c r="R571" s="5">
        <f>Orders[[#This Row],[Gross Sales]]-Orders[[#This Row],[Discount Amount]]</f>
        <v>1519.05</v>
      </c>
      <c r="S571">
        <f>IF(Orders[[#This Row],[Actual Delivery Date]]="","",Orders[[#This Row],[Actual Delivery Date]]-Orders[[#This Row],[Order Date]])</f>
        <v>4</v>
      </c>
      <c r="T571" t="str">
        <f>IF(Orders[[#This Row],[Actual Delivery Date]]="","Pending",IF(Orders[[#This Row],[Actual Delivery Date]]&lt;=Orders[[#This Row],[Expected Delivery Date]],"On Time","Late"))</f>
        <v>On Time</v>
      </c>
      <c r="U571" t="str">
        <f>TEXT(Orders[[#This Row],[Order Date]],"mmm")</f>
        <v>Apr</v>
      </c>
      <c r="V571" s="8">
        <f>DATE(YEAR(Orders[[#This Row],[Order Date]]),MONTH(Orders[[#This Row],[Order Date]]),1)</f>
        <v>46113</v>
      </c>
      <c r="W571" s="5">
        <f>IF(Orders[[#This Row],[Order Status]]="Cancelled",Orders[[#This Row],[Net Sales]],0)</f>
        <v>0</v>
      </c>
    </row>
    <row r="572" spans="1:23" x14ac:dyDescent="0.3">
      <c r="A572" t="s">
        <v>1155</v>
      </c>
      <c r="B572" s="7">
        <v>46091</v>
      </c>
      <c r="C572" t="s">
        <v>1156</v>
      </c>
      <c r="D572" t="s">
        <v>361</v>
      </c>
      <c r="E572" t="s">
        <v>79</v>
      </c>
      <c r="F572" t="s">
        <v>86</v>
      </c>
      <c r="G572" t="s">
        <v>160</v>
      </c>
      <c r="H572" t="s">
        <v>45</v>
      </c>
      <c r="I572">
        <v>3</v>
      </c>
      <c r="J572" s="5">
        <v>1499</v>
      </c>
      <c r="K572" s="2">
        <v>0.15</v>
      </c>
      <c r="L572" t="s">
        <v>31</v>
      </c>
      <c r="M572" t="s">
        <v>59</v>
      </c>
      <c r="N572" s="1">
        <v>46096</v>
      </c>
      <c r="O572" s="1">
        <v>46096</v>
      </c>
      <c r="P572" s="5">
        <f>Orders[[#This Row],[Quantity]]*Orders[[#This Row],[Unit Price]]</f>
        <v>4497</v>
      </c>
      <c r="Q572" s="5">
        <f>Orders[[#This Row],[Gross Sales]]*Orders[[#This Row],[Discount %]]</f>
        <v>674.55</v>
      </c>
      <c r="R572" s="5">
        <f>Orders[[#This Row],[Gross Sales]]-Orders[[#This Row],[Discount Amount]]</f>
        <v>3822.45</v>
      </c>
      <c r="S572">
        <f>IF(Orders[[#This Row],[Actual Delivery Date]]="","",Orders[[#This Row],[Actual Delivery Date]]-Orders[[#This Row],[Order Date]])</f>
        <v>5</v>
      </c>
      <c r="T572" t="str">
        <f>IF(Orders[[#This Row],[Actual Delivery Date]]="","Pending",IF(Orders[[#This Row],[Actual Delivery Date]]&lt;=Orders[[#This Row],[Expected Delivery Date]],"On Time","Late"))</f>
        <v>On Time</v>
      </c>
      <c r="U572" t="str">
        <f>TEXT(Orders[[#This Row],[Order Date]],"mmm")</f>
        <v>Mar</v>
      </c>
      <c r="V572" s="8">
        <f>DATE(YEAR(Orders[[#This Row],[Order Date]]),MONTH(Orders[[#This Row],[Order Date]]),1)</f>
        <v>46082</v>
      </c>
      <c r="W572" s="5">
        <f>IF(Orders[[#This Row],[Order Status]]="Cancelled",Orders[[#This Row],[Net Sales]],0)</f>
        <v>3822.45</v>
      </c>
    </row>
    <row r="573" spans="1:23" x14ac:dyDescent="0.3">
      <c r="A573" t="s">
        <v>1157</v>
      </c>
      <c r="B573" s="7">
        <v>46143</v>
      </c>
      <c r="C573" t="s">
        <v>1158</v>
      </c>
      <c r="D573" t="s">
        <v>1016</v>
      </c>
      <c r="E573" t="s">
        <v>18</v>
      </c>
      <c r="F573" t="s">
        <v>19</v>
      </c>
      <c r="G573" t="s">
        <v>153</v>
      </c>
      <c r="H573" t="s">
        <v>45</v>
      </c>
      <c r="I573">
        <v>2</v>
      </c>
      <c r="J573" s="5">
        <v>1999</v>
      </c>
      <c r="K573" s="2">
        <v>0.1</v>
      </c>
      <c r="L573" t="s">
        <v>22</v>
      </c>
      <c r="M573" t="s">
        <v>59</v>
      </c>
      <c r="N573" s="1">
        <v>46149</v>
      </c>
      <c r="O573" s="1">
        <v>46144</v>
      </c>
      <c r="P573" s="5">
        <f>Orders[[#This Row],[Quantity]]*Orders[[#This Row],[Unit Price]]</f>
        <v>3998</v>
      </c>
      <c r="Q573" s="5">
        <f>Orders[[#This Row],[Gross Sales]]*Orders[[#This Row],[Discount %]]</f>
        <v>399.8</v>
      </c>
      <c r="R573" s="5">
        <f>Orders[[#This Row],[Gross Sales]]-Orders[[#This Row],[Discount Amount]]</f>
        <v>3598.2</v>
      </c>
      <c r="S573">
        <f>IF(Orders[[#This Row],[Actual Delivery Date]]="","",Orders[[#This Row],[Actual Delivery Date]]-Orders[[#This Row],[Order Date]])</f>
        <v>1</v>
      </c>
      <c r="T573" t="str">
        <f>IF(Orders[[#This Row],[Actual Delivery Date]]="","Pending",IF(Orders[[#This Row],[Actual Delivery Date]]&lt;=Orders[[#This Row],[Expected Delivery Date]],"On Time","Late"))</f>
        <v>On Time</v>
      </c>
      <c r="U573" t="str">
        <f>TEXT(Orders[[#This Row],[Order Date]],"mmm")</f>
        <v>May</v>
      </c>
      <c r="V573" s="8">
        <f>DATE(YEAR(Orders[[#This Row],[Order Date]]),MONTH(Orders[[#This Row],[Order Date]]),1)</f>
        <v>46143</v>
      </c>
      <c r="W573" s="5">
        <f>IF(Orders[[#This Row],[Order Status]]="Cancelled",Orders[[#This Row],[Net Sales]],0)</f>
        <v>3598.2</v>
      </c>
    </row>
    <row r="574" spans="1:23" x14ac:dyDescent="0.3">
      <c r="A574" t="s">
        <v>1159</v>
      </c>
      <c r="B574" s="7">
        <v>46090</v>
      </c>
      <c r="C574" t="s">
        <v>1160</v>
      </c>
      <c r="D574" t="s">
        <v>352</v>
      </c>
      <c r="E574" t="s">
        <v>79</v>
      </c>
      <c r="F574" t="s">
        <v>80</v>
      </c>
      <c r="G574" t="s">
        <v>118</v>
      </c>
      <c r="H574" t="s">
        <v>58</v>
      </c>
      <c r="I574">
        <v>4</v>
      </c>
      <c r="J574" s="5">
        <v>749</v>
      </c>
      <c r="K574" s="2">
        <v>0.2</v>
      </c>
      <c r="L574" t="s">
        <v>39</v>
      </c>
      <c r="M574" t="s">
        <v>47</v>
      </c>
      <c r="N574" s="1">
        <v>46093</v>
      </c>
      <c r="O574" s="1"/>
      <c r="P574" s="5">
        <f>Orders[[#This Row],[Quantity]]*Orders[[#This Row],[Unit Price]]</f>
        <v>2996</v>
      </c>
      <c r="Q574" s="5">
        <f>Orders[[#This Row],[Gross Sales]]*Orders[[#This Row],[Discount %]]</f>
        <v>599.20000000000005</v>
      </c>
      <c r="R574" s="5">
        <f>Orders[[#This Row],[Gross Sales]]-Orders[[#This Row],[Discount Amount]]</f>
        <v>2396.8000000000002</v>
      </c>
      <c r="S574" t="str">
        <f>IF(Orders[[#This Row],[Actual Delivery Date]]="","",Orders[[#This Row],[Actual Delivery Date]]-Orders[[#This Row],[Order Date]])</f>
        <v/>
      </c>
      <c r="T574" t="str">
        <f>IF(Orders[[#This Row],[Actual Delivery Date]]="","Pending",IF(Orders[[#This Row],[Actual Delivery Date]]&lt;=Orders[[#This Row],[Expected Delivery Date]],"On Time","Late"))</f>
        <v>Pending</v>
      </c>
      <c r="U574" t="str">
        <f>TEXT(Orders[[#This Row],[Order Date]],"mmm")</f>
        <v>Mar</v>
      </c>
      <c r="V574" s="8">
        <f>DATE(YEAR(Orders[[#This Row],[Order Date]]),MONTH(Orders[[#This Row],[Order Date]]),1)</f>
        <v>46082</v>
      </c>
      <c r="W574" s="5">
        <f>IF(Orders[[#This Row],[Order Status]]="Cancelled",Orders[[#This Row],[Net Sales]],0)</f>
        <v>0</v>
      </c>
    </row>
    <row r="575" spans="1:23" x14ac:dyDescent="0.3">
      <c r="A575" t="s">
        <v>1161</v>
      </c>
      <c r="B575" s="7">
        <v>46068</v>
      </c>
      <c r="C575" t="s">
        <v>1162</v>
      </c>
      <c r="D575" t="s">
        <v>550</v>
      </c>
      <c r="E575" t="s">
        <v>79</v>
      </c>
      <c r="F575" t="s">
        <v>80</v>
      </c>
      <c r="G575" t="s">
        <v>180</v>
      </c>
      <c r="H575" t="s">
        <v>58</v>
      </c>
      <c r="I575">
        <v>1</v>
      </c>
      <c r="J575" s="5">
        <v>599</v>
      </c>
      <c r="K575" s="2">
        <v>0.2</v>
      </c>
      <c r="L575" t="s">
        <v>70</v>
      </c>
      <c r="M575" t="s">
        <v>23</v>
      </c>
      <c r="N575" s="1">
        <v>46072</v>
      </c>
      <c r="O575" s="1">
        <v>46069</v>
      </c>
      <c r="P575" s="5">
        <f>Orders[[#This Row],[Quantity]]*Orders[[#This Row],[Unit Price]]</f>
        <v>599</v>
      </c>
      <c r="Q575" s="5">
        <f>Orders[[#This Row],[Gross Sales]]*Orders[[#This Row],[Discount %]]</f>
        <v>119.80000000000001</v>
      </c>
      <c r="R575" s="5">
        <f>Orders[[#This Row],[Gross Sales]]-Orders[[#This Row],[Discount Amount]]</f>
        <v>479.2</v>
      </c>
      <c r="S575">
        <f>IF(Orders[[#This Row],[Actual Delivery Date]]="","",Orders[[#This Row],[Actual Delivery Date]]-Orders[[#This Row],[Order Date]])</f>
        <v>1</v>
      </c>
      <c r="T575" t="str">
        <f>IF(Orders[[#This Row],[Actual Delivery Date]]="","Pending",IF(Orders[[#This Row],[Actual Delivery Date]]&lt;=Orders[[#This Row],[Expected Delivery Date]],"On Time","Late"))</f>
        <v>On Time</v>
      </c>
      <c r="U575" t="str">
        <f>TEXT(Orders[[#This Row],[Order Date]],"mmm")</f>
        <v>Feb</v>
      </c>
      <c r="V575" s="8">
        <f>DATE(YEAR(Orders[[#This Row],[Order Date]]),MONTH(Orders[[#This Row],[Order Date]]),1)</f>
        <v>46054</v>
      </c>
      <c r="W575" s="5">
        <f>IF(Orders[[#This Row],[Order Status]]="Cancelled",Orders[[#This Row],[Net Sales]],0)</f>
        <v>0</v>
      </c>
    </row>
    <row r="576" spans="1:23" x14ac:dyDescent="0.3">
      <c r="A576" t="s">
        <v>1163</v>
      </c>
      <c r="B576" s="7">
        <v>46157</v>
      </c>
      <c r="C576" t="s">
        <v>256</v>
      </c>
      <c r="D576" t="s">
        <v>1164</v>
      </c>
      <c r="E576" t="s">
        <v>35</v>
      </c>
      <c r="F576" t="s">
        <v>36</v>
      </c>
      <c r="G576" t="s">
        <v>118</v>
      </c>
      <c r="H576" t="s">
        <v>58</v>
      </c>
      <c r="I576">
        <v>2</v>
      </c>
      <c r="J576" s="5">
        <v>749</v>
      </c>
      <c r="K576" s="2">
        <v>0.1</v>
      </c>
      <c r="L576" t="s">
        <v>22</v>
      </c>
      <c r="M576" t="s">
        <v>23</v>
      </c>
      <c r="N576" s="1">
        <v>46162</v>
      </c>
      <c r="O576" s="1">
        <v>46165</v>
      </c>
      <c r="P576" s="5">
        <f>Orders[[#This Row],[Quantity]]*Orders[[#This Row],[Unit Price]]</f>
        <v>1498</v>
      </c>
      <c r="Q576" s="5">
        <f>Orders[[#This Row],[Gross Sales]]*Orders[[#This Row],[Discount %]]</f>
        <v>149.80000000000001</v>
      </c>
      <c r="R576" s="5">
        <f>Orders[[#This Row],[Gross Sales]]-Orders[[#This Row],[Discount Amount]]</f>
        <v>1348.2</v>
      </c>
      <c r="S576">
        <f>IF(Orders[[#This Row],[Actual Delivery Date]]="","",Orders[[#This Row],[Actual Delivery Date]]-Orders[[#This Row],[Order Date]])</f>
        <v>8</v>
      </c>
      <c r="T576" t="str">
        <f>IF(Orders[[#This Row],[Actual Delivery Date]]="","Pending",IF(Orders[[#This Row],[Actual Delivery Date]]&lt;=Orders[[#This Row],[Expected Delivery Date]],"On Time","Late"))</f>
        <v>Late</v>
      </c>
      <c r="U576" t="str">
        <f>TEXT(Orders[[#This Row],[Order Date]],"mmm")</f>
        <v>May</v>
      </c>
      <c r="V576" s="8">
        <f>DATE(YEAR(Orders[[#This Row],[Order Date]]),MONTH(Orders[[#This Row],[Order Date]]),1)</f>
        <v>46143</v>
      </c>
      <c r="W576" s="5">
        <f>IF(Orders[[#This Row],[Order Status]]="Cancelled",Orders[[#This Row],[Net Sales]],0)</f>
        <v>0</v>
      </c>
    </row>
    <row r="577" spans="1:23" x14ac:dyDescent="0.3">
      <c r="A577" t="s">
        <v>1165</v>
      </c>
      <c r="B577" s="7">
        <v>46050</v>
      </c>
      <c r="C577" t="s">
        <v>155</v>
      </c>
      <c r="D577" t="s">
        <v>1166</v>
      </c>
      <c r="E577" t="s">
        <v>79</v>
      </c>
      <c r="F577" t="s">
        <v>86</v>
      </c>
      <c r="G577" t="s">
        <v>37</v>
      </c>
      <c r="H577" t="s">
        <v>38</v>
      </c>
      <c r="I577">
        <v>1</v>
      </c>
      <c r="J577" s="5">
        <v>699</v>
      </c>
      <c r="K577" s="2">
        <v>0</v>
      </c>
      <c r="L577" t="s">
        <v>70</v>
      </c>
      <c r="M577" t="s">
        <v>23</v>
      </c>
      <c r="N577" s="1">
        <v>46053</v>
      </c>
      <c r="O577" s="1">
        <v>46052</v>
      </c>
      <c r="P577" s="5">
        <f>Orders[[#This Row],[Quantity]]*Orders[[#This Row],[Unit Price]]</f>
        <v>699</v>
      </c>
      <c r="Q577" s="5">
        <f>Orders[[#This Row],[Gross Sales]]*Orders[[#This Row],[Discount %]]</f>
        <v>0</v>
      </c>
      <c r="R577" s="5">
        <f>Orders[[#This Row],[Gross Sales]]-Orders[[#This Row],[Discount Amount]]</f>
        <v>699</v>
      </c>
      <c r="S577">
        <f>IF(Orders[[#This Row],[Actual Delivery Date]]="","",Orders[[#This Row],[Actual Delivery Date]]-Orders[[#This Row],[Order Date]])</f>
        <v>2</v>
      </c>
      <c r="T577" t="str">
        <f>IF(Orders[[#This Row],[Actual Delivery Date]]="","Pending",IF(Orders[[#This Row],[Actual Delivery Date]]&lt;=Orders[[#This Row],[Expected Delivery Date]],"On Time","Late"))</f>
        <v>On Time</v>
      </c>
      <c r="U577" t="str">
        <f>TEXT(Orders[[#This Row],[Order Date]],"mmm")</f>
        <v>Jan</v>
      </c>
      <c r="V577" s="8">
        <f>DATE(YEAR(Orders[[#This Row],[Order Date]]),MONTH(Orders[[#This Row],[Order Date]]),1)</f>
        <v>46023</v>
      </c>
      <c r="W577" s="5">
        <f>IF(Orders[[#This Row],[Order Status]]="Cancelled",Orders[[#This Row],[Net Sales]],0)</f>
        <v>0</v>
      </c>
    </row>
    <row r="578" spans="1:23" x14ac:dyDescent="0.3">
      <c r="A578" t="s">
        <v>1167</v>
      </c>
      <c r="B578" s="7">
        <v>46271</v>
      </c>
      <c r="C578" t="s">
        <v>285</v>
      </c>
      <c r="D578" t="s">
        <v>352</v>
      </c>
      <c r="E578" t="s">
        <v>18</v>
      </c>
      <c r="F578" t="s">
        <v>43</v>
      </c>
      <c r="G578" t="s">
        <v>87</v>
      </c>
      <c r="H578" t="s">
        <v>21</v>
      </c>
      <c r="I578">
        <v>2</v>
      </c>
      <c r="J578" s="5">
        <v>1899</v>
      </c>
      <c r="K578" s="2">
        <v>0</v>
      </c>
      <c r="L578" t="s">
        <v>31</v>
      </c>
      <c r="M578" t="s">
        <v>23</v>
      </c>
      <c r="N578" s="1">
        <v>46275</v>
      </c>
      <c r="O578" s="1">
        <v>46274</v>
      </c>
      <c r="P578" s="5">
        <f>Orders[[#This Row],[Quantity]]*Orders[[#This Row],[Unit Price]]</f>
        <v>3798</v>
      </c>
      <c r="Q578" s="5">
        <f>Orders[[#This Row],[Gross Sales]]*Orders[[#This Row],[Discount %]]</f>
        <v>0</v>
      </c>
      <c r="R578" s="5">
        <f>Orders[[#This Row],[Gross Sales]]-Orders[[#This Row],[Discount Amount]]</f>
        <v>3798</v>
      </c>
      <c r="S578">
        <f>IF(Orders[[#This Row],[Actual Delivery Date]]="","",Orders[[#This Row],[Actual Delivery Date]]-Orders[[#This Row],[Order Date]])</f>
        <v>3</v>
      </c>
      <c r="T578" t="str">
        <f>IF(Orders[[#This Row],[Actual Delivery Date]]="","Pending",IF(Orders[[#This Row],[Actual Delivery Date]]&lt;=Orders[[#This Row],[Expected Delivery Date]],"On Time","Late"))</f>
        <v>On Time</v>
      </c>
      <c r="U578" t="str">
        <f>TEXT(Orders[[#This Row],[Order Date]],"mmm")</f>
        <v>Sep</v>
      </c>
      <c r="V578" s="8">
        <f>DATE(YEAR(Orders[[#This Row],[Order Date]]),MONTH(Orders[[#This Row],[Order Date]]),1)</f>
        <v>46266</v>
      </c>
      <c r="W578" s="5">
        <f>IF(Orders[[#This Row],[Order Status]]="Cancelled",Orders[[#This Row],[Net Sales]],0)</f>
        <v>0</v>
      </c>
    </row>
    <row r="579" spans="1:23" x14ac:dyDescent="0.3">
      <c r="A579" t="s">
        <v>1168</v>
      </c>
      <c r="B579" s="7">
        <v>46292</v>
      </c>
      <c r="C579" t="s">
        <v>914</v>
      </c>
      <c r="D579" t="s">
        <v>313</v>
      </c>
      <c r="E579" t="s">
        <v>35</v>
      </c>
      <c r="F579" t="s">
        <v>68</v>
      </c>
      <c r="G579" t="s">
        <v>81</v>
      </c>
      <c r="H579" t="s">
        <v>30</v>
      </c>
      <c r="I579">
        <v>3</v>
      </c>
      <c r="J579" s="5">
        <v>899</v>
      </c>
      <c r="K579" s="2">
        <v>0.05</v>
      </c>
      <c r="L579" t="s">
        <v>70</v>
      </c>
      <c r="M579" t="s">
        <v>23</v>
      </c>
      <c r="N579" s="1">
        <v>46295</v>
      </c>
      <c r="O579" s="1">
        <v>46295</v>
      </c>
      <c r="P579" s="5">
        <f>Orders[[#This Row],[Quantity]]*Orders[[#This Row],[Unit Price]]</f>
        <v>2697</v>
      </c>
      <c r="Q579" s="5">
        <f>Orders[[#This Row],[Gross Sales]]*Orders[[#This Row],[Discount %]]</f>
        <v>134.85</v>
      </c>
      <c r="R579" s="5">
        <f>Orders[[#This Row],[Gross Sales]]-Orders[[#This Row],[Discount Amount]]</f>
        <v>2562.15</v>
      </c>
      <c r="S579">
        <f>IF(Orders[[#This Row],[Actual Delivery Date]]="","",Orders[[#This Row],[Actual Delivery Date]]-Orders[[#This Row],[Order Date]])</f>
        <v>3</v>
      </c>
      <c r="T579" t="str">
        <f>IF(Orders[[#This Row],[Actual Delivery Date]]="","Pending",IF(Orders[[#This Row],[Actual Delivery Date]]&lt;=Orders[[#This Row],[Expected Delivery Date]],"On Time","Late"))</f>
        <v>On Time</v>
      </c>
      <c r="U579" t="str">
        <f>TEXT(Orders[[#This Row],[Order Date]],"mmm")</f>
        <v>Sep</v>
      </c>
      <c r="V579" s="8">
        <f>DATE(YEAR(Orders[[#This Row],[Order Date]]),MONTH(Orders[[#This Row],[Order Date]]),1)</f>
        <v>46266</v>
      </c>
      <c r="W579" s="5">
        <f>IF(Orders[[#This Row],[Order Status]]="Cancelled",Orders[[#This Row],[Net Sales]],0)</f>
        <v>0</v>
      </c>
    </row>
    <row r="580" spans="1:23" x14ac:dyDescent="0.3">
      <c r="A580" t="s">
        <v>1169</v>
      </c>
      <c r="B580" s="7">
        <v>46214</v>
      </c>
      <c r="C580" t="s">
        <v>310</v>
      </c>
      <c r="D580" t="s">
        <v>620</v>
      </c>
      <c r="E580" t="s">
        <v>18</v>
      </c>
      <c r="F580" t="s">
        <v>121</v>
      </c>
      <c r="G580" t="s">
        <v>160</v>
      </c>
      <c r="H580" t="s">
        <v>45</v>
      </c>
      <c r="I580">
        <v>2</v>
      </c>
      <c r="J580" s="5">
        <v>1499</v>
      </c>
      <c r="K580" s="2">
        <v>0</v>
      </c>
      <c r="L580" t="s">
        <v>46</v>
      </c>
      <c r="M580" t="s">
        <v>23</v>
      </c>
      <c r="N580" s="1">
        <v>46216</v>
      </c>
      <c r="O580" s="1">
        <v>46216</v>
      </c>
      <c r="P580" s="5">
        <f>Orders[[#This Row],[Quantity]]*Orders[[#This Row],[Unit Price]]</f>
        <v>2998</v>
      </c>
      <c r="Q580" s="5">
        <f>Orders[[#This Row],[Gross Sales]]*Orders[[#This Row],[Discount %]]</f>
        <v>0</v>
      </c>
      <c r="R580" s="5">
        <f>Orders[[#This Row],[Gross Sales]]-Orders[[#This Row],[Discount Amount]]</f>
        <v>2998</v>
      </c>
      <c r="S580">
        <f>IF(Orders[[#This Row],[Actual Delivery Date]]="","",Orders[[#This Row],[Actual Delivery Date]]-Orders[[#This Row],[Order Date]])</f>
        <v>2</v>
      </c>
      <c r="T580" t="str">
        <f>IF(Orders[[#This Row],[Actual Delivery Date]]="","Pending",IF(Orders[[#This Row],[Actual Delivery Date]]&lt;=Orders[[#This Row],[Expected Delivery Date]],"On Time","Late"))</f>
        <v>On Time</v>
      </c>
      <c r="U580" t="str">
        <f>TEXT(Orders[[#This Row],[Order Date]],"mmm")</f>
        <v>Jul</v>
      </c>
      <c r="V580" s="8">
        <f>DATE(YEAR(Orders[[#This Row],[Order Date]]),MONTH(Orders[[#This Row],[Order Date]]),1)</f>
        <v>46204</v>
      </c>
      <c r="W580" s="5">
        <f>IF(Orders[[#This Row],[Order Status]]="Cancelled",Orders[[#This Row],[Net Sales]],0)</f>
        <v>0</v>
      </c>
    </row>
    <row r="581" spans="1:23" x14ac:dyDescent="0.3">
      <c r="A581" t="s">
        <v>1170</v>
      </c>
      <c r="B581" s="7">
        <v>46254</v>
      </c>
      <c r="C581" t="s">
        <v>761</v>
      </c>
      <c r="D581" t="s">
        <v>1171</v>
      </c>
      <c r="E581" t="s">
        <v>18</v>
      </c>
      <c r="F581" t="s">
        <v>121</v>
      </c>
      <c r="G581" t="s">
        <v>44</v>
      </c>
      <c r="H581" t="s">
        <v>45</v>
      </c>
      <c r="I581">
        <v>1</v>
      </c>
      <c r="J581" s="5">
        <v>1799</v>
      </c>
      <c r="K581" s="2">
        <v>0.2</v>
      </c>
      <c r="L581" t="s">
        <v>31</v>
      </c>
      <c r="M581" t="s">
        <v>23</v>
      </c>
      <c r="N581" s="1">
        <v>46256</v>
      </c>
      <c r="O581" s="1">
        <v>46256</v>
      </c>
      <c r="P581" s="5">
        <f>Orders[[#This Row],[Quantity]]*Orders[[#This Row],[Unit Price]]</f>
        <v>1799</v>
      </c>
      <c r="Q581" s="5">
        <f>Orders[[#This Row],[Gross Sales]]*Orders[[#This Row],[Discount %]]</f>
        <v>359.8</v>
      </c>
      <c r="R581" s="5">
        <f>Orders[[#This Row],[Gross Sales]]-Orders[[#This Row],[Discount Amount]]</f>
        <v>1439.2</v>
      </c>
      <c r="S581">
        <f>IF(Orders[[#This Row],[Actual Delivery Date]]="","",Orders[[#This Row],[Actual Delivery Date]]-Orders[[#This Row],[Order Date]])</f>
        <v>2</v>
      </c>
      <c r="T581" t="str">
        <f>IF(Orders[[#This Row],[Actual Delivery Date]]="","Pending",IF(Orders[[#This Row],[Actual Delivery Date]]&lt;=Orders[[#This Row],[Expected Delivery Date]],"On Time","Late"))</f>
        <v>On Time</v>
      </c>
      <c r="U581" t="str">
        <f>TEXT(Orders[[#This Row],[Order Date]],"mmm")</f>
        <v>Aug</v>
      </c>
      <c r="V581" s="8">
        <f>DATE(YEAR(Orders[[#This Row],[Order Date]]),MONTH(Orders[[#This Row],[Order Date]]),1)</f>
        <v>46235</v>
      </c>
      <c r="W581" s="5">
        <f>IF(Orders[[#This Row],[Order Status]]="Cancelled",Orders[[#This Row],[Net Sales]],0)</f>
        <v>0</v>
      </c>
    </row>
    <row r="582" spans="1:23" x14ac:dyDescent="0.3">
      <c r="A582" t="s">
        <v>1172</v>
      </c>
      <c r="B582" s="7">
        <v>46153</v>
      </c>
      <c r="C582" t="s">
        <v>987</v>
      </c>
      <c r="D582" t="s">
        <v>211</v>
      </c>
      <c r="E582" t="s">
        <v>18</v>
      </c>
      <c r="F582" t="s">
        <v>43</v>
      </c>
      <c r="G582" t="s">
        <v>160</v>
      </c>
      <c r="H582" t="s">
        <v>45</v>
      </c>
      <c r="I582">
        <v>1</v>
      </c>
      <c r="J582" s="5">
        <v>1499</v>
      </c>
      <c r="K582" s="2">
        <v>0.15</v>
      </c>
      <c r="L582" t="s">
        <v>39</v>
      </c>
      <c r="M582" t="s">
        <v>23</v>
      </c>
      <c r="N582" s="1">
        <v>46156</v>
      </c>
      <c r="O582" s="1">
        <v>46155</v>
      </c>
      <c r="P582" s="5">
        <f>Orders[[#This Row],[Quantity]]*Orders[[#This Row],[Unit Price]]</f>
        <v>1499</v>
      </c>
      <c r="Q582" s="5">
        <f>Orders[[#This Row],[Gross Sales]]*Orders[[#This Row],[Discount %]]</f>
        <v>224.85</v>
      </c>
      <c r="R582" s="5">
        <f>Orders[[#This Row],[Gross Sales]]-Orders[[#This Row],[Discount Amount]]</f>
        <v>1274.1500000000001</v>
      </c>
      <c r="S582">
        <f>IF(Orders[[#This Row],[Actual Delivery Date]]="","",Orders[[#This Row],[Actual Delivery Date]]-Orders[[#This Row],[Order Date]])</f>
        <v>2</v>
      </c>
      <c r="T582" t="str">
        <f>IF(Orders[[#This Row],[Actual Delivery Date]]="","Pending",IF(Orders[[#This Row],[Actual Delivery Date]]&lt;=Orders[[#This Row],[Expected Delivery Date]],"On Time","Late"))</f>
        <v>On Time</v>
      </c>
      <c r="U582" t="str">
        <f>TEXT(Orders[[#This Row],[Order Date]],"mmm")</f>
        <v>May</v>
      </c>
      <c r="V582" s="8">
        <f>DATE(YEAR(Orders[[#This Row],[Order Date]]),MONTH(Orders[[#This Row],[Order Date]]),1)</f>
        <v>46143</v>
      </c>
      <c r="W582" s="5">
        <f>IF(Orders[[#This Row],[Order Status]]="Cancelled",Orders[[#This Row],[Net Sales]],0)</f>
        <v>0</v>
      </c>
    </row>
    <row r="583" spans="1:23" x14ac:dyDescent="0.3">
      <c r="A583" t="s">
        <v>1173</v>
      </c>
      <c r="B583" s="7">
        <v>46181</v>
      </c>
      <c r="C583" t="s">
        <v>317</v>
      </c>
      <c r="D583" t="s">
        <v>1174</v>
      </c>
      <c r="E583" t="s">
        <v>18</v>
      </c>
      <c r="F583" t="s">
        <v>121</v>
      </c>
      <c r="G583" t="s">
        <v>57</v>
      </c>
      <c r="H583" t="s">
        <v>58</v>
      </c>
      <c r="I583">
        <v>4</v>
      </c>
      <c r="J583" s="5">
        <v>499</v>
      </c>
      <c r="K583" s="2">
        <v>0.2</v>
      </c>
      <c r="L583" t="s">
        <v>31</v>
      </c>
      <c r="M583" t="s">
        <v>23</v>
      </c>
      <c r="N583" s="1">
        <v>46188</v>
      </c>
      <c r="O583" s="1">
        <v>46184</v>
      </c>
      <c r="P583" s="5">
        <f>Orders[[#This Row],[Quantity]]*Orders[[#This Row],[Unit Price]]</f>
        <v>1996</v>
      </c>
      <c r="Q583" s="5">
        <f>Orders[[#This Row],[Gross Sales]]*Orders[[#This Row],[Discount %]]</f>
        <v>399.20000000000005</v>
      </c>
      <c r="R583" s="5">
        <f>Orders[[#This Row],[Gross Sales]]-Orders[[#This Row],[Discount Amount]]</f>
        <v>1596.8</v>
      </c>
      <c r="S583">
        <f>IF(Orders[[#This Row],[Actual Delivery Date]]="","",Orders[[#This Row],[Actual Delivery Date]]-Orders[[#This Row],[Order Date]])</f>
        <v>3</v>
      </c>
      <c r="T583" t="str">
        <f>IF(Orders[[#This Row],[Actual Delivery Date]]="","Pending",IF(Orders[[#This Row],[Actual Delivery Date]]&lt;=Orders[[#This Row],[Expected Delivery Date]],"On Time","Late"))</f>
        <v>On Time</v>
      </c>
      <c r="U583" t="str">
        <f>TEXT(Orders[[#This Row],[Order Date]],"mmm")</f>
        <v>Jun</v>
      </c>
      <c r="V583" s="8">
        <f>DATE(YEAR(Orders[[#This Row],[Order Date]]),MONTH(Orders[[#This Row],[Order Date]]),1)</f>
        <v>46174</v>
      </c>
      <c r="W583" s="5">
        <f>IF(Orders[[#This Row],[Order Status]]="Cancelled",Orders[[#This Row],[Net Sales]],0)</f>
        <v>0</v>
      </c>
    </row>
    <row r="584" spans="1:23" x14ac:dyDescent="0.3">
      <c r="A584" t="s">
        <v>1175</v>
      </c>
      <c r="B584" s="7">
        <v>46160</v>
      </c>
      <c r="C584" t="s">
        <v>978</v>
      </c>
      <c r="D584" t="s">
        <v>725</v>
      </c>
      <c r="E584" t="s">
        <v>79</v>
      </c>
      <c r="F584" t="s">
        <v>170</v>
      </c>
      <c r="G584" t="s">
        <v>57</v>
      </c>
      <c r="H584" t="s">
        <v>58</v>
      </c>
      <c r="I584">
        <v>2</v>
      </c>
      <c r="J584" s="5">
        <v>499</v>
      </c>
      <c r="K584" s="2">
        <v>0.15</v>
      </c>
      <c r="L584" t="s">
        <v>39</v>
      </c>
      <c r="M584" t="s">
        <v>82</v>
      </c>
      <c r="N584" s="1">
        <v>46165</v>
      </c>
      <c r="O584" s="1">
        <v>46165</v>
      </c>
      <c r="P584" s="5">
        <f>Orders[[#This Row],[Quantity]]*Orders[[#This Row],[Unit Price]]</f>
        <v>998</v>
      </c>
      <c r="Q584" s="5">
        <f>Orders[[#This Row],[Gross Sales]]*Orders[[#This Row],[Discount %]]</f>
        <v>149.69999999999999</v>
      </c>
      <c r="R584" s="5">
        <f>Orders[[#This Row],[Gross Sales]]-Orders[[#This Row],[Discount Amount]]</f>
        <v>848.3</v>
      </c>
      <c r="S584">
        <f>IF(Orders[[#This Row],[Actual Delivery Date]]="","",Orders[[#This Row],[Actual Delivery Date]]-Orders[[#This Row],[Order Date]])</f>
        <v>5</v>
      </c>
      <c r="T584" t="str">
        <f>IF(Orders[[#This Row],[Actual Delivery Date]]="","Pending",IF(Orders[[#This Row],[Actual Delivery Date]]&lt;=Orders[[#This Row],[Expected Delivery Date]],"On Time","Late"))</f>
        <v>On Time</v>
      </c>
      <c r="U584" t="str">
        <f>TEXT(Orders[[#This Row],[Order Date]],"mmm")</f>
        <v>May</v>
      </c>
      <c r="V584" s="8">
        <f>DATE(YEAR(Orders[[#This Row],[Order Date]]),MONTH(Orders[[#This Row],[Order Date]]),1)</f>
        <v>46143</v>
      </c>
      <c r="W584" s="5">
        <f>IF(Orders[[#This Row],[Order Status]]="Cancelled",Orders[[#This Row],[Net Sales]],0)</f>
        <v>0</v>
      </c>
    </row>
    <row r="585" spans="1:23" x14ac:dyDescent="0.3">
      <c r="A585" t="s">
        <v>1176</v>
      </c>
      <c r="B585" s="7">
        <v>46197</v>
      </c>
      <c r="C585" t="s">
        <v>920</v>
      </c>
      <c r="D585" t="s">
        <v>739</v>
      </c>
      <c r="E585" t="s">
        <v>79</v>
      </c>
      <c r="F585" t="s">
        <v>86</v>
      </c>
      <c r="G585" t="s">
        <v>44</v>
      </c>
      <c r="H585" t="s">
        <v>45</v>
      </c>
      <c r="I585">
        <v>5</v>
      </c>
      <c r="J585" s="5">
        <v>1799</v>
      </c>
      <c r="K585" s="2">
        <v>0.05</v>
      </c>
      <c r="L585" t="s">
        <v>31</v>
      </c>
      <c r="M585" t="s">
        <v>23</v>
      </c>
      <c r="N585" s="1">
        <v>46203</v>
      </c>
      <c r="O585" s="1">
        <v>46202</v>
      </c>
      <c r="P585" s="5">
        <f>Orders[[#This Row],[Quantity]]*Orders[[#This Row],[Unit Price]]</f>
        <v>8995</v>
      </c>
      <c r="Q585" s="5">
        <f>Orders[[#This Row],[Gross Sales]]*Orders[[#This Row],[Discount %]]</f>
        <v>449.75</v>
      </c>
      <c r="R585" s="5">
        <f>Orders[[#This Row],[Gross Sales]]-Orders[[#This Row],[Discount Amount]]</f>
        <v>8545.25</v>
      </c>
      <c r="S585">
        <f>IF(Orders[[#This Row],[Actual Delivery Date]]="","",Orders[[#This Row],[Actual Delivery Date]]-Orders[[#This Row],[Order Date]])</f>
        <v>5</v>
      </c>
      <c r="T585" t="str">
        <f>IF(Orders[[#This Row],[Actual Delivery Date]]="","Pending",IF(Orders[[#This Row],[Actual Delivery Date]]&lt;=Orders[[#This Row],[Expected Delivery Date]],"On Time","Late"))</f>
        <v>On Time</v>
      </c>
      <c r="U585" t="str">
        <f>TEXT(Orders[[#This Row],[Order Date]],"mmm")</f>
        <v>Jun</v>
      </c>
      <c r="V585" s="8">
        <f>DATE(YEAR(Orders[[#This Row],[Order Date]]),MONTH(Orders[[#This Row],[Order Date]]),1)</f>
        <v>46174</v>
      </c>
      <c r="W585" s="5">
        <f>IF(Orders[[#This Row],[Order Status]]="Cancelled",Orders[[#This Row],[Net Sales]],0)</f>
        <v>0</v>
      </c>
    </row>
    <row r="586" spans="1:23" x14ac:dyDescent="0.3">
      <c r="A586" t="s">
        <v>1177</v>
      </c>
      <c r="B586" s="7">
        <v>46176</v>
      </c>
      <c r="C586" t="s">
        <v>248</v>
      </c>
      <c r="D586" t="s">
        <v>671</v>
      </c>
      <c r="E586" t="s">
        <v>79</v>
      </c>
      <c r="F586" t="s">
        <v>170</v>
      </c>
      <c r="G586" t="s">
        <v>160</v>
      </c>
      <c r="H586" t="s">
        <v>45</v>
      </c>
      <c r="I586">
        <v>1</v>
      </c>
      <c r="J586" s="5">
        <v>1499</v>
      </c>
      <c r="K586" s="2">
        <v>0.05</v>
      </c>
      <c r="L586" t="s">
        <v>46</v>
      </c>
      <c r="M586" t="s">
        <v>82</v>
      </c>
      <c r="N586" s="1">
        <v>46179</v>
      </c>
      <c r="O586" s="1">
        <v>46178</v>
      </c>
      <c r="P586" s="5">
        <f>Orders[[#This Row],[Quantity]]*Orders[[#This Row],[Unit Price]]</f>
        <v>1499</v>
      </c>
      <c r="Q586" s="5">
        <f>Orders[[#This Row],[Gross Sales]]*Orders[[#This Row],[Discount %]]</f>
        <v>74.95</v>
      </c>
      <c r="R586" s="5">
        <f>Orders[[#This Row],[Gross Sales]]-Orders[[#This Row],[Discount Amount]]</f>
        <v>1424.05</v>
      </c>
      <c r="S586">
        <f>IF(Orders[[#This Row],[Actual Delivery Date]]="","",Orders[[#This Row],[Actual Delivery Date]]-Orders[[#This Row],[Order Date]])</f>
        <v>2</v>
      </c>
      <c r="T586" t="str">
        <f>IF(Orders[[#This Row],[Actual Delivery Date]]="","Pending",IF(Orders[[#This Row],[Actual Delivery Date]]&lt;=Orders[[#This Row],[Expected Delivery Date]],"On Time","Late"))</f>
        <v>On Time</v>
      </c>
      <c r="U586" t="str">
        <f>TEXT(Orders[[#This Row],[Order Date]],"mmm")</f>
        <v>Jun</v>
      </c>
      <c r="V586" s="8">
        <f>DATE(YEAR(Orders[[#This Row],[Order Date]]),MONTH(Orders[[#This Row],[Order Date]]),1)</f>
        <v>46174</v>
      </c>
      <c r="W586" s="5">
        <f>IF(Orders[[#This Row],[Order Status]]="Cancelled",Orders[[#This Row],[Net Sales]],0)</f>
        <v>0</v>
      </c>
    </row>
    <row r="587" spans="1:23" x14ac:dyDescent="0.3">
      <c r="A587" t="s">
        <v>1178</v>
      </c>
      <c r="B587" s="7">
        <v>46284</v>
      </c>
      <c r="C587" t="s">
        <v>520</v>
      </c>
      <c r="D587" t="s">
        <v>287</v>
      </c>
      <c r="E587" t="s">
        <v>18</v>
      </c>
      <c r="F587" t="s">
        <v>19</v>
      </c>
      <c r="G587" t="s">
        <v>81</v>
      </c>
      <c r="H587" t="s">
        <v>30</v>
      </c>
      <c r="I587">
        <v>1</v>
      </c>
      <c r="J587" s="5">
        <v>899</v>
      </c>
      <c r="K587" s="2">
        <v>0</v>
      </c>
      <c r="L587" t="s">
        <v>70</v>
      </c>
      <c r="M587" t="s">
        <v>59</v>
      </c>
      <c r="N587" s="1">
        <v>46291</v>
      </c>
      <c r="O587" s="1">
        <v>46287</v>
      </c>
      <c r="P587" s="5">
        <f>Orders[[#This Row],[Quantity]]*Orders[[#This Row],[Unit Price]]</f>
        <v>899</v>
      </c>
      <c r="Q587" s="5">
        <f>Orders[[#This Row],[Gross Sales]]*Orders[[#This Row],[Discount %]]</f>
        <v>0</v>
      </c>
      <c r="R587" s="5">
        <f>Orders[[#This Row],[Gross Sales]]-Orders[[#This Row],[Discount Amount]]</f>
        <v>899</v>
      </c>
      <c r="S587">
        <f>IF(Orders[[#This Row],[Actual Delivery Date]]="","",Orders[[#This Row],[Actual Delivery Date]]-Orders[[#This Row],[Order Date]])</f>
        <v>3</v>
      </c>
      <c r="T587" t="str">
        <f>IF(Orders[[#This Row],[Actual Delivery Date]]="","Pending",IF(Orders[[#This Row],[Actual Delivery Date]]&lt;=Orders[[#This Row],[Expected Delivery Date]],"On Time","Late"))</f>
        <v>On Time</v>
      </c>
      <c r="U587" t="str">
        <f>TEXT(Orders[[#This Row],[Order Date]],"mmm")</f>
        <v>Sep</v>
      </c>
      <c r="V587" s="8">
        <f>DATE(YEAR(Orders[[#This Row],[Order Date]]),MONTH(Orders[[#This Row],[Order Date]]),1)</f>
        <v>46266</v>
      </c>
      <c r="W587" s="5">
        <f>IF(Orders[[#This Row],[Order Status]]="Cancelled",Orders[[#This Row],[Net Sales]],0)</f>
        <v>899</v>
      </c>
    </row>
    <row r="588" spans="1:23" x14ac:dyDescent="0.3">
      <c r="A588" t="s">
        <v>1179</v>
      </c>
      <c r="B588" s="7">
        <v>46114</v>
      </c>
      <c r="C588" t="s">
        <v>158</v>
      </c>
      <c r="D588" t="s">
        <v>305</v>
      </c>
      <c r="E588" t="s">
        <v>18</v>
      </c>
      <c r="F588" t="s">
        <v>19</v>
      </c>
      <c r="G588" t="s">
        <v>160</v>
      </c>
      <c r="H588" t="s">
        <v>45</v>
      </c>
      <c r="I588">
        <v>3</v>
      </c>
      <c r="J588" s="5">
        <v>1499</v>
      </c>
      <c r="K588" s="2">
        <v>0.15</v>
      </c>
      <c r="L588" t="s">
        <v>39</v>
      </c>
      <c r="M588" t="s">
        <v>23</v>
      </c>
      <c r="N588" s="1">
        <v>46119</v>
      </c>
      <c r="O588" s="1">
        <v>46117</v>
      </c>
      <c r="P588" s="5">
        <f>Orders[[#This Row],[Quantity]]*Orders[[#This Row],[Unit Price]]</f>
        <v>4497</v>
      </c>
      <c r="Q588" s="5">
        <f>Orders[[#This Row],[Gross Sales]]*Orders[[#This Row],[Discount %]]</f>
        <v>674.55</v>
      </c>
      <c r="R588" s="5">
        <f>Orders[[#This Row],[Gross Sales]]-Orders[[#This Row],[Discount Amount]]</f>
        <v>3822.45</v>
      </c>
      <c r="S588">
        <f>IF(Orders[[#This Row],[Actual Delivery Date]]="","",Orders[[#This Row],[Actual Delivery Date]]-Orders[[#This Row],[Order Date]])</f>
        <v>3</v>
      </c>
      <c r="T588" t="str">
        <f>IF(Orders[[#This Row],[Actual Delivery Date]]="","Pending",IF(Orders[[#This Row],[Actual Delivery Date]]&lt;=Orders[[#This Row],[Expected Delivery Date]],"On Time","Late"))</f>
        <v>On Time</v>
      </c>
      <c r="U588" t="str">
        <f>TEXT(Orders[[#This Row],[Order Date]],"mmm")</f>
        <v>Apr</v>
      </c>
      <c r="V588" s="8">
        <f>DATE(YEAR(Orders[[#This Row],[Order Date]]),MONTH(Orders[[#This Row],[Order Date]]),1)</f>
        <v>46113</v>
      </c>
      <c r="W588" s="5">
        <f>IF(Orders[[#This Row],[Order Status]]="Cancelled",Orders[[#This Row],[Net Sales]],0)</f>
        <v>0</v>
      </c>
    </row>
    <row r="589" spans="1:23" x14ac:dyDescent="0.3">
      <c r="A589" t="s">
        <v>1180</v>
      </c>
      <c r="B589" s="7">
        <v>46131</v>
      </c>
      <c r="C589" t="s">
        <v>929</v>
      </c>
      <c r="D589" t="s">
        <v>983</v>
      </c>
      <c r="E589" t="s">
        <v>79</v>
      </c>
      <c r="F589" t="s">
        <v>80</v>
      </c>
      <c r="G589" t="s">
        <v>20</v>
      </c>
      <c r="H589" t="s">
        <v>21</v>
      </c>
      <c r="I589">
        <v>1</v>
      </c>
      <c r="J589" s="5">
        <v>1799</v>
      </c>
      <c r="K589" s="2">
        <v>0.2</v>
      </c>
      <c r="L589" t="s">
        <v>46</v>
      </c>
      <c r="M589" t="s">
        <v>82</v>
      </c>
      <c r="N589" s="1">
        <v>46138</v>
      </c>
      <c r="O589" s="1">
        <v>46136</v>
      </c>
      <c r="P589" s="5">
        <f>Orders[[#This Row],[Quantity]]*Orders[[#This Row],[Unit Price]]</f>
        <v>1799</v>
      </c>
      <c r="Q589" s="5">
        <f>Orders[[#This Row],[Gross Sales]]*Orders[[#This Row],[Discount %]]</f>
        <v>359.8</v>
      </c>
      <c r="R589" s="5">
        <f>Orders[[#This Row],[Gross Sales]]-Orders[[#This Row],[Discount Amount]]</f>
        <v>1439.2</v>
      </c>
      <c r="S589">
        <f>IF(Orders[[#This Row],[Actual Delivery Date]]="","",Orders[[#This Row],[Actual Delivery Date]]-Orders[[#This Row],[Order Date]])</f>
        <v>5</v>
      </c>
      <c r="T589" t="str">
        <f>IF(Orders[[#This Row],[Actual Delivery Date]]="","Pending",IF(Orders[[#This Row],[Actual Delivery Date]]&lt;=Orders[[#This Row],[Expected Delivery Date]],"On Time","Late"))</f>
        <v>On Time</v>
      </c>
      <c r="U589" t="str">
        <f>TEXT(Orders[[#This Row],[Order Date]],"mmm")</f>
        <v>Apr</v>
      </c>
      <c r="V589" s="8">
        <f>DATE(YEAR(Orders[[#This Row],[Order Date]]),MONTH(Orders[[#This Row],[Order Date]]),1)</f>
        <v>46113</v>
      </c>
      <c r="W589" s="5">
        <f>IF(Orders[[#This Row],[Order Status]]="Cancelled",Orders[[#This Row],[Net Sales]],0)</f>
        <v>0</v>
      </c>
    </row>
    <row r="590" spans="1:23" x14ac:dyDescent="0.3">
      <c r="A590" t="s">
        <v>1181</v>
      </c>
      <c r="B590" s="7">
        <v>46358</v>
      </c>
      <c r="C590" t="s">
        <v>810</v>
      </c>
      <c r="D590" t="s">
        <v>343</v>
      </c>
      <c r="E590" t="s">
        <v>79</v>
      </c>
      <c r="F590" t="s">
        <v>86</v>
      </c>
      <c r="G590" t="s">
        <v>52</v>
      </c>
      <c r="H590" t="s">
        <v>45</v>
      </c>
      <c r="I590">
        <v>2</v>
      </c>
      <c r="J590" s="5">
        <v>1299</v>
      </c>
      <c r="K590" s="2">
        <v>0.15</v>
      </c>
      <c r="L590" t="s">
        <v>22</v>
      </c>
      <c r="M590" t="s">
        <v>59</v>
      </c>
      <c r="N590" s="1">
        <v>46363</v>
      </c>
      <c r="O590" s="1">
        <v>46363</v>
      </c>
      <c r="P590" s="5">
        <f>Orders[[#This Row],[Quantity]]*Orders[[#This Row],[Unit Price]]</f>
        <v>2598</v>
      </c>
      <c r="Q590" s="5">
        <f>Orders[[#This Row],[Gross Sales]]*Orders[[#This Row],[Discount %]]</f>
        <v>389.7</v>
      </c>
      <c r="R590" s="5">
        <f>Orders[[#This Row],[Gross Sales]]-Orders[[#This Row],[Discount Amount]]</f>
        <v>2208.3000000000002</v>
      </c>
      <c r="S590">
        <f>IF(Orders[[#This Row],[Actual Delivery Date]]="","",Orders[[#This Row],[Actual Delivery Date]]-Orders[[#This Row],[Order Date]])</f>
        <v>5</v>
      </c>
      <c r="T590" t="str">
        <f>IF(Orders[[#This Row],[Actual Delivery Date]]="","Pending",IF(Orders[[#This Row],[Actual Delivery Date]]&lt;=Orders[[#This Row],[Expected Delivery Date]],"On Time","Late"))</f>
        <v>On Time</v>
      </c>
      <c r="U590" t="str">
        <f>TEXT(Orders[[#This Row],[Order Date]],"mmm")</f>
        <v>Dec</v>
      </c>
      <c r="V590" s="8">
        <f>DATE(YEAR(Orders[[#This Row],[Order Date]]),MONTH(Orders[[#This Row],[Order Date]]),1)</f>
        <v>46357</v>
      </c>
      <c r="W590" s="5">
        <f>IF(Orders[[#This Row],[Order Status]]="Cancelled",Orders[[#This Row],[Net Sales]],0)</f>
        <v>2208.3000000000002</v>
      </c>
    </row>
    <row r="591" spans="1:23" x14ac:dyDescent="0.3">
      <c r="A591" t="s">
        <v>1182</v>
      </c>
      <c r="B591" s="7">
        <v>46030</v>
      </c>
      <c r="C591" t="s">
        <v>502</v>
      </c>
      <c r="D591" t="s">
        <v>1006</v>
      </c>
      <c r="E591" t="s">
        <v>35</v>
      </c>
      <c r="F591" t="s">
        <v>135</v>
      </c>
      <c r="G591" t="s">
        <v>37</v>
      </c>
      <c r="H591" t="s">
        <v>38</v>
      </c>
      <c r="I591">
        <v>1</v>
      </c>
      <c r="J591" s="5">
        <v>699</v>
      </c>
      <c r="K591" s="2">
        <v>0</v>
      </c>
      <c r="L591" t="s">
        <v>31</v>
      </c>
      <c r="M591" t="s">
        <v>82</v>
      </c>
      <c r="N591" s="1">
        <v>46032</v>
      </c>
      <c r="O591" s="1">
        <v>46031</v>
      </c>
      <c r="P591" s="5">
        <f>Orders[[#This Row],[Quantity]]*Orders[[#This Row],[Unit Price]]</f>
        <v>699</v>
      </c>
      <c r="Q591" s="5">
        <f>Orders[[#This Row],[Gross Sales]]*Orders[[#This Row],[Discount %]]</f>
        <v>0</v>
      </c>
      <c r="R591" s="5">
        <f>Orders[[#This Row],[Gross Sales]]-Orders[[#This Row],[Discount Amount]]</f>
        <v>699</v>
      </c>
      <c r="S591">
        <f>IF(Orders[[#This Row],[Actual Delivery Date]]="","",Orders[[#This Row],[Actual Delivery Date]]-Orders[[#This Row],[Order Date]])</f>
        <v>1</v>
      </c>
      <c r="T591" t="str">
        <f>IF(Orders[[#This Row],[Actual Delivery Date]]="","Pending",IF(Orders[[#This Row],[Actual Delivery Date]]&lt;=Orders[[#This Row],[Expected Delivery Date]],"On Time","Late"))</f>
        <v>On Time</v>
      </c>
      <c r="U591" t="str">
        <f>TEXT(Orders[[#This Row],[Order Date]],"mmm")</f>
        <v>Jan</v>
      </c>
      <c r="V591" s="8">
        <f>DATE(YEAR(Orders[[#This Row],[Order Date]]),MONTH(Orders[[#This Row],[Order Date]]),1)</f>
        <v>46023</v>
      </c>
      <c r="W591" s="5">
        <f>IF(Orders[[#This Row],[Order Status]]="Cancelled",Orders[[#This Row],[Net Sales]],0)</f>
        <v>0</v>
      </c>
    </row>
    <row r="592" spans="1:23" x14ac:dyDescent="0.3">
      <c r="A592" t="s">
        <v>1183</v>
      </c>
      <c r="B592" s="7">
        <v>46098</v>
      </c>
      <c r="C592" t="s">
        <v>590</v>
      </c>
      <c r="D592" t="s">
        <v>966</v>
      </c>
      <c r="E592" t="s">
        <v>27</v>
      </c>
      <c r="F592" t="s">
        <v>28</v>
      </c>
      <c r="G592" t="s">
        <v>218</v>
      </c>
      <c r="H592" t="s">
        <v>21</v>
      </c>
      <c r="I592">
        <v>2</v>
      </c>
      <c r="J592" s="5">
        <v>2999</v>
      </c>
      <c r="K592" s="2">
        <v>0</v>
      </c>
      <c r="L592" t="s">
        <v>39</v>
      </c>
      <c r="M592" t="s">
        <v>23</v>
      </c>
      <c r="N592" s="1">
        <v>46101</v>
      </c>
      <c r="O592" s="1">
        <v>46100</v>
      </c>
      <c r="P592" s="5">
        <f>Orders[[#This Row],[Quantity]]*Orders[[#This Row],[Unit Price]]</f>
        <v>5998</v>
      </c>
      <c r="Q592" s="5">
        <f>Orders[[#This Row],[Gross Sales]]*Orders[[#This Row],[Discount %]]</f>
        <v>0</v>
      </c>
      <c r="R592" s="5">
        <f>Orders[[#This Row],[Gross Sales]]-Orders[[#This Row],[Discount Amount]]</f>
        <v>5998</v>
      </c>
      <c r="S592">
        <f>IF(Orders[[#This Row],[Actual Delivery Date]]="","",Orders[[#This Row],[Actual Delivery Date]]-Orders[[#This Row],[Order Date]])</f>
        <v>2</v>
      </c>
      <c r="T592" t="str">
        <f>IF(Orders[[#This Row],[Actual Delivery Date]]="","Pending",IF(Orders[[#This Row],[Actual Delivery Date]]&lt;=Orders[[#This Row],[Expected Delivery Date]],"On Time","Late"))</f>
        <v>On Time</v>
      </c>
      <c r="U592" t="str">
        <f>TEXT(Orders[[#This Row],[Order Date]],"mmm")</f>
        <v>Mar</v>
      </c>
      <c r="V592" s="8">
        <f>DATE(YEAR(Orders[[#This Row],[Order Date]]),MONTH(Orders[[#This Row],[Order Date]]),1)</f>
        <v>46082</v>
      </c>
      <c r="W592" s="5">
        <f>IF(Orders[[#This Row],[Order Status]]="Cancelled",Orders[[#This Row],[Net Sales]],0)</f>
        <v>0</v>
      </c>
    </row>
    <row r="593" spans="1:23" x14ac:dyDescent="0.3">
      <c r="A593" t="s">
        <v>1184</v>
      </c>
      <c r="B593" s="7">
        <v>46126</v>
      </c>
      <c r="C593" t="s">
        <v>558</v>
      </c>
      <c r="D593" t="s">
        <v>1166</v>
      </c>
      <c r="E593" t="s">
        <v>18</v>
      </c>
      <c r="F593" t="s">
        <v>43</v>
      </c>
      <c r="G593" t="s">
        <v>29</v>
      </c>
      <c r="H593" t="s">
        <v>30</v>
      </c>
      <c r="I593">
        <v>1</v>
      </c>
      <c r="J593" s="5">
        <v>599</v>
      </c>
      <c r="K593" s="2">
        <v>0.15</v>
      </c>
      <c r="L593" t="s">
        <v>39</v>
      </c>
      <c r="M593" t="s">
        <v>23</v>
      </c>
      <c r="N593" s="1">
        <v>46128</v>
      </c>
      <c r="O593" s="1">
        <v>46128</v>
      </c>
      <c r="P593" s="5">
        <f>Orders[[#This Row],[Quantity]]*Orders[[#This Row],[Unit Price]]</f>
        <v>599</v>
      </c>
      <c r="Q593" s="5">
        <f>Orders[[#This Row],[Gross Sales]]*Orders[[#This Row],[Discount %]]</f>
        <v>89.85</v>
      </c>
      <c r="R593" s="5">
        <f>Orders[[#This Row],[Gross Sales]]-Orders[[#This Row],[Discount Amount]]</f>
        <v>509.15</v>
      </c>
      <c r="S593">
        <f>IF(Orders[[#This Row],[Actual Delivery Date]]="","",Orders[[#This Row],[Actual Delivery Date]]-Orders[[#This Row],[Order Date]])</f>
        <v>2</v>
      </c>
      <c r="T593" t="str">
        <f>IF(Orders[[#This Row],[Actual Delivery Date]]="","Pending",IF(Orders[[#This Row],[Actual Delivery Date]]&lt;=Orders[[#This Row],[Expected Delivery Date]],"On Time","Late"))</f>
        <v>On Time</v>
      </c>
      <c r="U593" t="str">
        <f>TEXT(Orders[[#This Row],[Order Date]],"mmm")</f>
        <v>Apr</v>
      </c>
      <c r="V593" s="8">
        <f>DATE(YEAR(Orders[[#This Row],[Order Date]]),MONTH(Orders[[#This Row],[Order Date]]),1)</f>
        <v>46113</v>
      </c>
      <c r="W593" s="5">
        <f>IF(Orders[[#This Row],[Order Status]]="Cancelled",Orders[[#This Row],[Net Sales]],0)</f>
        <v>0</v>
      </c>
    </row>
    <row r="594" spans="1:23" x14ac:dyDescent="0.3">
      <c r="A594" t="s">
        <v>1185</v>
      </c>
      <c r="B594" s="7">
        <v>46271</v>
      </c>
      <c r="C594" t="s">
        <v>879</v>
      </c>
      <c r="D594" t="s">
        <v>254</v>
      </c>
      <c r="E594" t="s">
        <v>35</v>
      </c>
      <c r="F594" t="s">
        <v>135</v>
      </c>
      <c r="G594" t="s">
        <v>57</v>
      </c>
      <c r="H594" t="s">
        <v>58</v>
      </c>
      <c r="I594">
        <v>2</v>
      </c>
      <c r="J594" s="5">
        <v>499</v>
      </c>
      <c r="K594" s="2">
        <v>0.2</v>
      </c>
      <c r="L594" t="s">
        <v>70</v>
      </c>
      <c r="M594" t="s">
        <v>23</v>
      </c>
      <c r="N594" s="1">
        <v>46278</v>
      </c>
      <c r="O594" s="1">
        <v>46272</v>
      </c>
      <c r="P594" s="5">
        <f>Orders[[#This Row],[Quantity]]*Orders[[#This Row],[Unit Price]]</f>
        <v>998</v>
      </c>
      <c r="Q594" s="5">
        <f>Orders[[#This Row],[Gross Sales]]*Orders[[#This Row],[Discount %]]</f>
        <v>199.60000000000002</v>
      </c>
      <c r="R594" s="5">
        <f>Orders[[#This Row],[Gross Sales]]-Orders[[#This Row],[Discount Amount]]</f>
        <v>798.4</v>
      </c>
      <c r="S594">
        <f>IF(Orders[[#This Row],[Actual Delivery Date]]="","",Orders[[#This Row],[Actual Delivery Date]]-Orders[[#This Row],[Order Date]])</f>
        <v>1</v>
      </c>
      <c r="T594" t="str">
        <f>IF(Orders[[#This Row],[Actual Delivery Date]]="","Pending",IF(Orders[[#This Row],[Actual Delivery Date]]&lt;=Orders[[#This Row],[Expected Delivery Date]],"On Time","Late"))</f>
        <v>On Time</v>
      </c>
      <c r="U594" t="str">
        <f>TEXT(Orders[[#This Row],[Order Date]],"mmm")</f>
        <v>Sep</v>
      </c>
      <c r="V594" s="8">
        <f>DATE(YEAR(Orders[[#This Row],[Order Date]]),MONTH(Orders[[#This Row],[Order Date]]),1)</f>
        <v>46266</v>
      </c>
      <c r="W594" s="5">
        <f>IF(Orders[[#This Row],[Order Status]]="Cancelled",Orders[[#This Row],[Net Sales]],0)</f>
        <v>0</v>
      </c>
    </row>
    <row r="595" spans="1:23" x14ac:dyDescent="0.3">
      <c r="A595" t="s">
        <v>1186</v>
      </c>
      <c r="B595" s="7">
        <v>46265</v>
      </c>
      <c r="C595" t="s">
        <v>1070</v>
      </c>
      <c r="D595" t="s">
        <v>476</v>
      </c>
      <c r="E595" t="s">
        <v>35</v>
      </c>
      <c r="F595" t="s">
        <v>135</v>
      </c>
      <c r="G595" t="s">
        <v>218</v>
      </c>
      <c r="H595" t="s">
        <v>21</v>
      </c>
      <c r="I595">
        <v>1</v>
      </c>
      <c r="J595" s="5">
        <v>2999</v>
      </c>
      <c r="K595" s="2">
        <v>0.2</v>
      </c>
      <c r="L595" t="s">
        <v>46</v>
      </c>
      <c r="M595" t="s">
        <v>23</v>
      </c>
      <c r="N595" s="1">
        <v>46272</v>
      </c>
      <c r="O595" s="1">
        <v>46267</v>
      </c>
      <c r="P595" s="5">
        <f>Orders[[#This Row],[Quantity]]*Orders[[#This Row],[Unit Price]]</f>
        <v>2999</v>
      </c>
      <c r="Q595" s="5">
        <f>Orders[[#This Row],[Gross Sales]]*Orders[[#This Row],[Discount %]]</f>
        <v>599.80000000000007</v>
      </c>
      <c r="R595" s="5">
        <f>Orders[[#This Row],[Gross Sales]]-Orders[[#This Row],[Discount Amount]]</f>
        <v>2399.1999999999998</v>
      </c>
      <c r="S595">
        <f>IF(Orders[[#This Row],[Actual Delivery Date]]="","",Orders[[#This Row],[Actual Delivery Date]]-Orders[[#This Row],[Order Date]])</f>
        <v>2</v>
      </c>
      <c r="T595" t="str">
        <f>IF(Orders[[#This Row],[Actual Delivery Date]]="","Pending",IF(Orders[[#This Row],[Actual Delivery Date]]&lt;=Orders[[#This Row],[Expected Delivery Date]],"On Time","Late"))</f>
        <v>On Time</v>
      </c>
      <c r="U595" t="str">
        <f>TEXT(Orders[[#This Row],[Order Date]],"mmm")</f>
        <v>Aug</v>
      </c>
      <c r="V595" s="8">
        <f>DATE(YEAR(Orders[[#This Row],[Order Date]]),MONTH(Orders[[#This Row],[Order Date]]),1)</f>
        <v>46235</v>
      </c>
      <c r="W595" s="5">
        <f>IF(Orders[[#This Row],[Order Status]]="Cancelled",Orders[[#This Row],[Net Sales]],0)</f>
        <v>0</v>
      </c>
    </row>
    <row r="596" spans="1:23" x14ac:dyDescent="0.3">
      <c r="A596" t="s">
        <v>1187</v>
      </c>
      <c r="B596" s="7">
        <v>46282</v>
      </c>
      <c r="C596" t="s">
        <v>1188</v>
      </c>
      <c r="D596" t="s">
        <v>1032</v>
      </c>
      <c r="E596" t="s">
        <v>79</v>
      </c>
      <c r="F596" t="s">
        <v>80</v>
      </c>
      <c r="G596" t="s">
        <v>180</v>
      </c>
      <c r="H596" t="s">
        <v>58</v>
      </c>
      <c r="I596">
        <v>1</v>
      </c>
      <c r="J596" s="5">
        <v>599</v>
      </c>
      <c r="K596" s="2">
        <v>0.1</v>
      </c>
      <c r="L596" t="s">
        <v>22</v>
      </c>
      <c r="M596" t="s">
        <v>82</v>
      </c>
      <c r="N596" s="1">
        <v>46289</v>
      </c>
      <c r="O596" s="1">
        <v>46284</v>
      </c>
      <c r="P596" s="5">
        <f>Orders[[#This Row],[Quantity]]*Orders[[#This Row],[Unit Price]]</f>
        <v>599</v>
      </c>
      <c r="Q596" s="5">
        <f>Orders[[#This Row],[Gross Sales]]*Orders[[#This Row],[Discount %]]</f>
        <v>59.900000000000006</v>
      </c>
      <c r="R596" s="5">
        <f>Orders[[#This Row],[Gross Sales]]-Orders[[#This Row],[Discount Amount]]</f>
        <v>539.1</v>
      </c>
      <c r="S596">
        <f>IF(Orders[[#This Row],[Actual Delivery Date]]="","",Orders[[#This Row],[Actual Delivery Date]]-Orders[[#This Row],[Order Date]])</f>
        <v>2</v>
      </c>
      <c r="T596" t="str">
        <f>IF(Orders[[#This Row],[Actual Delivery Date]]="","Pending",IF(Orders[[#This Row],[Actual Delivery Date]]&lt;=Orders[[#This Row],[Expected Delivery Date]],"On Time","Late"))</f>
        <v>On Time</v>
      </c>
      <c r="U596" t="str">
        <f>TEXT(Orders[[#This Row],[Order Date]],"mmm")</f>
        <v>Sep</v>
      </c>
      <c r="V596" s="8">
        <f>DATE(YEAR(Orders[[#This Row],[Order Date]]),MONTH(Orders[[#This Row],[Order Date]]),1)</f>
        <v>46266</v>
      </c>
      <c r="W596" s="5">
        <f>IF(Orders[[#This Row],[Order Status]]="Cancelled",Orders[[#This Row],[Net Sales]],0)</f>
        <v>0</v>
      </c>
    </row>
    <row r="597" spans="1:23" x14ac:dyDescent="0.3">
      <c r="A597" t="s">
        <v>1189</v>
      </c>
      <c r="B597" s="7">
        <v>46341</v>
      </c>
      <c r="C597" t="s">
        <v>256</v>
      </c>
      <c r="D597" t="s">
        <v>1128</v>
      </c>
      <c r="E597" t="s">
        <v>79</v>
      </c>
      <c r="F597" t="s">
        <v>80</v>
      </c>
      <c r="G597" t="s">
        <v>180</v>
      </c>
      <c r="H597" t="s">
        <v>58</v>
      </c>
      <c r="I597">
        <v>1</v>
      </c>
      <c r="J597" s="5">
        <v>599</v>
      </c>
      <c r="K597" s="2">
        <v>0</v>
      </c>
      <c r="L597" t="s">
        <v>70</v>
      </c>
      <c r="M597" t="s">
        <v>23</v>
      </c>
      <c r="N597" s="1">
        <v>46344</v>
      </c>
      <c r="O597" s="1">
        <v>46344</v>
      </c>
      <c r="P597" s="5">
        <f>Orders[[#This Row],[Quantity]]*Orders[[#This Row],[Unit Price]]</f>
        <v>599</v>
      </c>
      <c r="Q597" s="5">
        <f>Orders[[#This Row],[Gross Sales]]*Orders[[#This Row],[Discount %]]</f>
        <v>0</v>
      </c>
      <c r="R597" s="5">
        <f>Orders[[#This Row],[Gross Sales]]-Orders[[#This Row],[Discount Amount]]</f>
        <v>599</v>
      </c>
      <c r="S597">
        <f>IF(Orders[[#This Row],[Actual Delivery Date]]="","",Orders[[#This Row],[Actual Delivery Date]]-Orders[[#This Row],[Order Date]])</f>
        <v>3</v>
      </c>
      <c r="T597" t="str">
        <f>IF(Orders[[#This Row],[Actual Delivery Date]]="","Pending",IF(Orders[[#This Row],[Actual Delivery Date]]&lt;=Orders[[#This Row],[Expected Delivery Date]],"On Time","Late"))</f>
        <v>On Time</v>
      </c>
      <c r="U597" t="str">
        <f>TEXT(Orders[[#This Row],[Order Date]],"mmm")</f>
        <v>Nov</v>
      </c>
      <c r="V597" s="8">
        <f>DATE(YEAR(Orders[[#This Row],[Order Date]]),MONTH(Orders[[#This Row],[Order Date]]),1)</f>
        <v>46327</v>
      </c>
      <c r="W597" s="5">
        <f>IF(Orders[[#This Row],[Order Status]]="Cancelled",Orders[[#This Row],[Net Sales]],0)</f>
        <v>0</v>
      </c>
    </row>
    <row r="598" spans="1:23" x14ac:dyDescent="0.3">
      <c r="A598" t="s">
        <v>1190</v>
      </c>
      <c r="B598" s="7">
        <v>46130</v>
      </c>
      <c r="C598" t="s">
        <v>853</v>
      </c>
      <c r="D598" t="s">
        <v>55</v>
      </c>
      <c r="E598" t="s">
        <v>79</v>
      </c>
      <c r="F598" t="s">
        <v>170</v>
      </c>
      <c r="G598" t="s">
        <v>20</v>
      </c>
      <c r="H598" t="s">
        <v>21</v>
      </c>
      <c r="I598">
        <v>2</v>
      </c>
      <c r="J598" s="5">
        <v>1799</v>
      </c>
      <c r="K598" s="2">
        <v>0</v>
      </c>
      <c r="L598" t="s">
        <v>46</v>
      </c>
      <c r="M598" t="s">
        <v>23</v>
      </c>
      <c r="N598" s="1">
        <v>46134</v>
      </c>
      <c r="O598" s="1">
        <v>46132</v>
      </c>
      <c r="P598" s="5">
        <f>Orders[[#This Row],[Quantity]]*Orders[[#This Row],[Unit Price]]</f>
        <v>3598</v>
      </c>
      <c r="Q598" s="5">
        <f>Orders[[#This Row],[Gross Sales]]*Orders[[#This Row],[Discount %]]</f>
        <v>0</v>
      </c>
      <c r="R598" s="5">
        <f>Orders[[#This Row],[Gross Sales]]-Orders[[#This Row],[Discount Amount]]</f>
        <v>3598</v>
      </c>
      <c r="S598">
        <f>IF(Orders[[#This Row],[Actual Delivery Date]]="","",Orders[[#This Row],[Actual Delivery Date]]-Orders[[#This Row],[Order Date]])</f>
        <v>2</v>
      </c>
      <c r="T598" t="str">
        <f>IF(Orders[[#This Row],[Actual Delivery Date]]="","Pending",IF(Orders[[#This Row],[Actual Delivery Date]]&lt;=Orders[[#This Row],[Expected Delivery Date]],"On Time","Late"))</f>
        <v>On Time</v>
      </c>
      <c r="U598" t="str">
        <f>TEXT(Orders[[#This Row],[Order Date]],"mmm")</f>
        <v>Apr</v>
      </c>
      <c r="V598" s="8">
        <f>DATE(YEAR(Orders[[#This Row],[Order Date]]),MONTH(Orders[[#This Row],[Order Date]]),1)</f>
        <v>46113</v>
      </c>
      <c r="W598" s="5">
        <f>IF(Orders[[#This Row],[Order Status]]="Cancelled",Orders[[#This Row],[Net Sales]],0)</f>
        <v>0</v>
      </c>
    </row>
    <row r="599" spans="1:23" x14ac:dyDescent="0.3">
      <c r="A599" t="s">
        <v>1191</v>
      </c>
      <c r="B599" s="7">
        <v>46339</v>
      </c>
      <c r="C599" t="s">
        <v>1043</v>
      </c>
      <c r="D599" t="s">
        <v>335</v>
      </c>
      <c r="E599" t="s">
        <v>18</v>
      </c>
      <c r="F599" t="s">
        <v>121</v>
      </c>
      <c r="G599" t="s">
        <v>147</v>
      </c>
      <c r="H599" t="s">
        <v>58</v>
      </c>
      <c r="I599">
        <v>1</v>
      </c>
      <c r="J599" s="5">
        <v>399</v>
      </c>
      <c r="K599" s="2">
        <v>0.2</v>
      </c>
      <c r="L599" t="s">
        <v>31</v>
      </c>
      <c r="M599" t="s">
        <v>23</v>
      </c>
      <c r="N599" s="1">
        <v>46343</v>
      </c>
      <c r="O599" s="1">
        <v>46346</v>
      </c>
      <c r="P599" s="5">
        <f>Orders[[#This Row],[Quantity]]*Orders[[#This Row],[Unit Price]]</f>
        <v>399</v>
      </c>
      <c r="Q599" s="5">
        <f>Orders[[#This Row],[Gross Sales]]*Orders[[#This Row],[Discount %]]</f>
        <v>79.800000000000011</v>
      </c>
      <c r="R599" s="5">
        <f>Orders[[#This Row],[Gross Sales]]-Orders[[#This Row],[Discount Amount]]</f>
        <v>319.2</v>
      </c>
      <c r="S599">
        <f>IF(Orders[[#This Row],[Actual Delivery Date]]="","",Orders[[#This Row],[Actual Delivery Date]]-Orders[[#This Row],[Order Date]])</f>
        <v>7</v>
      </c>
      <c r="T599" t="str">
        <f>IF(Orders[[#This Row],[Actual Delivery Date]]="","Pending",IF(Orders[[#This Row],[Actual Delivery Date]]&lt;=Orders[[#This Row],[Expected Delivery Date]],"On Time","Late"))</f>
        <v>Late</v>
      </c>
      <c r="U599" t="str">
        <f>TEXT(Orders[[#This Row],[Order Date]],"mmm")</f>
        <v>Nov</v>
      </c>
      <c r="V599" s="8">
        <f>DATE(YEAR(Orders[[#This Row],[Order Date]]),MONTH(Orders[[#This Row],[Order Date]]),1)</f>
        <v>46327</v>
      </c>
      <c r="W599" s="5">
        <f>IF(Orders[[#This Row],[Order Status]]="Cancelled",Orders[[#This Row],[Net Sales]],0)</f>
        <v>0</v>
      </c>
    </row>
    <row r="600" spans="1:23" x14ac:dyDescent="0.3">
      <c r="A600" t="s">
        <v>1192</v>
      </c>
      <c r="B600" s="7">
        <v>46365</v>
      </c>
      <c r="C600" t="s">
        <v>754</v>
      </c>
      <c r="D600" t="s">
        <v>539</v>
      </c>
      <c r="E600" t="s">
        <v>35</v>
      </c>
      <c r="F600" t="s">
        <v>68</v>
      </c>
      <c r="G600" t="s">
        <v>206</v>
      </c>
      <c r="H600" t="s">
        <v>30</v>
      </c>
      <c r="I600">
        <v>1</v>
      </c>
      <c r="J600" s="5">
        <v>1199</v>
      </c>
      <c r="K600" s="2">
        <v>0</v>
      </c>
      <c r="L600" t="s">
        <v>70</v>
      </c>
      <c r="M600" t="s">
        <v>82</v>
      </c>
      <c r="N600" s="1">
        <v>46370</v>
      </c>
      <c r="O600" s="1">
        <v>46371</v>
      </c>
      <c r="P600" s="5">
        <f>Orders[[#This Row],[Quantity]]*Orders[[#This Row],[Unit Price]]</f>
        <v>1199</v>
      </c>
      <c r="Q600" s="5">
        <f>Orders[[#This Row],[Gross Sales]]*Orders[[#This Row],[Discount %]]</f>
        <v>0</v>
      </c>
      <c r="R600" s="5">
        <f>Orders[[#This Row],[Gross Sales]]-Orders[[#This Row],[Discount Amount]]</f>
        <v>1199</v>
      </c>
      <c r="S600">
        <f>IF(Orders[[#This Row],[Actual Delivery Date]]="","",Orders[[#This Row],[Actual Delivery Date]]-Orders[[#This Row],[Order Date]])</f>
        <v>6</v>
      </c>
      <c r="T600" t="str">
        <f>IF(Orders[[#This Row],[Actual Delivery Date]]="","Pending",IF(Orders[[#This Row],[Actual Delivery Date]]&lt;=Orders[[#This Row],[Expected Delivery Date]],"On Time","Late"))</f>
        <v>Late</v>
      </c>
      <c r="U600" t="str">
        <f>TEXT(Orders[[#This Row],[Order Date]],"mmm")</f>
        <v>Dec</v>
      </c>
      <c r="V600" s="8">
        <f>DATE(YEAR(Orders[[#This Row],[Order Date]]),MONTH(Orders[[#This Row],[Order Date]]),1)</f>
        <v>46357</v>
      </c>
      <c r="W600" s="5">
        <f>IF(Orders[[#This Row],[Order Status]]="Cancelled",Orders[[#This Row],[Net Sales]],0)</f>
        <v>0</v>
      </c>
    </row>
    <row r="601" spans="1:23" x14ac:dyDescent="0.3">
      <c r="A601" t="s">
        <v>1193</v>
      </c>
      <c r="B601" s="7">
        <v>46128</v>
      </c>
      <c r="C601" t="s">
        <v>106</v>
      </c>
      <c r="D601" t="s">
        <v>211</v>
      </c>
      <c r="E601" t="s">
        <v>18</v>
      </c>
      <c r="F601" t="s">
        <v>19</v>
      </c>
      <c r="G601" t="s">
        <v>104</v>
      </c>
      <c r="H601" t="s">
        <v>38</v>
      </c>
      <c r="I601">
        <v>4</v>
      </c>
      <c r="J601" s="5">
        <v>999</v>
      </c>
      <c r="K601" s="2">
        <v>0.05</v>
      </c>
      <c r="L601" t="s">
        <v>46</v>
      </c>
      <c r="M601" t="s">
        <v>59</v>
      </c>
      <c r="N601" s="1">
        <v>46133</v>
      </c>
      <c r="O601" s="1">
        <v>46132</v>
      </c>
      <c r="P601" s="5">
        <f>Orders[[#This Row],[Quantity]]*Orders[[#This Row],[Unit Price]]</f>
        <v>3996</v>
      </c>
      <c r="Q601" s="5">
        <f>Orders[[#This Row],[Gross Sales]]*Orders[[#This Row],[Discount %]]</f>
        <v>199.8</v>
      </c>
      <c r="R601" s="5">
        <f>Orders[[#This Row],[Gross Sales]]-Orders[[#This Row],[Discount Amount]]</f>
        <v>3796.2</v>
      </c>
      <c r="S601">
        <f>IF(Orders[[#This Row],[Actual Delivery Date]]="","",Orders[[#This Row],[Actual Delivery Date]]-Orders[[#This Row],[Order Date]])</f>
        <v>4</v>
      </c>
      <c r="T601" t="str">
        <f>IF(Orders[[#This Row],[Actual Delivery Date]]="","Pending",IF(Orders[[#This Row],[Actual Delivery Date]]&lt;=Orders[[#This Row],[Expected Delivery Date]],"On Time","Late"))</f>
        <v>On Time</v>
      </c>
      <c r="U601" t="str">
        <f>TEXT(Orders[[#This Row],[Order Date]],"mmm")</f>
        <v>Apr</v>
      </c>
      <c r="V601" s="8">
        <f>DATE(YEAR(Orders[[#This Row],[Order Date]]),MONTH(Orders[[#This Row],[Order Date]]),1)</f>
        <v>46113</v>
      </c>
      <c r="W601" s="5">
        <f>IF(Orders[[#This Row],[Order Status]]="Cancelled",Orders[[#This Row],[Net Sales]],0)</f>
        <v>3796.2</v>
      </c>
    </row>
    <row r="602" spans="1:23" x14ac:dyDescent="0.3">
      <c r="A602" t="s">
        <v>1194</v>
      </c>
      <c r="B602" s="7">
        <v>46126</v>
      </c>
      <c r="C602" t="s">
        <v>435</v>
      </c>
      <c r="D602" t="s">
        <v>534</v>
      </c>
      <c r="E602" t="s">
        <v>35</v>
      </c>
      <c r="F602" t="s">
        <v>36</v>
      </c>
      <c r="G602" t="s">
        <v>104</v>
      </c>
      <c r="H602" t="s">
        <v>38</v>
      </c>
      <c r="I602">
        <v>1</v>
      </c>
      <c r="J602" s="5">
        <v>999</v>
      </c>
      <c r="K602" s="2">
        <v>0.15</v>
      </c>
      <c r="L602" t="s">
        <v>39</v>
      </c>
      <c r="M602" t="s">
        <v>23</v>
      </c>
      <c r="N602" s="1">
        <v>46131</v>
      </c>
      <c r="O602" s="1">
        <v>46131</v>
      </c>
      <c r="P602" s="5">
        <f>Orders[[#This Row],[Quantity]]*Orders[[#This Row],[Unit Price]]</f>
        <v>999</v>
      </c>
      <c r="Q602" s="5">
        <f>Orders[[#This Row],[Gross Sales]]*Orders[[#This Row],[Discount %]]</f>
        <v>149.85</v>
      </c>
      <c r="R602" s="5">
        <f>Orders[[#This Row],[Gross Sales]]-Orders[[#This Row],[Discount Amount]]</f>
        <v>849.15</v>
      </c>
      <c r="S602">
        <f>IF(Orders[[#This Row],[Actual Delivery Date]]="","",Orders[[#This Row],[Actual Delivery Date]]-Orders[[#This Row],[Order Date]])</f>
        <v>5</v>
      </c>
      <c r="T602" t="str">
        <f>IF(Orders[[#This Row],[Actual Delivery Date]]="","Pending",IF(Orders[[#This Row],[Actual Delivery Date]]&lt;=Orders[[#This Row],[Expected Delivery Date]],"On Time","Late"))</f>
        <v>On Time</v>
      </c>
      <c r="U602" t="str">
        <f>TEXT(Orders[[#This Row],[Order Date]],"mmm")</f>
        <v>Apr</v>
      </c>
      <c r="V602" s="8">
        <f>DATE(YEAR(Orders[[#This Row],[Order Date]]),MONTH(Orders[[#This Row],[Order Date]]),1)</f>
        <v>46113</v>
      </c>
      <c r="W602" s="5">
        <f>IF(Orders[[#This Row],[Order Status]]="Cancelled",Orders[[#This Row],[Net Sales]],0)</f>
        <v>0</v>
      </c>
    </row>
    <row r="603" spans="1:23" x14ac:dyDescent="0.3">
      <c r="A603" t="s">
        <v>1195</v>
      </c>
      <c r="B603" s="7">
        <v>46345</v>
      </c>
      <c r="C603" t="s">
        <v>262</v>
      </c>
      <c r="D603" t="s">
        <v>428</v>
      </c>
      <c r="E603" t="s">
        <v>35</v>
      </c>
      <c r="F603" t="s">
        <v>36</v>
      </c>
      <c r="G603" t="s">
        <v>118</v>
      </c>
      <c r="H603" t="s">
        <v>58</v>
      </c>
      <c r="I603">
        <v>2</v>
      </c>
      <c r="J603" s="5">
        <v>749</v>
      </c>
      <c r="K603" s="2">
        <v>0.05</v>
      </c>
      <c r="L603" t="s">
        <v>22</v>
      </c>
      <c r="M603" t="s">
        <v>23</v>
      </c>
      <c r="N603" s="1">
        <v>46348</v>
      </c>
      <c r="O603" s="1">
        <v>46347</v>
      </c>
      <c r="P603" s="5">
        <f>Orders[[#This Row],[Quantity]]*Orders[[#This Row],[Unit Price]]</f>
        <v>1498</v>
      </c>
      <c r="Q603" s="5">
        <f>Orders[[#This Row],[Gross Sales]]*Orders[[#This Row],[Discount %]]</f>
        <v>74.900000000000006</v>
      </c>
      <c r="R603" s="5">
        <f>Orders[[#This Row],[Gross Sales]]-Orders[[#This Row],[Discount Amount]]</f>
        <v>1423.1</v>
      </c>
      <c r="S603">
        <f>IF(Orders[[#This Row],[Actual Delivery Date]]="","",Orders[[#This Row],[Actual Delivery Date]]-Orders[[#This Row],[Order Date]])</f>
        <v>2</v>
      </c>
      <c r="T603" t="str">
        <f>IF(Orders[[#This Row],[Actual Delivery Date]]="","Pending",IF(Orders[[#This Row],[Actual Delivery Date]]&lt;=Orders[[#This Row],[Expected Delivery Date]],"On Time","Late"))</f>
        <v>On Time</v>
      </c>
      <c r="U603" t="str">
        <f>TEXT(Orders[[#This Row],[Order Date]],"mmm")</f>
        <v>Nov</v>
      </c>
      <c r="V603" s="8">
        <f>DATE(YEAR(Orders[[#This Row],[Order Date]]),MONTH(Orders[[#This Row],[Order Date]]),1)</f>
        <v>46327</v>
      </c>
      <c r="W603" s="5">
        <f>IF(Orders[[#This Row],[Order Status]]="Cancelled",Orders[[#This Row],[Net Sales]],0)</f>
        <v>0</v>
      </c>
    </row>
    <row r="604" spans="1:23" x14ac:dyDescent="0.3">
      <c r="A604" t="s">
        <v>1196</v>
      </c>
      <c r="B604" s="7">
        <v>46097</v>
      </c>
      <c r="C604" t="s">
        <v>77</v>
      </c>
      <c r="D604" t="s">
        <v>107</v>
      </c>
      <c r="E604" t="s">
        <v>79</v>
      </c>
      <c r="F604" t="s">
        <v>80</v>
      </c>
      <c r="G604" t="s">
        <v>160</v>
      </c>
      <c r="H604" t="s">
        <v>45</v>
      </c>
      <c r="I604">
        <v>3</v>
      </c>
      <c r="J604" s="5">
        <v>1499</v>
      </c>
      <c r="K604" s="2">
        <v>0.2</v>
      </c>
      <c r="L604" t="s">
        <v>39</v>
      </c>
      <c r="M604" t="s">
        <v>23</v>
      </c>
      <c r="N604" s="1">
        <v>46101</v>
      </c>
      <c r="O604" s="1">
        <v>46099</v>
      </c>
      <c r="P604" s="5">
        <f>Orders[[#This Row],[Quantity]]*Orders[[#This Row],[Unit Price]]</f>
        <v>4497</v>
      </c>
      <c r="Q604" s="5">
        <f>Orders[[#This Row],[Gross Sales]]*Orders[[#This Row],[Discount %]]</f>
        <v>899.40000000000009</v>
      </c>
      <c r="R604" s="5">
        <f>Orders[[#This Row],[Gross Sales]]-Orders[[#This Row],[Discount Amount]]</f>
        <v>3597.6</v>
      </c>
      <c r="S604">
        <f>IF(Orders[[#This Row],[Actual Delivery Date]]="","",Orders[[#This Row],[Actual Delivery Date]]-Orders[[#This Row],[Order Date]])</f>
        <v>2</v>
      </c>
      <c r="T604" t="str">
        <f>IF(Orders[[#This Row],[Actual Delivery Date]]="","Pending",IF(Orders[[#This Row],[Actual Delivery Date]]&lt;=Orders[[#This Row],[Expected Delivery Date]],"On Time","Late"))</f>
        <v>On Time</v>
      </c>
      <c r="U604" t="str">
        <f>TEXT(Orders[[#This Row],[Order Date]],"mmm")</f>
        <v>Mar</v>
      </c>
      <c r="V604" s="8">
        <f>DATE(YEAR(Orders[[#This Row],[Order Date]]),MONTH(Orders[[#This Row],[Order Date]]),1)</f>
        <v>46082</v>
      </c>
      <c r="W604" s="5">
        <f>IF(Orders[[#This Row],[Order Status]]="Cancelled",Orders[[#This Row],[Net Sales]],0)</f>
        <v>0</v>
      </c>
    </row>
    <row r="605" spans="1:23" x14ac:dyDescent="0.3">
      <c r="A605" t="s">
        <v>1197</v>
      </c>
      <c r="B605" s="7">
        <v>46052</v>
      </c>
      <c r="C605" t="s">
        <v>158</v>
      </c>
      <c r="D605" t="s">
        <v>1122</v>
      </c>
      <c r="E605" t="s">
        <v>79</v>
      </c>
      <c r="F605" t="s">
        <v>86</v>
      </c>
      <c r="G605" t="s">
        <v>69</v>
      </c>
      <c r="H605" t="s">
        <v>38</v>
      </c>
      <c r="I605">
        <v>5</v>
      </c>
      <c r="J605" s="5">
        <v>3499</v>
      </c>
      <c r="K605" s="2">
        <v>0.2</v>
      </c>
      <c r="L605" t="s">
        <v>46</v>
      </c>
      <c r="M605" t="s">
        <v>23</v>
      </c>
      <c r="N605" s="1">
        <v>46057</v>
      </c>
      <c r="O605" s="1">
        <v>46060</v>
      </c>
      <c r="P605" s="5">
        <f>Orders[[#This Row],[Quantity]]*Orders[[#This Row],[Unit Price]]</f>
        <v>17495</v>
      </c>
      <c r="Q605" s="5">
        <f>Orders[[#This Row],[Gross Sales]]*Orders[[#This Row],[Discount %]]</f>
        <v>3499</v>
      </c>
      <c r="R605" s="5">
        <f>Orders[[#This Row],[Gross Sales]]-Orders[[#This Row],[Discount Amount]]</f>
        <v>13996</v>
      </c>
      <c r="S605">
        <f>IF(Orders[[#This Row],[Actual Delivery Date]]="","",Orders[[#This Row],[Actual Delivery Date]]-Orders[[#This Row],[Order Date]])</f>
        <v>8</v>
      </c>
      <c r="T605" t="str">
        <f>IF(Orders[[#This Row],[Actual Delivery Date]]="","Pending",IF(Orders[[#This Row],[Actual Delivery Date]]&lt;=Orders[[#This Row],[Expected Delivery Date]],"On Time","Late"))</f>
        <v>Late</v>
      </c>
      <c r="U605" t="str">
        <f>TEXT(Orders[[#This Row],[Order Date]],"mmm")</f>
        <v>Jan</v>
      </c>
      <c r="V605" s="8">
        <f>DATE(YEAR(Orders[[#This Row],[Order Date]]),MONTH(Orders[[#This Row],[Order Date]]),1)</f>
        <v>46023</v>
      </c>
      <c r="W605" s="5">
        <f>IF(Orders[[#This Row],[Order Status]]="Cancelled",Orders[[#This Row],[Net Sales]],0)</f>
        <v>0</v>
      </c>
    </row>
    <row r="606" spans="1:23" x14ac:dyDescent="0.3">
      <c r="A606" t="s">
        <v>1198</v>
      </c>
      <c r="B606" s="7">
        <v>46098</v>
      </c>
      <c r="C606" t="s">
        <v>341</v>
      </c>
      <c r="D606" t="s">
        <v>1122</v>
      </c>
      <c r="E606" t="s">
        <v>18</v>
      </c>
      <c r="F606" t="s">
        <v>121</v>
      </c>
      <c r="G606" t="s">
        <v>206</v>
      </c>
      <c r="H606" t="s">
        <v>30</v>
      </c>
      <c r="I606">
        <v>2</v>
      </c>
      <c r="J606" s="5">
        <v>1199</v>
      </c>
      <c r="K606" s="2">
        <v>0.15</v>
      </c>
      <c r="L606" t="s">
        <v>31</v>
      </c>
      <c r="M606" t="s">
        <v>47</v>
      </c>
      <c r="N606" s="1">
        <v>46104</v>
      </c>
      <c r="O606" s="1"/>
      <c r="P606" s="5">
        <f>Orders[[#This Row],[Quantity]]*Orders[[#This Row],[Unit Price]]</f>
        <v>2398</v>
      </c>
      <c r="Q606" s="5">
        <f>Orders[[#This Row],[Gross Sales]]*Orders[[#This Row],[Discount %]]</f>
        <v>359.7</v>
      </c>
      <c r="R606" s="5">
        <f>Orders[[#This Row],[Gross Sales]]-Orders[[#This Row],[Discount Amount]]</f>
        <v>2038.3</v>
      </c>
      <c r="S606" t="str">
        <f>IF(Orders[[#This Row],[Actual Delivery Date]]="","",Orders[[#This Row],[Actual Delivery Date]]-Orders[[#This Row],[Order Date]])</f>
        <v/>
      </c>
      <c r="T606" t="str">
        <f>IF(Orders[[#This Row],[Actual Delivery Date]]="","Pending",IF(Orders[[#This Row],[Actual Delivery Date]]&lt;=Orders[[#This Row],[Expected Delivery Date]],"On Time","Late"))</f>
        <v>Pending</v>
      </c>
      <c r="U606" t="str">
        <f>TEXT(Orders[[#This Row],[Order Date]],"mmm")</f>
        <v>Mar</v>
      </c>
      <c r="V606" s="8">
        <f>DATE(YEAR(Orders[[#This Row],[Order Date]]),MONTH(Orders[[#This Row],[Order Date]]),1)</f>
        <v>46082</v>
      </c>
      <c r="W606" s="5">
        <f>IF(Orders[[#This Row],[Order Status]]="Cancelled",Orders[[#This Row],[Net Sales]],0)</f>
        <v>0</v>
      </c>
    </row>
    <row r="607" spans="1:23" x14ac:dyDescent="0.3">
      <c r="A607" t="s">
        <v>1199</v>
      </c>
      <c r="B607" s="7">
        <v>46041</v>
      </c>
      <c r="C607" t="s">
        <v>987</v>
      </c>
      <c r="D607" t="s">
        <v>1106</v>
      </c>
      <c r="E607" t="s">
        <v>79</v>
      </c>
      <c r="F607" t="s">
        <v>108</v>
      </c>
      <c r="G607" t="s">
        <v>64</v>
      </c>
      <c r="H607" t="s">
        <v>21</v>
      </c>
      <c r="I607">
        <v>2</v>
      </c>
      <c r="J607" s="5">
        <v>699</v>
      </c>
      <c r="K607" s="2">
        <v>0.15</v>
      </c>
      <c r="L607" t="s">
        <v>31</v>
      </c>
      <c r="M607" t="s">
        <v>47</v>
      </c>
      <c r="N607" s="1">
        <v>46047</v>
      </c>
      <c r="O607" s="1"/>
      <c r="P607" s="5">
        <f>Orders[[#This Row],[Quantity]]*Orders[[#This Row],[Unit Price]]</f>
        <v>1398</v>
      </c>
      <c r="Q607" s="5">
        <f>Orders[[#This Row],[Gross Sales]]*Orders[[#This Row],[Discount %]]</f>
        <v>209.7</v>
      </c>
      <c r="R607" s="5">
        <f>Orders[[#This Row],[Gross Sales]]-Orders[[#This Row],[Discount Amount]]</f>
        <v>1188.3</v>
      </c>
      <c r="S607" t="str">
        <f>IF(Orders[[#This Row],[Actual Delivery Date]]="","",Orders[[#This Row],[Actual Delivery Date]]-Orders[[#This Row],[Order Date]])</f>
        <v/>
      </c>
      <c r="T607" t="str">
        <f>IF(Orders[[#This Row],[Actual Delivery Date]]="","Pending",IF(Orders[[#This Row],[Actual Delivery Date]]&lt;=Orders[[#This Row],[Expected Delivery Date]],"On Time","Late"))</f>
        <v>Pending</v>
      </c>
      <c r="U607" t="str">
        <f>TEXT(Orders[[#This Row],[Order Date]],"mmm")</f>
        <v>Jan</v>
      </c>
      <c r="V607" s="8">
        <f>DATE(YEAR(Orders[[#This Row],[Order Date]]),MONTH(Orders[[#This Row],[Order Date]]),1)</f>
        <v>46023</v>
      </c>
      <c r="W607" s="5">
        <f>IF(Orders[[#This Row],[Order Status]]="Cancelled",Orders[[#This Row],[Net Sales]],0)</f>
        <v>0</v>
      </c>
    </row>
    <row r="608" spans="1:23" x14ac:dyDescent="0.3">
      <c r="A608" t="s">
        <v>1200</v>
      </c>
      <c r="B608" s="7">
        <v>46348</v>
      </c>
      <c r="C608" t="s">
        <v>502</v>
      </c>
      <c r="D608" t="s">
        <v>1201</v>
      </c>
      <c r="E608" t="s">
        <v>18</v>
      </c>
      <c r="F608" t="s">
        <v>121</v>
      </c>
      <c r="G608" t="s">
        <v>91</v>
      </c>
      <c r="H608" t="s">
        <v>30</v>
      </c>
      <c r="I608">
        <v>1</v>
      </c>
      <c r="J608" s="5">
        <v>3299</v>
      </c>
      <c r="K608" s="2">
        <v>0</v>
      </c>
      <c r="L608" t="s">
        <v>22</v>
      </c>
      <c r="M608" t="s">
        <v>47</v>
      </c>
      <c r="N608" s="1">
        <v>46352</v>
      </c>
      <c r="O608" s="1"/>
      <c r="P608" s="5">
        <f>Orders[[#This Row],[Quantity]]*Orders[[#This Row],[Unit Price]]</f>
        <v>3299</v>
      </c>
      <c r="Q608" s="5">
        <f>Orders[[#This Row],[Gross Sales]]*Orders[[#This Row],[Discount %]]</f>
        <v>0</v>
      </c>
      <c r="R608" s="5">
        <f>Orders[[#This Row],[Gross Sales]]-Orders[[#This Row],[Discount Amount]]</f>
        <v>3299</v>
      </c>
      <c r="S608" t="str">
        <f>IF(Orders[[#This Row],[Actual Delivery Date]]="","",Orders[[#This Row],[Actual Delivery Date]]-Orders[[#This Row],[Order Date]])</f>
        <v/>
      </c>
      <c r="T608" t="str">
        <f>IF(Orders[[#This Row],[Actual Delivery Date]]="","Pending",IF(Orders[[#This Row],[Actual Delivery Date]]&lt;=Orders[[#This Row],[Expected Delivery Date]],"On Time","Late"))</f>
        <v>Pending</v>
      </c>
      <c r="U608" t="str">
        <f>TEXT(Orders[[#This Row],[Order Date]],"mmm")</f>
        <v>Nov</v>
      </c>
      <c r="V608" s="8">
        <f>DATE(YEAR(Orders[[#This Row],[Order Date]]),MONTH(Orders[[#This Row],[Order Date]]),1)</f>
        <v>46327</v>
      </c>
      <c r="W608" s="5">
        <f>IF(Orders[[#This Row],[Order Status]]="Cancelled",Orders[[#This Row],[Net Sales]],0)</f>
        <v>0</v>
      </c>
    </row>
    <row r="609" spans="1:23" x14ac:dyDescent="0.3">
      <c r="A609" t="s">
        <v>1202</v>
      </c>
      <c r="B609" s="7">
        <v>46155</v>
      </c>
      <c r="C609" t="s">
        <v>1203</v>
      </c>
      <c r="D609" t="s">
        <v>473</v>
      </c>
      <c r="E609" t="s">
        <v>79</v>
      </c>
      <c r="F609" t="s">
        <v>86</v>
      </c>
      <c r="G609" t="s">
        <v>153</v>
      </c>
      <c r="H609" t="s">
        <v>45</v>
      </c>
      <c r="I609">
        <v>2</v>
      </c>
      <c r="J609" s="5">
        <v>1999</v>
      </c>
      <c r="K609" s="2">
        <v>0.1</v>
      </c>
      <c r="L609" t="s">
        <v>39</v>
      </c>
      <c r="M609" t="s">
        <v>23</v>
      </c>
      <c r="N609" s="1">
        <v>46162</v>
      </c>
      <c r="O609" s="1">
        <v>46166</v>
      </c>
      <c r="P609" s="5">
        <f>Orders[[#This Row],[Quantity]]*Orders[[#This Row],[Unit Price]]</f>
        <v>3998</v>
      </c>
      <c r="Q609" s="5">
        <f>Orders[[#This Row],[Gross Sales]]*Orders[[#This Row],[Discount %]]</f>
        <v>399.8</v>
      </c>
      <c r="R609" s="5">
        <f>Orders[[#This Row],[Gross Sales]]-Orders[[#This Row],[Discount Amount]]</f>
        <v>3598.2</v>
      </c>
      <c r="S609">
        <f>IF(Orders[[#This Row],[Actual Delivery Date]]="","",Orders[[#This Row],[Actual Delivery Date]]-Orders[[#This Row],[Order Date]])</f>
        <v>11</v>
      </c>
      <c r="T609" t="str">
        <f>IF(Orders[[#This Row],[Actual Delivery Date]]="","Pending",IF(Orders[[#This Row],[Actual Delivery Date]]&lt;=Orders[[#This Row],[Expected Delivery Date]],"On Time","Late"))</f>
        <v>Late</v>
      </c>
      <c r="U609" t="str">
        <f>TEXT(Orders[[#This Row],[Order Date]],"mmm")</f>
        <v>May</v>
      </c>
      <c r="V609" s="8">
        <f>DATE(YEAR(Orders[[#This Row],[Order Date]]),MONTH(Orders[[#This Row],[Order Date]]),1)</f>
        <v>46143</v>
      </c>
      <c r="W609" s="5">
        <f>IF(Orders[[#This Row],[Order Status]]="Cancelled",Orders[[#This Row],[Net Sales]],0)</f>
        <v>0</v>
      </c>
    </row>
    <row r="610" spans="1:23" x14ac:dyDescent="0.3">
      <c r="A610" t="s">
        <v>1204</v>
      </c>
      <c r="B610" s="7">
        <v>46320</v>
      </c>
      <c r="C610" t="s">
        <v>1205</v>
      </c>
      <c r="D610" t="s">
        <v>1206</v>
      </c>
      <c r="E610" t="s">
        <v>18</v>
      </c>
      <c r="F610" t="s">
        <v>43</v>
      </c>
      <c r="G610" t="s">
        <v>20</v>
      </c>
      <c r="H610" t="s">
        <v>21</v>
      </c>
      <c r="I610">
        <v>2</v>
      </c>
      <c r="J610" s="5">
        <v>1799</v>
      </c>
      <c r="K610" s="2">
        <v>0.2</v>
      </c>
      <c r="L610" t="s">
        <v>22</v>
      </c>
      <c r="M610" t="s">
        <v>23</v>
      </c>
      <c r="N610" s="1">
        <v>46324</v>
      </c>
      <c r="O610" s="1">
        <v>46322</v>
      </c>
      <c r="P610" s="5">
        <f>Orders[[#This Row],[Quantity]]*Orders[[#This Row],[Unit Price]]</f>
        <v>3598</v>
      </c>
      <c r="Q610" s="5">
        <f>Orders[[#This Row],[Gross Sales]]*Orders[[#This Row],[Discount %]]</f>
        <v>719.6</v>
      </c>
      <c r="R610" s="5">
        <f>Orders[[#This Row],[Gross Sales]]-Orders[[#This Row],[Discount Amount]]</f>
        <v>2878.4</v>
      </c>
      <c r="S610">
        <f>IF(Orders[[#This Row],[Actual Delivery Date]]="","",Orders[[#This Row],[Actual Delivery Date]]-Orders[[#This Row],[Order Date]])</f>
        <v>2</v>
      </c>
      <c r="T610" t="str">
        <f>IF(Orders[[#This Row],[Actual Delivery Date]]="","Pending",IF(Orders[[#This Row],[Actual Delivery Date]]&lt;=Orders[[#This Row],[Expected Delivery Date]],"On Time","Late"))</f>
        <v>On Time</v>
      </c>
      <c r="U610" t="str">
        <f>TEXT(Orders[[#This Row],[Order Date]],"mmm")</f>
        <v>Oct</v>
      </c>
      <c r="V610" s="8">
        <f>DATE(YEAR(Orders[[#This Row],[Order Date]]),MONTH(Orders[[#This Row],[Order Date]]),1)</f>
        <v>46296</v>
      </c>
      <c r="W610" s="5">
        <f>IF(Orders[[#This Row],[Order Status]]="Cancelled",Orders[[#This Row],[Net Sales]],0)</f>
        <v>0</v>
      </c>
    </row>
    <row r="611" spans="1:23" x14ac:dyDescent="0.3">
      <c r="A611" t="s">
        <v>1207</v>
      </c>
      <c r="B611" s="7">
        <v>46321</v>
      </c>
      <c r="C611" t="s">
        <v>1063</v>
      </c>
      <c r="D611" t="s">
        <v>169</v>
      </c>
      <c r="E611" t="s">
        <v>27</v>
      </c>
      <c r="F611" t="s">
        <v>28</v>
      </c>
      <c r="G611" t="s">
        <v>87</v>
      </c>
      <c r="H611" t="s">
        <v>21</v>
      </c>
      <c r="I611">
        <v>1</v>
      </c>
      <c r="J611" s="5">
        <v>1899</v>
      </c>
      <c r="K611" s="2">
        <v>0.1</v>
      </c>
      <c r="L611" t="s">
        <v>70</v>
      </c>
      <c r="M611" t="s">
        <v>23</v>
      </c>
      <c r="N611" s="1">
        <v>46324</v>
      </c>
      <c r="O611" s="1">
        <v>46323</v>
      </c>
      <c r="P611" s="5">
        <f>Orders[[#This Row],[Quantity]]*Orders[[#This Row],[Unit Price]]</f>
        <v>1899</v>
      </c>
      <c r="Q611" s="5">
        <f>Orders[[#This Row],[Gross Sales]]*Orders[[#This Row],[Discount %]]</f>
        <v>189.9</v>
      </c>
      <c r="R611" s="5">
        <f>Orders[[#This Row],[Gross Sales]]-Orders[[#This Row],[Discount Amount]]</f>
        <v>1709.1</v>
      </c>
      <c r="S611">
        <f>IF(Orders[[#This Row],[Actual Delivery Date]]="","",Orders[[#This Row],[Actual Delivery Date]]-Orders[[#This Row],[Order Date]])</f>
        <v>2</v>
      </c>
      <c r="T611" t="str">
        <f>IF(Orders[[#This Row],[Actual Delivery Date]]="","Pending",IF(Orders[[#This Row],[Actual Delivery Date]]&lt;=Orders[[#This Row],[Expected Delivery Date]],"On Time","Late"))</f>
        <v>On Time</v>
      </c>
      <c r="U611" t="str">
        <f>TEXT(Orders[[#This Row],[Order Date]],"mmm")</f>
        <v>Oct</v>
      </c>
      <c r="V611" s="8">
        <f>DATE(YEAR(Orders[[#This Row],[Order Date]]),MONTH(Orders[[#This Row],[Order Date]]),1)</f>
        <v>46296</v>
      </c>
      <c r="W611" s="5">
        <f>IF(Orders[[#This Row],[Order Status]]="Cancelled",Orders[[#This Row],[Net Sales]],0)</f>
        <v>0</v>
      </c>
    </row>
    <row r="612" spans="1:23" x14ac:dyDescent="0.3">
      <c r="A612" t="s">
        <v>1208</v>
      </c>
      <c r="B612" s="7">
        <v>46132</v>
      </c>
      <c r="C612" t="s">
        <v>1209</v>
      </c>
      <c r="D612" t="s">
        <v>1210</v>
      </c>
      <c r="E612" t="s">
        <v>18</v>
      </c>
      <c r="F612" t="s">
        <v>43</v>
      </c>
      <c r="G612" t="s">
        <v>96</v>
      </c>
      <c r="H612" t="s">
        <v>38</v>
      </c>
      <c r="I612">
        <v>1</v>
      </c>
      <c r="J612" s="5">
        <v>1599</v>
      </c>
      <c r="K612" s="2">
        <v>0.1</v>
      </c>
      <c r="L612" t="s">
        <v>22</v>
      </c>
      <c r="M612" t="s">
        <v>23</v>
      </c>
      <c r="N612" s="1">
        <v>46138</v>
      </c>
      <c r="O612" s="1">
        <v>46136</v>
      </c>
      <c r="P612" s="5">
        <f>Orders[[#This Row],[Quantity]]*Orders[[#This Row],[Unit Price]]</f>
        <v>1599</v>
      </c>
      <c r="Q612" s="5">
        <f>Orders[[#This Row],[Gross Sales]]*Orders[[#This Row],[Discount %]]</f>
        <v>159.9</v>
      </c>
      <c r="R612" s="5">
        <f>Orders[[#This Row],[Gross Sales]]-Orders[[#This Row],[Discount Amount]]</f>
        <v>1439.1</v>
      </c>
      <c r="S612">
        <f>IF(Orders[[#This Row],[Actual Delivery Date]]="","",Orders[[#This Row],[Actual Delivery Date]]-Orders[[#This Row],[Order Date]])</f>
        <v>4</v>
      </c>
      <c r="T612" t="str">
        <f>IF(Orders[[#This Row],[Actual Delivery Date]]="","Pending",IF(Orders[[#This Row],[Actual Delivery Date]]&lt;=Orders[[#This Row],[Expected Delivery Date]],"On Time","Late"))</f>
        <v>On Time</v>
      </c>
      <c r="U612" t="str">
        <f>TEXT(Orders[[#This Row],[Order Date]],"mmm")</f>
        <v>Apr</v>
      </c>
      <c r="V612" s="8">
        <f>DATE(YEAR(Orders[[#This Row],[Order Date]]),MONTH(Orders[[#This Row],[Order Date]]),1)</f>
        <v>46113</v>
      </c>
      <c r="W612" s="5">
        <f>IF(Orders[[#This Row],[Order Status]]="Cancelled",Orders[[#This Row],[Net Sales]],0)</f>
        <v>0</v>
      </c>
    </row>
    <row r="613" spans="1:23" x14ac:dyDescent="0.3">
      <c r="A613" t="s">
        <v>1211</v>
      </c>
      <c r="B613" s="7">
        <v>46236</v>
      </c>
      <c r="C613" t="s">
        <v>317</v>
      </c>
      <c r="D613" t="s">
        <v>1212</v>
      </c>
      <c r="E613" t="s">
        <v>79</v>
      </c>
      <c r="F613" t="s">
        <v>170</v>
      </c>
      <c r="G613" t="s">
        <v>57</v>
      </c>
      <c r="H613" t="s">
        <v>58</v>
      </c>
      <c r="I613">
        <v>3</v>
      </c>
      <c r="J613" s="5">
        <v>499</v>
      </c>
      <c r="K613" s="2">
        <v>0.05</v>
      </c>
      <c r="L613" t="s">
        <v>22</v>
      </c>
      <c r="M613" t="s">
        <v>23</v>
      </c>
      <c r="N613" s="1">
        <v>46241</v>
      </c>
      <c r="O613" s="1">
        <v>46238</v>
      </c>
      <c r="P613" s="5">
        <f>Orders[[#This Row],[Quantity]]*Orders[[#This Row],[Unit Price]]</f>
        <v>1497</v>
      </c>
      <c r="Q613" s="5">
        <f>Orders[[#This Row],[Gross Sales]]*Orders[[#This Row],[Discount %]]</f>
        <v>74.850000000000009</v>
      </c>
      <c r="R613" s="5">
        <f>Orders[[#This Row],[Gross Sales]]-Orders[[#This Row],[Discount Amount]]</f>
        <v>1422.15</v>
      </c>
      <c r="S613">
        <f>IF(Orders[[#This Row],[Actual Delivery Date]]="","",Orders[[#This Row],[Actual Delivery Date]]-Orders[[#This Row],[Order Date]])</f>
        <v>2</v>
      </c>
      <c r="T613" t="str">
        <f>IF(Orders[[#This Row],[Actual Delivery Date]]="","Pending",IF(Orders[[#This Row],[Actual Delivery Date]]&lt;=Orders[[#This Row],[Expected Delivery Date]],"On Time","Late"))</f>
        <v>On Time</v>
      </c>
      <c r="U613" t="str">
        <f>TEXT(Orders[[#This Row],[Order Date]],"mmm")</f>
        <v>Aug</v>
      </c>
      <c r="V613" s="8">
        <f>DATE(YEAR(Orders[[#This Row],[Order Date]]),MONTH(Orders[[#This Row],[Order Date]]),1)</f>
        <v>46235</v>
      </c>
      <c r="W613" s="5">
        <f>IF(Orders[[#This Row],[Order Status]]="Cancelled",Orders[[#This Row],[Net Sales]],0)</f>
        <v>0</v>
      </c>
    </row>
    <row r="614" spans="1:23" x14ac:dyDescent="0.3">
      <c r="A614" t="s">
        <v>1213</v>
      </c>
      <c r="B614" s="7">
        <v>46039</v>
      </c>
      <c r="C614" t="s">
        <v>849</v>
      </c>
      <c r="D614" t="s">
        <v>680</v>
      </c>
      <c r="E614" t="s">
        <v>18</v>
      </c>
      <c r="F614" t="s">
        <v>95</v>
      </c>
      <c r="G614" t="s">
        <v>57</v>
      </c>
      <c r="H614" t="s">
        <v>58</v>
      </c>
      <c r="I614">
        <v>2</v>
      </c>
      <c r="J614" s="5">
        <v>499</v>
      </c>
      <c r="K614" s="2">
        <v>0.2</v>
      </c>
      <c r="L614" t="s">
        <v>46</v>
      </c>
      <c r="M614" t="s">
        <v>23</v>
      </c>
      <c r="N614" s="1">
        <v>46045</v>
      </c>
      <c r="O614" s="1">
        <v>46040</v>
      </c>
      <c r="P614" s="5">
        <f>Orders[[#This Row],[Quantity]]*Orders[[#This Row],[Unit Price]]</f>
        <v>998</v>
      </c>
      <c r="Q614" s="5">
        <f>Orders[[#This Row],[Gross Sales]]*Orders[[#This Row],[Discount %]]</f>
        <v>199.60000000000002</v>
      </c>
      <c r="R614" s="5">
        <f>Orders[[#This Row],[Gross Sales]]-Orders[[#This Row],[Discount Amount]]</f>
        <v>798.4</v>
      </c>
      <c r="S614">
        <f>IF(Orders[[#This Row],[Actual Delivery Date]]="","",Orders[[#This Row],[Actual Delivery Date]]-Orders[[#This Row],[Order Date]])</f>
        <v>1</v>
      </c>
      <c r="T614" t="str">
        <f>IF(Orders[[#This Row],[Actual Delivery Date]]="","Pending",IF(Orders[[#This Row],[Actual Delivery Date]]&lt;=Orders[[#This Row],[Expected Delivery Date]],"On Time","Late"))</f>
        <v>On Time</v>
      </c>
      <c r="U614" t="str">
        <f>TEXT(Orders[[#This Row],[Order Date]],"mmm")</f>
        <v>Jan</v>
      </c>
      <c r="V614" s="8">
        <f>DATE(YEAR(Orders[[#This Row],[Order Date]]),MONTH(Orders[[#This Row],[Order Date]]),1)</f>
        <v>46023</v>
      </c>
      <c r="W614" s="5">
        <f>IF(Orders[[#This Row],[Order Status]]="Cancelled",Orders[[#This Row],[Net Sales]],0)</f>
        <v>0</v>
      </c>
    </row>
    <row r="615" spans="1:23" x14ac:dyDescent="0.3">
      <c r="A615" t="s">
        <v>1214</v>
      </c>
      <c r="B615" s="7">
        <v>46083</v>
      </c>
      <c r="C615" t="s">
        <v>298</v>
      </c>
      <c r="D615" t="s">
        <v>1013</v>
      </c>
      <c r="E615" t="s">
        <v>35</v>
      </c>
      <c r="F615" t="s">
        <v>135</v>
      </c>
      <c r="G615" t="s">
        <v>29</v>
      </c>
      <c r="H615" t="s">
        <v>30</v>
      </c>
      <c r="I615">
        <v>1</v>
      </c>
      <c r="J615" s="5">
        <v>599</v>
      </c>
      <c r="K615" s="2">
        <v>0.1</v>
      </c>
      <c r="L615" t="s">
        <v>46</v>
      </c>
      <c r="M615" t="s">
        <v>23</v>
      </c>
      <c r="N615" s="1">
        <v>46088</v>
      </c>
      <c r="O615" s="1">
        <v>46085</v>
      </c>
      <c r="P615" s="5">
        <f>Orders[[#This Row],[Quantity]]*Orders[[#This Row],[Unit Price]]</f>
        <v>599</v>
      </c>
      <c r="Q615" s="5">
        <f>Orders[[#This Row],[Gross Sales]]*Orders[[#This Row],[Discount %]]</f>
        <v>59.900000000000006</v>
      </c>
      <c r="R615" s="5">
        <f>Orders[[#This Row],[Gross Sales]]-Orders[[#This Row],[Discount Amount]]</f>
        <v>539.1</v>
      </c>
      <c r="S615">
        <f>IF(Orders[[#This Row],[Actual Delivery Date]]="","",Orders[[#This Row],[Actual Delivery Date]]-Orders[[#This Row],[Order Date]])</f>
        <v>2</v>
      </c>
      <c r="T615" t="str">
        <f>IF(Orders[[#This Row],[Actual Delivery Date]]="","Pending",IF(Orders[[#This Row],[Actual Delivery Date]]&lt;=Orders[[#This Row],[Expected Delivery Date]],"On Time","Late"))</f>
        <v>On Time</v>
      </c>
      <c r="U615" t="str">
        <f>TEXT(Orders[[#This Row],[Order Date]],"mmm")</f>
        <v>Mar</v>
      </c>
      <c r="V615" s="8">
        <f>DATE(YEAR(Orders[[#This Row],[Order Date]]),MONTH(Orders[[#This Row],[Order Date]]),1)</f>
        <v>46082</v>
      </c>
      <c r="W615" s="5">
        <f>IF(Orders[[#This Row],[Order Status]]="Cancelled",Orders[[#This Row],[Net Sales]],0)</f>
        <v>0</v>
      </c>
    </row>
    <row r="616" spans="1:23" x14ac:dyDescent="0.3">
      <c r="A616" t="s">
        <v>1215</v>
      </c>
      <c r="B616" s="7">
        <v>46116</v>
      </c>
      <c r="C616" t="s">
        <v>1058</v>
      </c>
      <c r="D616" t="s">
        <v>1216</v>
      </c>
      <c r="E616" t="s">
        <v>18</v>
      </c>
      <c r="F616" t="s">
        <v>121</v>
      </c>
      <c r="G616" t="s">
        <v>20</v>
      </c>
      <c r="H616" t="s">
        <v>21</v>
      </c>
      <c r="I616">
        <v>3</v>
      </c>
      <c r="J616" s="5">
        <v>1799</v>
      </c>
      <c r="K616" s="2">
        <v>0.15</v>
      </c>
      <c r="L616" t="s">
        <v>39</v>
      </c>
      <c r="M616" t="s">
        <v>23</v>
      </c>
      <c r="N616" s="1">
        <v>46122</v>
      </c>
      <c r="O616" s="1">
        <v>46117</v>
      </c>
      <c r="P616" s="5">
        <f>Orders[[#This Row],[Quantity]]*Orders[[#This Row],[Unit Price]]</f>
        <v>5397</v>
      </c>
      <c r="Q616" s="5">
        <f>Orders[[#This Row],[Gross Sales]]*Orders[[#This Row],[Discount %]]</f>
        <v>809.55</v>
      </c>
      <c r="R616" s="5">
        <f>Orders[[#This Row],[Gross Sales]]-Orders[[#This Row],[Discount Amount]]</f>
        <v>4587.45</v>
      </c>
      <c r="S616">
        <f>IF(Orders[[#This Row],[Actual Delivery Date]]="","",Orders[[#This Row],[Actual Delivery Date]]-Orders[[#This Row],[Order Date]])</f>
        <v>1</v>
      </c>
      <c r="T616" t="str">
        <f>IF(Orders[[#This Row],[Actual Delivery Date]]="","Pending",IF(Orders[[#This Row],[Actual Delivery Date]]&lt;=Orders[[#This Row],[Expected Delivery Date]],"On Time","Late"))</f>
        <v>On Time</v>
      </c>
      <c r="U616" t="str">
        <f>TEXT(Orders[[#This Row],[Order Date]],"mmm")</f>
        <v>Apr</v>
      </c>
      <c r="V616" s="8">
        <f>DATE(YEAR(Orders[[#This Row],[Order Date]]),MONTH(Orders[[#This Row],[Order Date]]),1)</f>
        <v>46113</v>
      </c>
      <c r="W616" s="5">
        <f>IF(Orders[[#This Row],[Order Status]]="Cancelled",Orders[[#This Row],[Net Sales]],0)</f>
        <v>0</v>
      </c>
    </row>
    <row r="617" spans="1:23" x14ac:dyDescent="0.3">
      <c r="A617" t="s">
        <v>1217</v>
      </c>
      <c r="B617" s="7">
        <v>46266</v>
      </c>
      <c r="C617" t="s">
        <v>384</v>
      </c>
      <c r="D617" t="s">
        <v>1218</v>
      </c>
      <c r="E617" t="s">
        <v>35</v>
      </c>
      <c r="F617" t="s">
        <v>63</v>
      </c>
      <c r="G617" t="s">
        <v>218</v>
      </c>
      <c r="H617" t="s">
        <v>21</v>
      </c>
      <c r="I617">
        <v>3</v>
      </c>
      <c r="J617" s="5">
        <v>2999</v>
      </c>
      <c r="K617" s="2">
        <v>0.2</v>
      </c>
      <c r="L617" t="s">
        <v>31</v>
      </c>
      <c r="M617" t="s">
        <v>82</v>
      </c>
      <c r="N617" s="1">
        <v>46269</v>
      </c>
      <c r="O617" s="1">
        <v>46268</v>
      </c>
      <c r="P617" s="5">
        <f>Orders[[#This Row],[Quantity]]*Orders[[#This Row],[Unit Price]]</f>
        <v>8997</v>
      </c>
      <c r="Q617" s="5">
        <f>Orders[[#This Row],[Gross Sales]]*Orders[[#This Row],[Discount %]]</f>
        <v>1799.4</v>
      </c>
      <c r="R617" s="5">
        <f>Orders[[#This Row],[Gross Sales]]-Orders[[#This Row],[Discount Amount]]</f>
        <v>7197.6</v>
      </c>
      <c r="S617">
        <f>IF(Orders[[#This Row],[Actual Delivery Date]]="","",Orders[[#This Row],[Actual Delivery Date]]-Orders[[#This Row],[Order Date]])</f>
        <v>2</v>
      </c>
      <c r="T617" t="str">
        <f>IF(Orders[[#This Row],[Actual Delivery Date]]="","Pending",IF(Orders[[#This Row],[Actual Delivery Date]]&lt;=Orders[[#This Row],[Expected Delivery Date]],"On Time","Late"))</f>
        <v>On Time</v>
      </c>
      <c r="U617" t="str">
        <f>TEXT(Orders[[#This Row],[Order Date]],"mmm")</f>
        <v>Sep</v>
      </c>
      <c r="V617" s="8">
        <f>DATE(YEAR(Orders[[#This Row],[Order Date]]),MONTH(Orders[[#This Row],[Order Date]]),1)</f>
        <v>46266</v>
      </c>
      <c r="W617" s="5">
        <f>IF(Orders[[#This Row],[Order Status]]="Cancelled",Orders[[#This Row],[Net Sales]],0)</f>
        <v>0</v>
      </c>
    </row>
    <row r="618" spans="1:23" x14ac:dyDescent="0.3">
      <c r="A618" t="s">
        <v>1219</v>
      </c>
      <c r="B618" s="7">
        <v>46363</v>
      </c>
      <c r="C618" t="s">
        <v>416</v>
      </c>
      <c r="D618" t="s">
        <v>1001</v>
      </c>
      <c r="E618" t="s">
        <v>27</v>
      </c>
      <c r="F618" t="s">
        <v>51</v>
      </c>
      <c r="G618" t="s">
        <v>44</v>
      </c>
      <c r="H618" t="s">
        <v>45</v>
      </c>
      <c r="I618">
        <v>2</v>
      </c>
      <c r="J618" s="5">
        <v>1799</v>
      </c>
      <c r="K618" s="2">
        <v>0.15</v>
      </c>
      <c r="L618" t="s">
        <v>31</v>
      </c>
      <c r="M618" t="s">
        <v>23</v>
      </c>
      <c r="N618" s="1">
        <v>46367</v>
      </c>
      <c r="O618" s="1">
        <v>46367</v>
      </c>
      <c r="P618" s="5">
        <f>Orders[[#This Row],[Quantity]]*Orders[[#This Row],[Unit Price]]</f>
        <v>3598</v>
      </c>
      <c r="Q618" s="5">
        <f>Orders[[#This Row],[Gross Sales]]*Orders[[#This Row],[Discount %]]</f>
        <v>539.69999999999993</v>
      </c>
      <c r="R618" s="5">
        <f>Orders[[#This Row],[Gross Sales]]-Orders[[#This Row],[Discount Amount]]</f>
        <v>3058.3</v>
      </c>
      <c r="S618">
        <f>IF(Orders[[#This Row],[Actual Delivery Date]]="","",Orders[[#This Row],[Actual Delivery Date]]-Orders[[#This Row],[Order Date]])</f>
        <v>4</v>
      </c>
      <c r="T618" t="str">
        <f>IF(Orders[[#This Row],[Actual Delivery Date]]="","Pending",IF(Orders[[#This Row],[Actual Delivery Date]]&lt;=Orders[[#This Row],[Expected Delivery Date]],"On Time","Late"))</f>
        <v>On Time</v>
      </c>
      <c r="U618" t="str">
        <f>TEXT(Orders[[#This Row],[Order Date]],"mmm")</f>
        <v>Dec</v>
      </c>
      <c r="V618" s="8">
        <f>DATE(YEAR(Orders[[#This Row],[Order Date]]),MONTH(Orders[[#This Row],[Order Date]]),1)</f>
        <v>46357</v>
      </c>
      <c r="W618" s="5">
        <f>IF(Orders[[#This Row],[Order Status]]="Cancelled",Orders[[#This Row],[Net Sales]],0)</f>
        <v>0</v>
      </c>
    </row>
    <row r="619" spans="1:23" x14ac:dyDescent="0.3">
      <c r="A619" t="s">
        <v>1220</v>
      </c>
      <c r="B619" s="7">
        <v>46310</v>
      </c>
      <c r="C619" t="s">
        <v>248</v>
      </c>
      <c r="D619" t="s">
        <v>1039</v>
      </c>
      <c r="E619" t="s">
        <v>27</v>
      </c>
      <c r="F619" t="s">
        <v>28</v>
      </c>
      <c r="G619" t="s">
        <v>91</v>
      </c>
      <c r="H619" t="s">
        <v>30</v>
      </c>
      <c r="I619">
        <v>2</v>
      </c>
      <c r="J619" s="5">
        <v>3299</v>
      </c>
      <c r="K619" s="2">
        <v>0.2</v>
      </c>
      <c r="L619" t="s">
        <v>39</v>
      </c>
      <c r="M619" t="s">
        <v>23</v>
      </c>
      <c r="N619" s="1">
        <v>46316</v>
      </c>
      <c r="O619" s="1">
        <v>46311</v>
      </c>
      <c r="P619" s="5">
        <f>Orders[[#This Row],[Quantity]]*Orders[[#This Row],[Unit Price]]</f>
        <v>6598</v>
      </c>
      <c r="Q619" s="5">
        <f>Orders[[#This Row],[Gross Sales]]*Orders[[#This Row],[Discount %]]</f>
        <v>1319.6000000000001</v>
      </c>
      <c r="R619" s="5">
        <f>Orders[[#This Row],[Gross Sales]]-Orders[[#This Row],[Discount Amount]]</f>
        <v>5278.4</v>
      </c>
      <c r="S619">
        <f>IF(Orders[[#This Row],[Actual Delivery Date]]="","",Orders[[#This Row],[Actual Delivery Date]]-Orders[[#This Row],[Order Date]])</f>
        <v>1</v>
      </c>
      <c r="T619" t="str">
        <f>IF(Orders[[#This Row],[Actual Delivery Date]]="","Pending",IF(Orders[[#This Row],[Actual Delivery Date]]&lt;=Orders[[#This Row],[Expected Delivery Date]],"On Time","Late"))</f>
        <v>On Time</v>
      </c>
      <c r="U619" t="str">
        <f>TEXT(Orders[[#This Row],[Order Date]],"mmm")</f>
        <v>Oct</v>
      </c>
      <c r="V619" s="8">
        <f>DATE(YEAR(Orders[[#This Row],[Order Date]]),MONTH(Orders[[#This Row],[Order Date]]),1)</f>
        <v>46296</v>
      </c>
      <c r="W619" s="5">
        <f>IF(Orders[[#This Row],[Order Status]]="Cancelled",Orders[[#This Row],[Net Sales]],0)</f>
        <v>0</v>
      </c>
    </row>
    <row r="620" spans="1:23" x14ac:dyDescent="0.3">
      <c r="A620" t="s">
        <v>1221</v>
      </c>
      <c r="B620" s="7">
        <v>46084</v>
      </c>
      <c r="C620" t="s">
        <v>116</v>
      </c>
      <c r="D620" t="s">
        <v>308</v>
      </c>
      <c r="E620" t="s">
        <v>27</v>
      </c>
      <c r="F620" t="s">
        <v>74</v>
      </c>
      <c r="G620" t="s">
        <v>81</v>
      </c>
      <c r="H620" t="s">
        <v>30</v>
      </c>
      <c r="I620">
        <v>2</v>
      </c>
      <c r="J620" s="5">
        <v>899</v>
      </c>
      <c r="K620" s="2">
        <v>0.2</v>
      </c>
      <c r="L620" t="s">
        <v>31</v>
      </c>
      <c r="M620" t="s">
        <v>23</v>
      </c>
      <c r="N620" s="1">
        <v>46088</v>
      </c>
      <c r="O620" s="1">
        <v>46086</v>
      </c>
      <c r="P620" s="5">
        <f>Orders[[#This Row],[Quantity]]*Orders[[#This Row],[Unit Price]]</f>
        <v>1798</v>
      </c>
      <c r="Q620" s="5">
        <f>Orders[[#This Row],[Gross Sales]]*Orders[[#This Row],[Discount %]]</f>
        <v>359.6</v>
      </c>
      <c r="R620" s="5">
        <f>Orders[[#This Row],[Gross Sales]]-Orders[[#This Row],[Discount Amount]]</f>
        <v>1438.4</v>
      </c>
      <c r="S620">
        <f>IF(Orders[[#This Row],[Actual Delivery Date]]="","",Orders[[#This Row],[Actual Delivery Date]]-Orders[[#This Row],[Order Date]])</f>
        <v>2</v>
      </c>
      <c r="T620" t="str">
        <f>IF(Orders[[#This Row],[Actual Delivery Date]]="","Pending",IF(Orders[[#This Row],[Actual Delivery Date]]&lt;=Orders[[#This Row],[Expected Delivery Date]],"On Time","Late"))</f>
        <v>On Time</v>
      </c>
      <c r="U620" t="str">
        <f>TEXT(Orders[[#This Row],[Order Date]],"mmm")</f>
        <v>Mar</v>
      </c>
      <c r="V620" s="8">
        <f>DATE(YEAR(Orders[[#This Row],[Order Date]]),MONTH(Orders[[#This Row],[Order Date]]),1)</f>
        <v>46082</v>
      </c>
      <c r="W620" s="5">
        <f>IF(Orders[[#This Row],[Order Status]]="Cancelled",Orders[[#This Row],[Net Sales]],0)</f>
        <v>0</v>
      </c>
    </row>
    <row r="621" spans="1:23" x14ac:dyDescent="0.3">
      <c r="A621" t="s">
        <v>1222</v>
      </c>
      <c r="B621" s="7">
        <v>46046</v>
      </c>
      <c r="C621" t="s">
        <v>280</v>
      </c>
      <c r="D621" t="s">
        <v>73</v>
      </c>
      <c r="E621" t="s">
        <v>18</v>
      </c>
      <c r="F621" t="s">
        <v>121</v>
      </c>
      <c r="G621" t="s">
        <v>228</v>
      </c>
      <c r="H621" t="s">
        <v>58</v>
      </c>
      <c r="I621">
        <v>2</v>
      </c>
      <c r="J621" s="5">
        <v>1499</v>
      </c>
      <c r="K621" s="2">
        <v>0</v>
      </c>
      <c r="L621" t="s">
        <v>46</v>
      </c>
      <c r="M621" t="s">
        <v>23</v>
      </c>
      <c r="N621" s="1">
        <v>46049</v>
      </c>
      <c r="O621" s="1">
        <v>46049</v>
      </c>
      <c r="P621" s="5">
        <f>Orders[[#This Row],[Quantity]]*Orders[[#This Row],[Unit Price]]</f>
        <v>2998</v>
      </c>
      <c r="Q621" s="5">
        <f>Orders[[#This Row],[Gross Sales]]*Orders[[#This Row],[Discount %]]</f>
        <v>0</v>
      </c>
      <c r="R621" s="5">
        <f>Orders[[#This Row],[Gross Sales]]-Orders[[#This Row],[Discount Amount]]</f>
        <v>2998</v>
      </c>
      <c r="S621">
        <f>IF(Orders[[#This Row],[Actual Delivery Date]]="","",Orders[[#This Row],[Actual Delivery Date]]-Orders[[#This Row],[Order Date]])</f>
        <v>3</v>
      </c>
      <c r="T621" t="str">
        <f>IF(Orders[[#This Row],[Actual Delivery Date]]="","Pending",IF(Orders[[#This Row],[Actual Delivery Date]]&lt;=Orders[[#This Row],[Expected Delivery Date]],"On Time","Late"))</f>
        <v>On Time</v>
      </c>
      <c r="U621" t="str">
        <f>TEXT(Orders[[#This Row],[Order Date]],"mmm")</f>
        <v>Jan</v>
      </c>
      <c r="V621" s="8">
        <f>DATE(YEAR(Orders[[#This Row],[Order Date]]),MONTH(Orders[[#This Row],[Order Date]]),1)</f>
        <v>46023</v>
      </c>
      <c r="W621" s="5">
        <f>IF(Orders[[#This Row],[Order Status]]="Cancelled",Orders[[#This Row],[Net Sales]],0)</f>
        <v>0</v>
      </c>
    </row>
    <row r="622" spans="1:23" x14ac:dyDescent="0.3">
      <c r="A622" t="s">
        <v>1223</v>
      </c>
      <c r="B622" s="7">
        <v>46300</v>
      </c>
      <c r="C622" t="s">
        <v>577</v>
      </c>
      <c r="D622" t="s">
        <v>1224</v>
      </c>
      <c r="E622" t="s">
        <v>35</v>
      </c>
      <c r="F622" t="s">
        <v>135</v>
      </c>
      <c r="G622" t="s">
        <v>75</v>
      </c>
      <c r="H622" t="s">
        <v>45</v>
      </c>
      <c r="I622">
        <v>1</v>
      </c>
      <c r="J622" s="5">
        <v>799</v>
      </c>
      <c r="K622" s="2">
        <v>0.05</v>
      </c>
      <c r="L622" t="s">
        <v>31</v>
      </c>
      <c r="M622" t="s">
        <v>23</v>
      </c>
      <c r="N622" s="1">
        <v>46302</v>
      </c>
      <c r="O622" s="1">
        <v>46302</v>
      </c>
      <c r="P622" s="5">
        <f>Orders[[#This Row],[Quantity]]*Orders[[#This Row],[Unit Price]]</f>
        <v>799</v>
      </c>
      <c r="Q622" s="5">
        <f>Orders[[#This Row],[Gross Sales]]*Orders[[#This Row],[Discount %]]</f>
        <v>39.950000000000003</v>
      </c>
      <c r="R622" s="5">
        <f>Orders[[#This Row],[Gross Sales]]-Orders[[#This Row],[Discount Amount]]</f>
        <v>759.05</v>
      </c>
      <c r="S622">
        <f>IF(Orders[[#This Row],[Actual Delivery Date]]="","",Orders[[#This Row],[Actual Delivery Date]]-Orders[[#This Row],[Order Date]])</f>
        <v>2</v>
      </c>
      <c r="T622" t="str">
        <f>IF(Orders[[#This Row],[Actual Delivery Date]]="","Pending",IF(Orders[[#This Row],[Actual Delivery Date]]&lt;=Orders[[#This Row],[Expected Delivery Date]],"On Time","Late"))</f>
        <v>On Time</v>
      </c>
      <c r="U622" t="str">
        <f>TEXT(Orders[[#This Row],[Order Date]],"mmm")</f>
        <v>Oct</v>
      </c>
      <c r="V622" s="8">
        <f>DATE(YEAR(Orders[[#This Row],[Order Date]]),MONTH(Orders[[#This Row],[Order Date]]),1)</f>
        <v>46296</v>
      </c>
      <c r="W622" s="5">
        <f>IF(Orders[[#This Row],[Order Status]]="Cancelled",Orders[[#This Row],[Net Sales]],0)</f>
        <v>0</v>
      </c>
    </row>
    <row r="623" spans="1:23" x14ac:dyDescent="0.3">
      <c r="A623" t="s">
        <v>1225</v>
      </c>
      <c r="B623" s="7">
        <v>46175</v>
      </c>
      <c r="C623" t="s">
        <v>1020</v>
      </c>
      <c r="D623" t="s">
        <v>486</v>
      </c>
      <c r="E623" t="s">
        <v>35</v>
      </c>
      <c r="F623" t="s">
        <v>68</v>
      </c>
      <c r="G623" t="s">
        <v>75</v>
      </c>
      <c r="H623" t="s">
        <v>45</v>
      </c>
      <c r="I623">
        <v>1</v>
      </c>
      <c r="J623" s="5">
        <v>799</v>
      </c>
      <c r="K623" s="2">
        <v>0.1</v>
      </c>
      <c r="L623" t="s">
        <v>31</v>
      </c>
      <c r="M623" t="s">
        <v>23</v>
      </c>
      <c r="N623" s="1">
        <v>46179</v>
      </c>
      <c r="O623" s="1">
        <v>46176</v>
      </c>
      <c r="P623" s="5">
        <f>Orders[[#This Row],[Quantity]]*Orders[[#This Row],[Unit Price]]</f>
        <v>799</v>
      </c>
      <c r="Q623" s="5">
        <f>Orders[[#This Row],[Gross Sales]]*Orders[[#This Row],[Discount %]]</f>
        <v>79.900000000000006</v>
      </c>
      <c r="R623" s="5">
        <f>Orders[[#This Row],[Gross Sales]]-Orders[[#This Row],[Discount Amount]]</f>
        <v>719.1</v>
      </c>
      <c r="S623">
        <f>IF(Orders[[#This Row],[Actual Delivery Date]]="","",Orders[[#This Row],[Actual Delivery Date]]-Orders[[#This Row],[Order Date]])</f>
        <v>1</v>
      </c>
      <c r="T623" t="str">
        <f>IF(Orders[[#This Row],[Actual Delivery Date]]="","Pending",IF(Orders[[#This Row],[Actual Delivery Date]]&lt;=Orders[[#This Row],[Expected Delivery Date]],"On Time","Late"))</f>
        <v>On Time</v>
      </c>
      <c r="U623" t="str">
        <f>TEXT(Orders[[#This Row],[Order Date]],"mmm")</f>
        <v>Jun</v>
      </c>
      <c r="V623" s="8">
        <f>DATE(YEAR(Orders[[#This Row],[Order Date]]),MONTH(Orders[[#This Row],[Order Date]]),1)</f>
        <v>46174</v>
      </c>
      <c r="W623" s="5">
        <f>IF(Orders[[#This Row],[Order Status]]="Cancelled",Orders[[#This Row],[Net Sales]],0)</f>
        <v>0</v>
      </c>
    </row>
    <row r="624" spans="1:23" x14ac:dyDescent="0.3">
      <c r="A624" t="s">
        <v>1226</v>
      </c>
      <c r="B624" s="7">
        <v>46281</v>
      </c>
      <c r="C624" t="s">
        <v>976</v>
      </c>
      <c r="D624" t="s">
        <v>544</v>
      </c>
      <c r="E624" t="s">
        <v>27</v>
      </c>
      <c r="F624" t="s">
        <v>56</v>
      </c>
      <c r="G624" t="s">
        <v>228</v>
      </c>
      <c r="H624" t="s">
        <v>58</v>
      </c>
      <c r="I624">
        <v>1</v>
      </c>
      <c r="J624" s="5">
        <v>1499</v>
      </c>
      <c r="K624" s="2">
        <v>0</v>
      </c>
      <c r="L624" t="s">
        <v>46</v>
      </c>
      <c r="M624" t="s">
        <v>23</v>
      </c>
      <c r="N624" s="1">
        <v>46285</v>
      </c>
      <c r="O624" s="1">
        <v>46285</v>
      </c>
      <c r="P624" s="5">
        <f>Orders[[#This Row],[Quantity]]*Orders[[#This Row],[Unit Price]]</f>
        <v>1499</v>
      </c>
      <c r="Q624" s="5">
        <f>Orders[[#This Row],[Gross Sales]]*Orders[[#This Row],[Discount %]]</f>
        <v>0</v>
      </c>
      <c r="R624" s="5">
        <f>Orders[[#This Row],[Gross Sales]]-Orders[[#This Row],[Discount Amount]]</f>
        <v>1499</v>
      </c>
      <c r="S624">
        <f>IF(Orders[[#This Row],[Actual Delivery Date]]="","",Orders[[#This Row],[Actual Delivery Date]]-Orders[[#This Row],[Order Date]])</f>
        <v>4</v>
      </c>
      <c r="T624" t="str">
        <f>IF(Orders[[#This Row],[Actual Delivery Date]]="","Pending",IF(Orders[[#This Row],[Actual Delivery Date]]&lt;=Orders[[#This Row],[Expected Delivery Date]],"On Time","Late"))</f>
        <v>On Time</v>
      </c>
      <c r="U624" t="str">
        <f>TEXT(Orders[[#This Row],[Order Date]],"mmm")</f>
        <v>Sep</v>
      </c>
      <c r="V624" s="8">
        <f>DATE(YEAR(Orders[[#This Row],[Order Date]]),MONTH(Orders[[#This Row],[Order Date]]),1)</f>
        <v>46266</v>
      </c>
      <c r="W624" s="5">
        <f>IF(Orders[[#This Row],[Order Status]]="Cancelled",Orders[[#This Row],[Net Sales]],0)</f>
        <v>0</v>
      </c>
    </row>
    <row r="625" spans="1:23" x14ac:dyDescent="0.3">
      <c r="A625" t="s">
        <v>1227</v>
      </c>
      <c r="B625" s="7">
        <v>46160</v>
      </c>
      <c r="C625" t="s">
        <v>750</v>
      </c>
      <c r="D625" t="s">
        <v>339</v>
      </c>
      <c r="E625" t="s">
        <v>18</v>
      </c>
      <c r="F625" t="s">
        <v>43</v>
      </c>
      <c r="G625" t="s">
        <v>104</v>
      </c>
      <c r="H625" t="s">
        <v>38</v>
      </c>
      <c r="I625">
        <v>2</v>
      </c>
      <c r="J625" s="5">
        <v>999</v>
      </c>
      <c r="K625" s="2">
        <v>0.2</v>
      </c>
      <c r="L625" t="s">
        <v>39</v>
      </c>
      <c r="M625" t="s">
        <v>23</v>
      </c>
      <c r="N625" s="1">
        <v>46166</v>
      </c>
      <c r="O625" s="1">
        <v>46162</v>
      </c>
      <c r="P625" s="5">
        <f>Orders[[#This Row],[Quantity]]*Orders[[#This Row],[Unit Price]]</f>
        <v>1998</v>
      </c>
      <c r="Q625" s="5">
        <f>Orders[[#This Row],[Gross Sales]]*Orders[[#This Row],[Discount %]]</f>
        <v>399.6</v>
      </c>
      <c r="R625" s="5">
        <f>Orders[[#This Row],[Gross Sales]]-Orders[[#This Row],[Discount Amount]]</f>
        <v>1598.4</v>
      </c>
      <c r="S625">
        <f>IF(Orders[[#This Row],[Actual Delivery Date]]="","",Orders[[#This Row],[Actual Delivery Date]]-Orders[[#This Row],[Order Date]])</f>
        <v>2</v>
      </c>
      <c r="T625" t="str">
        <f>IF(Orders[[#This Row],[Actual Delivery Date]]="","Pending",IF(Orders[[#This Row],[Actual Delivery Date]]&lt;=Orders[[#This Row],[Expected Delivery Date]],"On Time","Late"))</f>
        <v>On Time</v>
      </c>
      <c r="U625" t="str">
        <f>TEXT(Orders[[#This Row],[Order Date]],"mmm")</f>
        <v>May</v>
      </c>
      <c r="V625" s="8">
        <f>DATE(YEAR(Orders[[#This Row],[Order Date]]),MONTH(Orders[[#This Row],[Order Date]]),1)</f>
        <v>46143</v>
      </c>
      <c r="W625" s="5">
        <f>IF(Orders[[#This Row],[Order Status]]="Cancelled",Orders[[#This Row],[Net Sales]],0)</f>
        <v>0</v>
      </c>
    </row>
    <row r="626" spans="1:23" x14ac:dyDescent="0.3">
      <c r="A626" t="s">
        <v>1228</v>
      </c>
      <c r="B626" s="7">
        <v>46127</v>
      </c>
      <c r="C626" t="s">
        <v>623</v>
      </c>
      <c r="D626" t="s">
        <v>127</v>
      </c>
      <c r="E626" t="s">
        <v>79</v>
      </c>
      <c r="F626" t="s">
        <v>170</v>
      </c>
      <c r="G626" t="s">
        <v>44</v>
      </c>
      <c r="H626" t="s">
        <v>45</v>
      </c>
      <c r="I626">
        <v>3</v>
      </c>
      <c r="J626" s="5">
        <v>1799</v>
      </c>
      <c r="K626" s="2">
        <v>0.05</v>
      </c>
      <c r="L626" t="s">
        <v>46</v>
      </c>
      <c r="M626" t="s">
        <v>47</v>
      </c>
      <c r="N626" s="1">
        <v>46130</v>
      </c>
      <c r="O626" s="1"/>
      <c r="P626" s="5">
        <f>Orders[[#This Row],[Quantity]]*Orders[[#This Row],[Unit Price]]</f>
        <v>5397</v>
      </c>
      <c r="Q626" s="5">
        <f>Orders[[#This Row],[Gross Sales]]*Orders[[#This Row],[Discount %]]</f>
        <v>269.85000000000002</v>
      </c>
      <c r="R626" s="5">
        <f>Orders[[#This Row],[Gross Sales]]-Orders[[#This Row],[Discount Amount]]</f>
        <v>5127.1499999999996</v>
      </c>
      <c r="S626" t="str">
        <f>IF(Orders[[#This Row],[Actual Delivery Date]]="","",Orders[[#This Row],[Actual Delivery Date]]-Orders[[#This Row],[Order Date]])</f>
        <v/>
      </c>
      <c r="T626" t="str">
        <f>IF(Orders[[#This Row],[Actual Delivery Date]]="","Pending",IF(Orders[[#This Row],[Actual Delivery Date]]&lt;=Orders[[#This Row],[Expected Delivery Date]],"On Time","Late"))</f>
        <v>Pending</v>
      </c>
      <c r="U626" t="str">
        <f>TEXT(Orders[[#This Row],[Order Date]],"mmm")</f>
        <v>Apr</v>
      </c>
      <c r="V626" s="8">
        <f>DATE(YEAR(Orders[[#This Row],[Order Date]]),MONTH(Orders[[#This Row],[Order Date]]),1)</f>
        <v>46113</v>
      </c>
      <c r="W626" s="5">
        <f>IF(Orders[[#This Row],[Order Status]]="Cancelled",Orders[[#This Row],[Net Sales]],0)</f>
        <v>0</v>
      </c>
    </row>
    <row r="627" spans="1:23" x14ac:dyDescent="0.3">
      <c r="A627" t="s">
        <v>1229</v>
      </c>
      <c r="B627" s="7">
        <v>46260</v>
      </c>
      <c r="C627" t="s">
        <v>468</v>
      </c>
      <c r="D627" t="s">
        <v>869</v>
      </c>
      <c r="E627" t="s">
        <v>79</v>
      </c>
      <c r="F627" t="s">
        <v>170</v>
      </c>
      <c r="G627" t="s">
        <v>75</v>
      </c>
      <c r="H627" t="s">
        <v>45</v>
      </c>
      <c r="I627">
        <v>4</v>
      </c>
      <c r="J627" s="5">
        <v>799</v>
      </c>
      <c r="K627" s="2">
        <v>0.2</v>
      </c>
      <c r="L627" t="s">
        <v>46</v>
      </c>
      <c r="M627" t="s">
        <v>59</v>
      </c>
      <c r="N627" s="1">
        <v>46263</v>
      </c>
      <c r="O627" s="1">
        <v>46262</v>
      </c>
      <c r="P627" s="5">
        <f>Orders[[#This Row],[Quantity]]*Orders[[#This Row],[Unit Price]]</f>
        <v>3196</v>
      </c>
      <c r="Q627" s="5">
        <f>Orders[[#This Row],[Gross Sales]]*Orders[[#This Row],[Discount %]]</f>
        <v>639.20000000000005</v>
      </c>
      <c r="R627" s="5">
        <f>Orders[[#This Row],[Gross Sales]]-Orders[[#This Row],[Discount Amount]]</f>
        <v>2556.8000000000002</v>
      </c>
      <c r="S627">
        <f>IF(Orders[[#This Row],[Actual Delivery Date]]="","",Orders[[#This Row],[Actual Delivery Date]]-Orders[[#This Row],[Order Date]])</f>
        <v>2</v>
      </c>
      <c r="T627" t="str">
        <f>IF(Orders[[#This Row],[Actual Delivery Date]]="","Pending",IF(Orders[[#This Row],[Actual Delivery Date]]&lt;=Orders[[#This Row],[Expected Delivery Date]],"On Time","Late"))</f>
        <v>On Time</v>
      </c>
      <c r="U627" t="str">
        <f>TEXT(Orders[[#This Row],[Order Date]],"mmm")</f>
        <v>Aug</v>
      </c>
      <c r="V627" s="8">
        <f>DATE(YEAR(Orders[[#This Row],[Order Date]]),MONTH(Orders[[#This Row],[Order Date]]),1)</f>
        <v>46235</v>
      </c>
      <c r="W627" s="5">
        <f>IF(Orders[[#This Row],[Order Status]]="Cancelled",Orders[[#This Row],[Net Sales]],0)</f>
        <v>2556.8000000000002</v>
      </c>
    </row>
    <row r="628" spans="1:23" x14ac:dyDescent="0.3">
      <c r="A628" t="s">
        <v>1230</v>
      </c>
      <c r="B628" s="7">
        <v>46284</v>
      </c>
      <c r="C628" t="s">
        <v>543</v>
      </c>
      <c r="D628" t="s">
        <v>1001</v>
      </c>
      <c r="E628" t="s">
        <v>79</v>
      </c>
      <c r="F628" t="s">
        <v>80</v>
      </c>
      <c r="G628" t="s">
        <v>69</v>
      </c>
      <c r="H628" t="s">
        <v>38</v>
      </c>
      <c r="I628">
        <v>1</v>
      </c>
      <c r="J628" s="5">
        <v>3499</v>
      </c>
      <c r="K628" s="2">
        <v>0.05</v>
      </c>
      <c r="L628" t="s">
        <v>22</v>
      </c>
      <c r="M628" t="s">
        <v>47</v>
      </c>
      <c r="N628" s="1">
        <v>46286</v>
      </c>
      <c r="O628" s="1"/>
      <c r="P628" s="5">
        <f>Orders[[#This Row],[Quantity]]*Orders[[#This Row],[Unit Price]]</f>
        <v>3499</v>
      </c>
      <c r="Q628" s="5">
        <f>Orders[[#This Row],[Gross Sales]]*Orders[[#This Row],[Discount %]]</f>
        <v>174.95000000000002</v>
      </c>
      <c r="R628" s="5">
        <f>Orders[[#This Row],[Gross Sales]]-Orders[[#This Row],[Discount Amount]]</f>
        <v>3324.05</v>
      </c>
      <c r="S628" t="str">
        <f>IF(Orders[[#This Row],[Actual Delivery Date]]="","",Orders[[#This Row],[Actual Delivery Date]]-Orders[[#This Row],[Order Date]])</f>
        <v/>
      </c>
      <c r="T628" t="str">
        <f>IF(Orders[[#This Row],[Actual Delivery Date]]="","Pending",IF(Orders[[#This Row],[Actual Delivery Date]]&lt;=Orders[[#This Row],[Expected Delivery Date]],"On Time","Late"))</f>
        <v>Pending</v>
      </c>
      <c r="U628" t="str">
        <f>TEXT(Orders[[#This Row],[Order Date]],"mmm")</f>
        <v>Sep</v>
      </c>
      <c r="V628" s="8">
        <f>DATE(YEAR(Orders[[#This Row],[Order Date]]),MONTH(Orders[[#This Row],[Order Date]]),1)</f>
        <v>46266</v>
      </c>
      <c r="W628" s="5">
        <f>IF(Orders[[#This Row],[Order Status]]="Cancelled",Orders[[#This Row],[Net Sales]],0)</f>
        <v>0</v>
      </c>
    </row>
    <row r="629" spans="1:23" x14ac:dyDescent="0.3">
      <c r="A629" t="s">
        <v>1231</v>
      </c>
      <c r="B629" s="7">
        <v>46166</v>
      </c>
      <c r="C629" t="s">
        <v>1232</v>
      </c>
      <c r="D629" t="s">
        <v>804</v>
      </c>
      <c r="E629" t="s">
        <v>79</v>
      </c>
      <c r="F629" t="s">
        <v>86</v>
      </c>
      <c r="G629" t="s">
        <v>69</v>
      </c>
      <c r="H629" t="s">
        <v>38</v>
      </c>
      <c r="I629">
        <v>3</v>
      </c>
      <c r="J629" s="5">
        <v>3499</v>
      </c>
      <c r="K629" s="2">
        <v>0.05</v>
      </c>
      <c r="L629" t="s">
        <v>22</v>
      </c>
      <c r="M629" t="s">
        <v>47</v>
      </c>
      <c r="N629" s="1">
        <v>46170</v>
      </c>
      <c r="O629" s="1"/>
      <c r="P629" s="5">
        <f>Orders[[#This Row],[Quantity]]*Orders[[#This Row],[Unit Price]]</f>
        <v>10497</v>
      </c>
      <c r="Q629" s="5">
        <f>Orders[[#This Row],[Gross Sales]]*Orders[[#This Row],[Discount %]]</f>
        <v>524.85</v>
      </c>
      <c r="R629" s="5">
        <f>Orders[[#This Row],[Gross Sales]]-Orders[[#This Row],[Discount Amount]]</f>
        <v>9972.15</v>
      </c>
      <c r="S629" t="str">
        <f>IF(Orders[[#This Row],[Actual Delivery Date]]="","",Orders[[#This Row],[Actual Delivery Date]]-Orders[[#This Row],[Order Date]])</f>
        <v/>
      </c>
      <c r="T629" t="str">
        <f>IF(Orders[[#This Row],[Actual Delivery Date]]="","Pending",IF(Orders[[#This Row],[Actual Delivery Date]]&lt;=Orders[[#This Row],[Expected Delivery Date]],"On Time","Late"))</f>
        <v>Pending</v>
      </c>
      <c r="U629" t="str">
        <f>TEXT(Orders[[#This Row],[Order Date]],"mmm")</f>
        <v>May</v>
      </c>
      <c r="V629" s="8">
        <f>DATE(YEAR(Orders[[#This Row],[Order Date]]),MONTH(Orders[[#This Row],[Order Date]]),1)</f>
        <v>46143</v>
      </c>
      <c r="W629" s="5">
        <f>IF(Orders[[#This Row],[Order Status]]="Cancelled",Orders[[#This Row],[Net Sales]],0)</f>
        <v>0</v>
      </c>
    </row>
    <row r="630" spans="1:23" x14ac:dyDescent="0.3">
      <c r="A630" t="s">
        <v>1233</v>
      </c>
      <c r="B630" s="7">
        <v>46197</v>
      </c>
      <c r="C630" t="s">
        <v>684</v>
      </c>
      <c r="D630" t="s">
        <v>983</v>
      </c>
      <c r="E630" t="s">
        <v>79</v>
      </c>
      <c r="F630" t="s">
        <v>80</v>
      </c>
      <c r="G630" t="s">
        <v>131</v>
      </c>
      <c r="H630" t="s">
        <v>38</v>
      </c>
      <c r="I630">
        <v>1</v>
      </c>
      <c r="J630" s="5">
        <v>899</v>
      </c>
      <c r="K630" s="2">
        <v>0.2</v>
      </c>
      <c r="L630" t="s">
        <v>46</v>
      </c>
      <c r="M630" t="s">
        <v>23</v>
      </c>
      <c r="N630" s="1">
        <v>46204</v>
      </c>
      <c r="O630" s="1">
        <v>46198</v>
      </c>
      <c r="P630" s="5">
        <f>Orders[[#This Row],[Quantity]]*Orders[[#This Row],[Unit Price]]</f>
        <v>899</v>
      </c>
      <c r="Q630" s="5">
        <f>Orders[[#This Row],[Gross Sales]]*Orders[[#This Row],[Discount %]]</f>
        <v>179.8</v>
      </c>
      <c r="R630" s="5">
        <f>Orders[[#This Row],[Gross Sales]]-Orders[[#This Row],[Discount Amount]]</f>
        <v>719.2</v>
      </c>
      <c r="S630">
        <f>IF(Orders[[#This Row],[Actual Delivery Date]]="","",Orders[[#This Row],[Actual Delivery Date]]-Orders[[#This Row],[Order Date]])</f>
        <v>1</v>
      </c>
      <c r="T630" t="str">
        <f>IF(Orders[[#This Row],[Actual Delivery Date]]="","Pending",IF(Orders[[#This Row],[Actual Delivery Date]]&lt;=Orders[[#This Row],[Expected Delivery Date]],"On Time","Late"))</f>
        <v>On Time</v>
      </c>
      <c r="U630" t="str">
        <f>TEXT(Orders[[#This Row],[Order Date]],"mmm")</f>
        <v>Jun</v>
      </c>
      <c r="V630" s="8">
        <f>DATE(YEAR(Orders[[#This Row],[Order Date]]),MONTH(Orders[[#This Row],[Order Date]]),1)</f>
        <v>46174</v>
      </c>
      <c r="W630" s="5">
        <f>IF(Orders[[#This Row],[Order Status]]="Cancelled",Orders[[#This Row],[Net Sales]],0)</f>
        <v>0</v>
      </c>
    </row>
    <row r="631" spans="1:23" x14ac:dyDescent="0.3">
      <c r="A631" t="s">
        <v>1234</v>
      </c>
      <c r="B631" s="7">
        <v>46379</v>
      </c>
      <c r="C631" t="s">
        <v>437</v>
      </c>
      <c r="D631" t="s">
        <v>308</v>
      </c>
      <c r="E631" t="s">
        <v>18</v>
      </c>
      <c r="F631" t="s">
        <v>95</v>
      </c>
      <c r="G631" t="s">
        <v>228</v>
      </c>
      <c r="H631" t="s">
        <v>58</v>
      </c>
      <c r="I631">
        <v>2</v>
      </c>
      <c r="J631" s="5">
        <v>1499</v>
      </c>
      <c r="K631" s="2">
        <v>0.15</v>
      </c>
      <c r="L631" t="s">
        <v>22</v>
      </c>
      <c r="M631" t="s">
        <v>23</v>
      </c>
      <c r="N631" s="1">
        <v>46386</v>
      </c>
      <c r="O631" s="1">
        <v>46384</v>
      </c>
      <c r="P631" s="5">
        <f>Orders[[#This Row],[Quantity]]*Orders[[#This Row],[Unit Price]]</f>
        <v>2998</v>
      </c>
      <c r="Q631" s="5">
        <f>Orders[[#This Row],[Gross Sales]]*Orders[[#This Row],[Discount %]]</f>
        <v>449.7</v>
      </c>
      <c r="R631" s="5">
        <f>Orders[[#This Row],[Gross Sales]]-Orders[[#This Row],[Discount Amount]]</f>
        <v>2548.3000000000002</v>
      </c>
      <c r="S631">
        <f>IF(Orders[[#This Row],[Actual Delivery Date]]="","",Orders[[#This Row],[Actual Delivery Date]]-Orders[[#This Row],[Order Date]])</f>
        <v>5</v>
      </c>
      <c r="T631" t="str">
        <f>IF(Orders[[#This Row],[Actual Delivery Date]]="","Pending",IF(Orders[[#This Row],[Actual Delivery Date]]&lt;=Orders[[#This Row],[Expected Delivery Date]],"On Time","Late"))</f>
        <v>On Time</v>
      </c>
      <c r="U631" t="str">
        <f>TEXT(Orders[[#This Row],[Order Date]],"mmm")</f>
        <v>Dec</v>
      </c>
      <c r="V631" s="8">
        <f>DATE(YEAR(Orders[[#This Row],[Order Date]]),MONTH(Orders[[#This Row],[Order Date]]),1)</f>
        <v>46357</v>
      </c>
      <c r="W631" s="5">
        <f>IF(Orders[[#This Row],[Order Status]]="Cancelled",Orders[[#This Row],[Net Sales]],0)</f>
        <v>0</v>
      </c>
    </row>
    <row r="632" spans="1:23" x14ac:dyDescent="0.3">
      <c r="A632" t="s">
        <v>1235</v>
      </c>
      <c r="B632" s="7">
        <v>46206</v>
      </c>
      <c r="C632" t="s">
        <v>598</v>
      </c>
      <c r="D632" t="s">
        <v>511</v>
      </c>
      <c r="E632" t="s">
        <v>18</v>
      </c>
      <c r="F632" t="s">
        <v>121</v>
      </c>
      <c r="G632" t="s">
        <v>228</v>
      </c>
      <c r="H632" t="s">
        <v>58</v>
      </c>
      <c r="I632">
        <v>1</v>
      </c>
      <c r="J632" s="5">
        <v>1499</v>
      </c>
      <c r="K632" s="2">
        <v>0</v>
      </c>
      <c r="L632" t="s">
        <v>39</v>
      </c>
      <c r="M632" t="s">
        <v>23</v>
      </c>
      <c r="N632" s="1">
        <v>46210</v>
      </c>
      <c r="O632" s="1">
        <v>46214</v>
      </c>
      <c r="P632" s="5">
        <f>Orders[[#This Row],[Quantity]]*Orders[[#This Row],[Unit Price]]</f>
        <v>1499</v>
      </c>
      <c r="Q632" s="5">
        <f>Orders[[#This Row],[Gross Sales]]*Orders[[#This Row],[Discount %]]</f>
        <v>0</v>
      </c>
      <c r="R632" s="5">
        <f>Orders[[#This Row],[Gross Sales]]-Orders[[#This Row],[Discount Amount]]</f>
        <v>1499</v>
      </c>
      <c r="S632">
        <f>IF(Orders[[#This Row],[Actual Delivery Date]]="","",Orders[[#This Row],[Actual Delivery Date]]-Orders[[#This Row],[Order Date]])</f>
        <v>8</v>
      </c>
      <c r="T632" t="str">
        <f>IF(Orders[[#This Row],[Actual Delivery Date]]="","Pending",IF(Orders[[#This Row],[Actual Delivery Date]]&lt;=Orders[[#This Row],[Expected Delivery Date]],"On Time","Late"))</f>
        <v>Late</v>
      </c>
      <c r="U632" t="str">
        <f>TEXT(Orders[[#This Row],[Order Date]],"mmm")</f>
        <v>Jul</v>
      </c>
      <c r="V632" s="8">
        <f>DATE(YEAR(Orders[[#This Row],[Order Date]]),MONTH(Orders[[#This Row],[Order Date]]),1)</f>
        <v>46204</v>
      </c>
      <c r="W632" s="5">
        <f>IF(Orders[[#This Row],[Order Status]]="Cancelled",Orders[[#This Row],[Net Sales]],0)</f>
        <v>0</v>
      </c>
    </row>
    <row r="633" spans="1:23" x14ac:dyDescent="0.3">
      <c r="A633" t="s">
        <v>1236</v>
      </c>
      <c r="B633" s="7">
        <v>46069</v>
      </c>
      <c r="C633" t="s">
        <v>634</v>
      </c>
      <c r="D633" t="s">
        <v>1237</v>
      </c>
      <c r="E633" t="s">
        <v>18</v>
      </c>
      <c r="F633" t="s">
        <v>121</v>
      </c>
      <c r="G633" t="s">
        <v>20</v>
      </c>
      <c r="H633" t="s">
        <v>21</v>
      </c>
      <c r="I633">
        <v>3</v>
      </c>
      <c r="J633" s="5">
        <v>1799</v>
      </c>
      <c r="K633" s="2">
        <v>0.1</v>
      </c>
      <c r="L633" t="s">
        <v>31</v>
      </c>
      <c r="M633" t="s">
        <v>23</v>
      </c>
      <c r="N633" s="1">
        <v>46074</v>
      </c>
      <c r="O633" s="1">
        <v>46075</v>
      </c>
      <c r="P633" s="5">
        <f>Orders[[#This Row],[Quantity]]*Orders[[#This Row],[Unit Price]]</f>
        <v>5397</v>
      </c>
      <c r="Q633" s="5">
        <f>Orders[[#This Row],[Gross Sales]]*Orders[[#This Row],[Discount %]]</f>
        <v>539.70000000000005</v>
      </c>
      <c r="R633" s="5">
        <f>Orders[[#This Row],[Gross Sales]]-Orders[[#This Row],[Discount Amount]]</f>
        <v>4857.3</v>
      </c>
      <c r="S633">
        <f>IF(Orders[[#This Row],[Actual Delivery Date]]="","",Orders[[#This Row],[Actual Delivery Date]]-Orders[[#This Row],[Order Date]])</f>
        <v>6</v>
      </c>
      <c r="T633" t="str">
        <f>IF(Orders[[#This Row],[Actual Delivery Date]]="","Pending",IF(Orders[[#This Row],[Actual Delivery Date]]&lt;=Orders[[#This Row],[Expected Delivery Date]],"On Time","Late"))</f>
        <v>Late</v>
      </c>
      <c r="U633" t="str">
        <f>TEXT(Orders[[#This Row],[Order Date]],"mmm")</f>
        <v>Feb</v>
      </c>
      <c r="V633" s="8">
        <f>DATE(YEAR(Orders[[#This Row],[Order Date]]),MONTH(Orders[[#This Row],[Order Date]]),1)</f>
        <v>46054</v>
      </c>
      <c r="W633" s="5">
        <f>IF(Orders[[#This Row],[Order Status]]="Cancelled",Orders[[#This Row],[Net Sales]],0)</f>
        <v>0</v>
      </c>
    </row>
    <row r="634" spans="1:23" x14ac:dyDescent="0.3">
      <c r="A634" t="s">
        <v>1238</v>
      </c>
      <c r="B634" s="7">
        <v>46079</v>
      </c>
      <c r="C634" t="s">
        <v>208</v>
      </c>
      <c r="D634" t="s">
        <v>1094</v>
      </c>
      <c r="E634" t="s">
        <v>27</v>
      </c>
      <c r="F634" t="s">
        <v>28</v>
      </c>
      <c r="G634" t="s">
        <v>96</v>
      </c>
      <c r="H634" t="s">
        <v>38</v>
      </c>
      <c r="I634">
        <v>3</v>
      </c>
      <c r="J634" s="5">
        <v>1599</v>
      </c>
      <c r="K634" s="2">
        <v>0.2</v>
      </c>
      <c r="L634" t="s">
        <v>22</v>
      </c>
      <c r="M634" t="s">
        <v>23</v>
      </c>
      <c r="N634" s="1">
        <v>46082</v>
      </c>
      <c r="O634" s="1">
        <v>46082</v>
      </c>
      <c r="P634" s="5">
        <f>Orders[[#This Row],[Quantity]]*Orders[[#This Row],[Unit Price]]</f>
        <v>4797</v>
      </c>
      <c r="Q634" s="5">
        <f>Orders[[#This Row],[Gross Sales]]*Orders[[#This Row],[Discount %]]</f>
        <v>959.40000000000009</v>
      </c>
      <c r="R634" s="5">
        <f>Orders[[#This Row],[Gross Sales]]-Orders[[#This Row],[Discount Amount]]</f>
        <v>3837.6</v>
      </c>
      <c r="S634">
        <f>IF(Orders[[#This Row],[Actual Delivery Date]]="","",Orders[[#This Row],[Actual Delivery Date]]-Orders[[#This Row],[Order Date]])</f>
        <v>3</v>
      </c>
      <c r="T634" t="str">
        <f>IF(Orders[[#This Row],[Actual Delivery Date]]="","Pending",IF(Orders[[#This Row],[Actual Delivery Date]]&lt;=Orders[[#This Row],[Expected Delivery Date]],"On Time","Late"))</f>
        <v>On Time</v>
      </c>
      <c r="U634" t="str">
        <f>TEXT(Orders[[#This Row],[Order Date]],"mmm")</f>
        <v>Feb</v>
      </c>
      <c r="V634" s="8">
        <f>DATE(YEAR(Orders[[#This Row],[Order Date]]),MONTH(Orders[[#This Row],[Order Date]]),1)</f>
        <v>46054</v>
      </c>
      <c r="W634" s="5">
        <f>IF(Orders[[#This Row],[Order Status]]="Cancelled",Orders[[#This Row],[Net Sales]],0)</f>
        <v>0</v>
      </c>
    </row>
    <row r="635" spans="1:23" x14ac:dyDescent="0.3">
      <c r="A635" t="s">
        <v>1239</v>
      </c>
      <c r="B635" s="7">
        <v>46056</v>
      </c>
      <c r="C635" t="s">
        <v>706</v>
      </c>
      <c r="D635" t="s">
        <v>476</v>
      </c>
      <c r="E635" t="s">
        <v>27</v>
      </c>
      <c r="F635" t="s">
        <v>28</v>
      </c>
      <c r="G635" t="s">
        <v>29</v>
      </c>
      <c r="H635" t="s">
        <v>30</v>
      </c>
      <c r="I635">
        <v>1</v>
      </c>
      <c r="J635" s="5">
        <v>599</v>
      </c>
      <c r="K635" s="2">
        <v>0.2</v>
      </c>
      <c r="L635" t="s">
        <v>31</v>
      </c>
      <c r="M635" t="s">
        <v>47</v>
      </c>
      <c r="N635" s="1">
        <v>46063</v>
      </c>
      <c r="O635" s="1"/>
      <c r="P635" s="5">
        <f>Orders[[#This Row],[Quantity]]*Orders[[#This Row],[Unit Price]]</f>
        <v>599</v>
      </c>
      <c r="Q635" s="5">
        <f>Orders[[#This Row],[Gross Sales]]*Orders[[#This Row],[Discount %]]</f>
        <v>119.80000000000001</v>
      </c>
      <c r="R635" s="5">
        <f>Orders[[#This Row],[Gross Sales]]-Orders[[#This Row],[Discount Amount]]</f>
        <v>479.2</v>
      </c>
      <c r="S635" t="str">
        <f>IF(Orders[[#This Row],[Actual Delivery Date]]="","",Orders[[#This Row],[Actual Delivery Date]]-Orders[[#This Row],[Order Date]])</f>
        <v/>
      </c>
      <c r="T635" t="str">
        <f>IF(Orders[[#This Row],[Actual Delivery Date]]="","Pending",IF(Orders[[#This Row],[Actual Delivery Date]]&lt;=Orders[[#This Row],[Expected Delivery Date]],"On Time","Late"))</f>
        <v>Pending</v>
      </c>
      <c r="U635" t="str">
        <f>TEXT(Orders[[#This Row],[Order Date]],"mmm")</f>
        <v>Feb</v>
      </c>
      <c r="V635" s="8">
        <f>DATE(YEAR(Orders[[#This Row],[Order Date]]),MONTH(Orders[[#This Row],[Order Date]]),1)</f>
        <v>46054</v>
      </c>
      <c r="W635" s="5">
        <f>IF(Orders[[#This Row],[Order Status]]="Cancelled",Orders[[#This Row],[Net Sales]],0)</f>
        <v>0</v>
      </c>
    </row>
    <row r="636" spans="1:23" x14ac:dyDescent="0.3">
      <c r="A636" t="s">
        <v>1240</v>
      </c>
      <c r="B636" s="7">
        <v>46024</v>
      </c>
      <c r="C636" t="s">
        <v>202</v>
      </c>
      <c r="D636" t="s">
        <v>1166</v>
      </c>
      <c r="E636" t="s">
        <v>18</v>
      </c>
      <c r="F636" t="s">
        <v>121</v>
      </c>
      <c r="G636" t="s">
        <v>100</v>
      </c>
      <c r="H636" t="s">
        <v>30</v>
      </c>
      <c r="I636">
        <v>4</v>
      </c>
      <c r="J636" s="5">
        <v>2499</v>
      </c>
      <c r="K636" s="2">
        <v>0</v>
      </c>
      <c r="L636" t="s">
        <v>46</v>
      </c>
      <c r="M636" t="s">
        <v>23</v>
      </c>
      <c r="N636" s="1">
        <v>46029</v>
      </c>
      <c r="O636" s="1">
        <v>46029</v>
      </c>
      <c r="P636" s="5">
        <f>Orders[[#This Row],[Quantity]]*Orders[[#This Row],[Unit Price]]</f>
        <v>9996</v>
      </c>
      <c r="Q636" s="5">
        <f>Orders[[#This Row],[Gross Sales]]*Orders[[#This Row],[Discount %]]</f>
        <v>0</v>
      </c>
      <c r="R636" s="5">
        <f>Orders[[#This Row],[Gross Sales]]-Orders[[#This Row],[Discount Amount]]</f>
        <v>9996</v>
      </c>
      <c r="S636">
        <f>IF(Orders[[#This Row],[Actual Delivery Date]]="","",Orders[[#This Row],[Actual Delivery Date]]-Orders[[#This Row],[Order Date]])</f>
        <v>5</v>
      </c>
      <c r="T636" t="str">
        <f>IF(Orders[[#This Row],[Actual Delivery Date]]="","Pending",IF(Orders[[#This Row],[Actual Delivery Date]]&lt;=Orders[[#This Row],[Expected Delivery Date]],"On Time","Late"))</f>
        <v>On Time</v>
      </c>
      <c r="U636" t="str">
        <f>TEXT(Orders[[#This Row],[Order Date]],"mmm")</f>
        <v>Jan</v>
      </c>
      <c r="V636" s="8">
        <f>DATE(YEAR(Orders[[#This Row],[Order Date]]),MONTH(Orders[[#This Row],[Order Date]]),1)</f>
        <v>46023</v>
      </c>
      <c r="W636" s="5">
        <f>IF(Orders[[#This Row],[Order Status]]="Cancelled",Orders[[#This Row],[Net Sales]],0)</f>
        <v>0</v>
      </c>
    </row>
    <row r="637" spans="1:23" x14ac:dyDescent="0.3">
      <c r="A637" t="s">
        <v>1241</v>
      </c>
      <c r="B637" s="7">
        <v>46165</v>
      </c>
      <c r="C637" t="s">
        <v>1063</v>
      </c>
      <c r="D637" t="s">
        <v>968</v>
      </c>
      <c r="E637" t="s">
        <v>35</v>
      </c>
      <c r="F637" t="s">
        <v>135</v>
      </c>
      <c r="G637" t="s">
        <v>104</v>
      </c>
      <c r="H637" t="s">
        <v>38</v>
      </c>
      <c r="I637">
        <v>4</v>
      </c>
      <c r="J637" s="5">
        <v>999</v>
      </c>
      <c r="K637" s="2">
        <v>0.2</v>
      </c>
      <c r="L637" t="s">
        <v>70</v>
      </c>
      <c r="M637" t="s">
        <v>23</v>
      </c>
      <c r="N637" s="1">
        <v>46167</v>
      </c>
      <c r="O637" s="1">
        <v>46167</v>
      </c>
      <c r="P637" s="5">
        <f>Orders[[#This Row],[Quantity]]*Orders[[#This Row],[Unit Price]]</f>
        <v>3996</v>
      </c>
      <c r="Q637" s="5">
        <f>Orders[[#This Row],[Gross Sales]]*Orders[[#This Row],[Discount %]]</f>
        <v>799.2</v>
      </c>
      <c r="R637" s="5">
        <f>Orders[[#This Row],[Gross Sales]]-Orders[[#This Row],[Discount Amount]]</f>
        <v>3196.8</v>
      </c>
      <c r="S637">
        <f>IF(Orders[[#This Row],[Actual Delivery Date]]="","",Orders[[#This Row],[Actual Delivery Date]]-Orders[[#This Row],[Order Date]])</f>
        <v>2</v>
      </c>
      <c r="T637" t="str">
        <f>IF(Orders[[#This Row],[Actual Delivery Date]]="","Pending",IF(Orders[[#This Row],[Actual Delivery Date]]&lt;=Orders[[#This Row],[Expected Delivery Date]],"On Time","Late"))</f>
        <v>On Time</v>
      </c>
      <c r="U637" t="str">
        <f>TEXT(Orders[[#This Row],[Order Date]],"mmm")</f>
        <v>May</v>
      </c>
      <c r="V637" s="8">
        <f>DATE(YEAR(Orders[[#This Row],[Order Date]]),MONTH(Orders[[#This Row],[Order Date]]),1)</f>
        <v>46143</v>
      </c>
      <c r="W637" s="5">
        <f>IF(Orders[[#This Row],[Order Status]]="Cancelled",Orders[[#This Row],[Net Sales]],0)</f>
        <v>0</v>
      </c>
    </row>
    <row r="638" spans="1:23" x14ac:dyDescent="0.3">
      <c r="A638" t="s">
        <v>1242</v>
      </c>
      <c r="B638" s="7">
        <v>46150</v>
      </c>
      <c r="C638" t="s">
        <v>506</v>
      </c>
      <c r="D638" t="s">
        <v>431</v>
      </c>
      <c r="E638" t="s">
        <v>18</v>
      </c>
      <c r="F638" t="s">
        <v>95</v>
      </c>
      <c r="G638" t="s">
        <v>147</v>
      </c>
      <c r="H638" t="s">
        <v>58</v>
      </c>
      <c r="I638">
        <v>1</v>
      </c>
      <c r="J638" s="5">
        <v>399</v>
      </c>
      <c r="K638" s="2">
        <v>0.1</v>
      </c>
      <c r="L638" t="s">
        <v>46</v>
      </c>
      <c r="M638" t="s">
        <v>23</v>
      </c>
      <c r="N638" s="1">
        <v>46157</v>
      </c>
      <c r="O638" s="1">
        <v>46151</v>
      </c>
      <c r="P638" s="5">
        <f>Orders[[#This Row],[Quantity]]*Orders[[#This Row],[Unit Price]]</f>
        <v>399</v>
      </c>
      <c r="Q638" s="5">
        <f>Orders[[#This Row],[Gross Sales]]*Orders[[#This Row],[Discount %]]</f>
        <v>39.900000000000006</v>
      </c>
      <c r="R638" s="5">
        <f>Orders[[#This Row],[Gross Sales]]-Orders[[#This Row],[Discount Amount]]</f>
        <v>359.1</v>
      </c>
      <c r="S638">
        <f>IF(Orders[[#This Row],[Actual Delivery Date]]="","",Orders[[#This Row],[Actual Delivery Date]]-Orders[[#This Row],[Order Date]])</f>
        <v>1</v>
      </c>
      <c r="T638" t="str">
        <f>IF(Orders[[#This Row],[Actual Delivery Date]]="","Pending",IF(Orders[[#This Row],[Actual Delivery Date]]&lt;=Orders[[#This Row],[Expected Delivery Date]],"On Time","Late"))</f>
        <v>On Time</v>
      </c>
      <c r="U638" t="str">
        <f>TEXT(Orders[[#This Row],[Order Date]],"mmm")</f>
        <v>May</v>
      </c>
      <c r="V638" s="8">
        <f>DATE(YEAR(Orders[[#This Row],[Order Date]]),MONTH(Orders[[#This Row],[Order Date]]),1)</f>
        <v>46143</v>
      </c>
      <c r="W638" s="5">
        <f>IF(Orders[[#This Row],[Order Status]]="Cancelled",Orders[[#This Row],[Net Sales]],0)</f>
        <v>0</v>
      </c>
    </row>
    <row r="639" spans="1:23" x14ac:dyDescent="0.3">
      <c r="A639" t="s">
        <v>1243</v>
      </c>
      <c r="B639" s="7">
        <v>46078</v>
      </c>
      <c r="C639" t="s">
        <v>126</v>
      </c>
      <c r="D639" t="s">
        <v>894</v>
      </c>
      <c r="E639" t="s">
        <v>18</v>
      </c>
      <c r="F639" t="s">
        <v>121</v>
      </c>
      <c r="G639" t="s">
        <v>20</v>
      </c>
      <c r="H639" t="s">
        <v>21</v>
      </c>
      <c r="I639">
        <v>2</v>
      </c>
      <c r="J639" s="5">
        <v>1799</v>
      </c>
      <c r="K639" s="2">
        <v>0.1</v>
      </c>
      <c r="L639" t="s">
        <v>39</v>
      </c>
      <c r="M639" t="s">
        <v>82</v>
      </c>
      <c r="N639" s="1">
        <v>46082</v>
      </c>
      <c r="O639" s="1">
        <v>46080</v>
      </c>
      <c r="P639" s="5">
        <f>Orders[[#This Row],[Quantity]]*Orders[[#This Row],[Unit Price]]</f>
        <v>3598</v>
      </c>
      <c r="Q639" s="5">
        <f>Orders[[#This Row],[Gross Sales]]*Orders[[#This Row],[Discount %]]</f>
        <v>359.8</v>
      </c>
      <c r="R639" s="5">
        <f>Orders[[#This Row],[Gross Sales]]-Orders[[#This Row],[Discount Amount]]</f>
        <v>3238.2</v>
      </c>
      <c r="S639">
        <f>IF(Orders[[#This Row],[Actual Delivery Date]]="","",Orders[[#This Row],[Actual Delivery Date]]-Orders[[#This Row],[Order Date]])</f>
        <v>2</v>
      </c>
      <c r="T639" t="str">
        <f>IF(Orders[[#This Row],[Actual Delivery Date]]="","Pending",IF(Orders[[#This Row],[Actual Delivery Date]]&lt;=Orders[[#This Row],[Expected Delivery Date]],"On Time","Late"))</f>
        <v>On Time</v>
      </c>
      <c r="U639" t="str">
        <f>TEXT(Orders[[#This Row],[Order Date]],"mmm")</f>
        <v>Feb</v>
      </c>
      <c r="V639" s="8">
        <f>DATE(YEAR(Orders[[#This Row],[Order Date]]),MONTH(Orders[[#This Row],[Order Date]]),1)</f>
        <v>46054</v>
      </c>
      <c r="W639" s="5">
        <f>IF(Orders[[#This Row],[Order Status]]="Cancelled",Orders[[#This Row],[Net Sales]],0)</f>
        <v>0</v>
      </c>
    </row>
    <row r="640" spans="1:23" x14ac:dyDescent="0.3">
      <c r="A640" t="s">
        <v>1244</v>
      </c>
      <c r="B640" s="7">
        <v>46066</v>
      </c>
      <c r="C640" t="s">
        <v>1245</v>
      </c>
      <c r="D640" t="s">
        <v>111</v>
      </c>
      <c r="E640" t="s">
        <v>18</v>
      </c>
      <c r="F640" t="s">
        <v>43</v>
      </c>
      <c r="G640" t="s">
        <v>81</v>
      </c>
      <c r="H640" t="s">
        <v>30</v>
      </c>
      <c r="I640">
        <v>5</v>
      </c>
      <c r="J640" s="5">
        <v>899</v>
      </c>
      <c r="K640" s="2">
        <v>0</v>
      </c>
      <c r="L640" t="s">
        <v>70</v>
      </c>
      <c r="M640" t="s">
        <v>23</v>
      </c>
      <c r="N640" s="1">
        <v>46073</v>
      </c>
      <c r="O640" s="1">
        <v>46068</v>
      </c>
      <c r="P640" s="5">
        <f>Orders[[#This Row],[Quantity]]*Orders[[#This Row],[Unit Price]]</f>
        <v>4495</v>
      </c>
      <c r="Q640" s="5">
        <f>Orders[[#This Row],[Gross Sales]]*Orders[[#This Row],[Discount %]]</f>
        <v>0</v>
      </c>
      <c r="R640" s="5">
        <f>Orders[[#This Row],[Gross Sales]]-Orders[[#This Row],[Discount Amount]]</f>
        <v>4495</v>
      </c>
      <c r="S640">
        <f>IF(Orders[[#This Row],[Actual Delivery Date]]="","",Orders[[#This Row],[Actual Delivery Date]]-Orders[[#This Row],[Order Date]])</f>
        <v>2</v>
      </c>
      <c r="T640" t="str">
        <f>IF(Orders[[#This Row],[Actual Delivery Date]]="","Pending",IF(Orders[[#This Row],[Actual Delivery Date]]&lt;=Orders[[#This Row],[Expected Delivery Date]],"On Time","Late"))</f>
        <v>On Time</v>
      </c>
      <c r="U640" t="str">
        <f>TEXT(Orders[[#This Row],[Order Date]],"mmm")</f>
        <v>Feb</v>
      </c>
      <c r="V640" s="8">
        <f>DATE(YEAR(Orders[[#This Row],[Order Date]]),MONTH(Orders[[#This Row],[Order Date]]),1)</f>
        <v>46054</v>
      </c>
      <c r="W640" s="5">
        <f>IF(Orders[[#This Row],[Order Status]]="Cancelled",Orders[[#This Row],[Net Sales]],0)</f>
        <v>0</v>
      </c>
    </row>
    <row r="641" spans="1:23" x14ac:dyDescent="0.3">
      <c r="A641" t="s">
        <v>1246</v>
      </c>
      <c r="B641" s="7">
        <v>46056</v>
      </c>
      <c r="C641" t="s">
        <v>863</v>
      </c>
      <c r="D641" t="s">
        <v>603</v>
      </c>
      <c r="E641" t="s">
        <v>18</v>
      </c>
      <c r="F641" t="s">
        <v>121</v>
      </c>
      <c r="G641" t="s">
        <v>100</v>
      </c>
      <c r="H641" t="s">
        <v>30</v>
      </c>
      <c r="I641">
        <v>1</v>
      </c>
      <c r="J641" s="5">
        <v>2499</v>
      </c>
      <c r="K641" s="2">
        <v>0</v>
      </c>
      <c r="L641" t="s">
        <v>22</v>
      </c>
      <c r="M641" t="s">
        <v>23</v>
      </c>
      <c r="N641" s="1">
        <v>46060</v>
      </c>
      <c r="O641" s="1">
        <v>46060</v>
      </c>
      <c r="P641" s="5">
        <f>Orders[[#This Row],[Quantity]]*Orders[[#This Row],[Unit Price]]</f>
        <v>2499</v>
      </c>
      <c r="Q641" s="5">
        <f>Orders[[#This Row],[Gross Sales]]*Orders[[#This Row],[Discount %]]</f>
        <v>0</v>
      </c>
      <c r="R641" s="5">
        <f>Orders[[#This Row],[Gross Sales]]-Orders[[#This Row],[Discount Amount]]</f>
        <v>2499</v>
      </c>
      <c r="S641">
        <f>IF(Orders[[#This Row],[Actual Delivery Date]]="","",Orders[[#This Row],[Actual Delivery Date]]-Orders[[#This Row],[Order Date]])</f>
        <v>4</v>
      </c>
      <c r="T641" t="str">
        <f>IF(Orders[[#This Row],[Actual Delivery Date]]="","Pending",IF(Orders[[#This Row],[Actual Delivery Date]]&lt;=Orders[[#This Row],[Expected Delivery Date]],"On Time","Late"))</f>
        <v>On Time</v>
      </c>
      <c r="U641" t="str">
        <f>TEXT(Orders[[#This Row],[Order Date]],"mmm")</f>
        <v>Feb</v>
      </c>
      <c r="V641" s="8">
        <f>DATE(YEAR(Orders[[#This Row],[Order Date]]),MONTH(Orders[[#This Row],[Order Date]]),1)</f>
        <v>46054</v>
      </c>
      <c r="W641" s="5">
        <f>IF(Orders[[#This Row],[Order Status]]="Cancelled",Orders[[#This Row],[Net Sales]],0)</f>
        <v>0</v>
      </c>
    </row>
    <row r="642" spans="1:23" x14ac:dyDescent="0.3">
      <c r="A642" t="s">
        <v>1247</v>
      </c>
      <c r="B642" s="7">
        <v>46260</v>
      </c>
      <c r="C642" t="s">
        <v>310</v>
      </c>
      <c r="D642" t="s">
        <v>382</v>
      </c>
      <c r="E642" t="s">
        <v>27</v>
      </c>
      <c r="F642" t="s">
        <v>28</v>
      </c>
      <c r="G642" t="s">
        <v>57</v>
      </c>
      <c r="H642" t="s">
        <v>58</v>
      </c>
      <c r="I642">
        <v>3</v>
      </c>
      <c r="J642" s="5">
        <v>499</v>
      </c>
      <c r="K642" s="2">
        <v>0.2</v>
      </c>
      <c r="L642" t="s">
        <v>22</v>
      </c>
      <c r="M642" t="s">
        <v>23</v>
      </c>
      <c r="N642" s="1">
        <v>46264</v>
      </c>
      <c r="O642" s="1">
        <v>46261</v>
      </c>
      <c r="P642" s="5">
        <f>Orders[[#This Row],[Quantity]]*Orders[[#This Row],[Unit Price]]</f>
        <v>1497</v>
      </c>
      <c r="Q642" s="5">
        <f>Orders[[#This Row],[Gross Sales]]*Orders[[#This Row],[Discount %]]</f>
        <v>299.40000000000003</v>
      </c>
      <c r="R642" s="5">
        <f>Orders[[#This Row],[Gross Sales]]-Orders[[#This Row],[Discount Amount]]</f>
        <v>1197.5999999999999</v>
      </c>
      <c r="S642">
        <f>IF(Orders[[#This Row],[Actual Delivery Date]]="","",Orders[[#This Row],[Actual Delivery Date]]-Orders[[#This Row],[Order Date]])</f>
        <v>1</v>
      </c>
      <c r="T642" t="str">
        <f>IF(Orders[[#This Row],[Actual Delivery Date]]="","Pending",IF(Orders[[#This Row],[Actual Delivery Date]]&lt;=Orders[[#This Row],[Expected Delivery Date]],"On Time","Late"))</f>
        <v>On Time</v>
      </c>
      <c r="U642" t="str">
        <f>TEXT(Orders[[#This Row],[Order Date]],"mmm")</f>
        <v>Aug</v>
      </c>
      <c r="V642" s="8">
        <f>DATE(YEAR(Orders[[#This Row],[Order Date]]),MONTH(Orders[[#This Row],[Order Date]]),1)</f>
        <v>46235</v>
      </c>
      <c r="W642" s="5">
        <f>IF(Orders[[#This Row],[Order Status]]="Cancelled",Orders[[#This Row],[Net Sales]],0)</f>
        <v>0</v>
      </c>
    </row>
    <row r="643" spans="1:23" x14ac:dyDescent="0.3">
      <c r="A643" t="s">
        <v>1248</v>
      </c>
      <c r="B643" s="7">
        <v>46029</v>
      </c>
      <c r="C643" t="s">
        <v>1249</v>
      </c>
      <c r="D643" t="s">
        <v>203</v>
      </c>
      <c r="E643" t="s">
        <v>35</v>
      </c>
      <c r="F643" t="s">
        <v>68</v>
      </c>
      <c r="G643" t="s">
        <v>75</v>
      </c>
      <c r="H643" t="s">
        <v>45</v>
      </c>
      <c r="I643">
        <v>2</v>
      </c>
      <c r="J643" s="5">
        <v>799</v>
      </c>
      <c r="K643" s="2">
        <v>0</v>
      </c>
      <c r="L643" t="s">
        <v>22</v>
      </c>
      <c r="M643" t="s">
        <v>82</v>
      </c>
      <c r="N643" s="1">
        <v>46032</v>
      </c>
      <c r="O643" s="1">
        <v>46034</v>
      </c>
      <c r="P643" s="5">
        <f>Orders[[#This Row],[Quantity]]*Orders[[#This Row],[Unit Price]]</f>
        <v>1598</v>
      </c>
      <c r="Q643" s="5">
        <f>Orders[[#This Row],[Gross Sales]]*Orders[[#This Row],[Discount %]]</f>
        <v>0</v>
      </c>
      <c r="R643" s="5">
        <f>Orders[[#This Row],[Gross Sales]]-Orders[[#This Row],[Discount Amount]]</f>
        <v>1598</v>
      </c>
      <c r="S643">
        <f>IF(Orders[[#This Row],[Actual Delivery Date]]="","",Orders[[#This Row],[Actual Delivery Date]]-Orders[[#This Row],[Order Date]])</f>
        <v>5</v>
      </c>
      <c r="T643" t="str">
        <f>IF(Orders[[#This Row],[Actual Delivery Date]]="","Pending",IF(Orders[[#This Row],[Actual Delivery Date]]&lt;=Orders[[#This Row],[Expected Delivery Date]],"On Time","Late"))</f>
        <v>Late</v>
      </c>
      <c r="U643" t="str">
        <f>TEXT(Orders[[#This Row],[Order Date]],"mmm")</f>
        <v>Jan</v>
      </c>
      <c r="V643" s="8">
        <f>DATE(YEAR(Orders[[#This Row],[Order Date]]),MONTH(Orders[[#This Row],[Order Date]]),1)</f>
        <v>46023</v>
      </c>
      <c r="W643" s="5">
        <f>IF(Orders[[#This Row],[Order Status]]="Cancelled",Orders[[#This Row],[Net Sales]],0)</f>
        <v>0</v>
      </c>
    </row>
    <row r="644" spans="1:23" x14ac:dyDescent="0.3">
      <c r="A644" t="s">
        <v>1250</v>
      </c>
      <c r="B644" s="7">
        <v>46250</v>
      </c>
      <c r="C644" t="s">
        <v>317</v>
      </c>
      <c r="D644" t="s">
        <v>588</v>
      </c>
      <c r="E644" t="s">
        <v>35</v>
      </c>
      <c r="F644" t="s">
        <v>63</v>
      </c>
      <c r="G644" t="s">
        <v>228</v>
      </c>
      <c r="H644" t="s">
        <v>58</v>
      </c>
      <c r="I644">
        <v>1</v>
      </c>
      <c r="J644" s="5">
        <v>1499</v>
      </c>
      <c r="K644" s="2">
        <v>0.05</v>
      </c>
      <c r="L644" t="s">
        <v>39</v>
      </c>
      <c r="M644" t="s">
        <v>23</v>
      </c>
      <c r="N644" s="1">
        <v>46253</v>
      </c>
      <c r="O644" s="1">
        <v>46252</v>
      </c>
      <c r="P644" s="5">
        <f>Orders[[#This Row],[Quantity]]*Orders[[#This Row],[Unit Price]]</f>
        <v>1499</v>
      </c>
      <c r="Q644" s="5">
        <f>Orders[[#This Row],[Gross Sales]]*Orders[[#This Row],[Discount %]]</f>
        <v>74.95</v>
      </c>
      <c r="R644" s="5">
        <f>Orders[[#This Row],[Gross Sales]]-Orders[[#This Row],[Discount Amount]]</f>
        <v>1424.05</v>
      </c>
      <c r="S644">
        <f>IF(Orders[[#This Row],[Actual Delivery Date]]="","",Orders[[#This Row],[Actual Delivery Date]]-Orders[[#This Row],[Order Date]])</f>
        <v>2</v>
      </c>
      <c r="T644" t="str">
        <f>IF(Orders[[#This Row],[Actual Delivery Date]]="","Pending",IF(Orders[[#This Row],[Actual Delivery Date]]&lt;=Orders[[#This Row],[Expected Delivery Date]],"On Time","Late"))</f>
        <v>On Time</v>
      </c>
      <c r="U644" t="str">
        <f>TEXT(Orders[[#This Row],[Order Date]],"mmm")</f>
        <v>Aug</v>
      </c>
      <c r="V644" s="8">
        <f>DATE(YEAR(Orders[[#This Row],[Order Date]]),MONTH(Orders[[#This Row],[Order Date]]),1)</f>
        <v>46235</v>
      </c>
      <c r="W644" s="5">
        <f>IF(Orders[[#This Row],[Order Status]]="Cancelled",Orders[[#This Row],[Net Sales]],0)</f>
        <v>0</v>
      </c>
    </row>
    <row r="645" spans="1:23" x14ac:dyDescent="0.3">
      <c r="A645" t="s">
        <v>1251</v>
      </c>
      <c r="B645" s="7">
        <v>46181</v>
      </c>
      <c r="C645" t="s">
        <v>808</v>
      </c>
      <c r="D645" t="s">
        <v>1252</v>
      </c>
      <c r="E645" t="s">
        <v>35</v>
      </c>
      <c r="F645" t="s">
        <v>68</v>
      </c>
      <c r="G645" t="s">
        <v>96</v>
      </c>
      <c r="H645" t="s">
        <v>38</v>
      </c>
      <c r="I645">
        <v>2</v>
      </c>
      <c r="J645" s="5">
        <v>1599</v>
      </c>
      <c r="K645" s="2">
        <v>0.1</v>
      </c>
      <c r="L645" t="s">
        <v>46</v>
      </c>
      <c r="M645" t="s">
        <v>23</v>
      </c>
      <c r="N645" s="1">
        <v>46187</v>
      </c>
      <c r="O645" s="1">
        <v>46187</v>
      </c>
      <c r="P645" s="5">
        <f>Orders[[#This Row],[Quantity]]*Orders[[#This Row],[Unit Price]]</f>
        <v>3198</v>
      </c>
      <c r="Q645" s="5">
        <f>Orders[[#This Row],[Gross Sales]]*Orders[[#This Row],[Discount %]]</f>
        <v>319.8</v>
      </c>
      <c r="R645" s="5">
        <f>Orders[[#This Row],[Gross Sales]]-Orders[[#This Row],[Discount Amount]]</f>
        <v>2878.2</v>
      </c>
      <c r="S645">
        <f>IF(Orders[[#This Row],[Actual Delivery Date]]="","",Orders[[#This Row],[Actual Delivery Date]]-Orders[[#This Row],[Order Date]])</f>
        <v>6</v>
      </c>
      <c r="T645" t="str">
        <f>IF(Orders[[#This Row],[Actual Delivery Date]]="","Pending",IF(Orders[[#This Row],[Actual Delivery Date]]&lt;=Orders[[#This Row],[Expected Delivery Date]],"On Time","Late"))</f>
        <v>On Time</v>
      </c>
      <c r="U645" t="str">
        <f>TEXT(Orders[[#This Row],[Order Date]],"mmm")</f>
        <v>Jun</v>
      </c>
      <c r="V645" s="8">
        <f>DATE(YEAR(Orders[[#This Row],[Order Date]]),MONTH(Orders[[#This Row],[Order Date]]),1)</f>
        <v>46174</v>
      </c>
      <c r="W645" s="5">
        <f>IF(Orders[[#This Row],[Order Status]]="Cancelled",Orders[[#This Row],[Net Sales]],0)</f>
        <v>0</v>
      </c>
    </row>
    <row r="646" spans="1:23" x14ac:dyDescent="0.3">
      <c r="A646" t="s">
        <v>1253</v>
      </c>
      <c r="B646" s="7">
        <v>46123</v>
      </c>
      <c r="C646" t="s">
        <v>903</v>
      </c>
      <c r="D646" t="s">
        <v>563</v>
      </c>
      <c r="E646" t="s">
        <v>27</v>
      </c>
      <c r="F646" t="s">
        <v>28</v>
      </c>
      <c r="G646" t="s">
        <v>118</v>
      </c>
      <c r="H646" t="s">
        <v>58</v>
      </c>
      <c r="I646">
        <v>5</v>
      </c>
      <c r="J646" s="5">
        <v>749</v>
      </c>
      <c r="K646" s="2">
        <v>0.05</v>
      </c>
      <c r="L646" t="s">
        <v>39</v>
      </c>
      <c r="M646" t="s">
        <v>23</v>
      </c>
      <c r="N646" s="1">
        <v>46126</v>
      </c>
      <c r="O646" s="1">
        <v>46126</v>
      </c>
      <c r="P646" s="5">
        <f>Orders[[#This Row],[Quantity]]*Orders[[#This Row],[Unit Price]]</f>
        <v>3745</v>
      </c>
      <c r="Q646" s="5">
        <f>Orders[[#This Row],[Gross Sales]]*Orders[[#This Row],[Discount %]]</f>
        <v>187.25</v>
      </c>
      <c r="R646" s="5">
        <f>Orders[[#This Row],[Gross Sales]]-Orders[[#This Row],[Discount Amount]]</f>
        <v>3557.75</v>
      </c>
      <c r="S646">
        <f>IF(Orders[[#This Row],[Actual Delivery Date]]="","",Orders[[#This Row],[Actual Delivery Date]]-Orders[[#This Row],[Order Date]])</f>
        <v>3</v>
      </c>
      <c r="T646" t="str">
        <f>IF(Orders[[#This Row],[Actual Delivery Date]]="","Pending",IF(Orders[[#This Row],[Actual Delivery Date]]&lt;=Orders[[#This Row],[Expected Delivery Date]],"On Time","Late"))</f>
        <v>On Time</v>
      </c>
      <c r="U646" t="str">
        <f>TEXT(Orders[[#This Row],[Order Date]],"mmm")</f>
        <v>Apr</v>
      </c>
      <c r="V646" s="8">
        <f>DATE(YEAR(Orders[[#This Row],[Order Date]]),MONTH(Orders[[#This Row],[Order Date]]),1)</f>
        <v>46113</v>
      </c>
      <c r="W646" s="5">
        <f>IF(Orders[[#This Row],[Order Status]]="Cancelled",Orders[[#This Row],[Net Sales]],0)</f>
        <v>0</v>
      </c>
    </row>
    <row r="647" spans="1:23" x14ac:dyDescent="0.3">
      <c r="A647" t="s">
        <v>1254</v>
      </c>
      <c r="B647" s="7">
        <v>46106</v>
      </c>
      <c r="C647" t="s">
        <v>202</v>
      </c>
      <c r="D647" t="s">
        <v>1106</v>
      </c>
      <c r="E647" t="s">
        <v>35</v>
      </c>
      <c r="F647" t="s">
        <v>36</v>
      </c>
      <c r="G647" t="s">
        <v>118</v>
      </c>
      <c r="H647" t="s">
        <v>58</v>
      </c>
      <c r="I647">
        <v>1</v>
      </c>
      <c r="J647" s="5">
        <v>749</v>
      </c>
      <c r="K647" s="2">
        <v>0</v>
      </c>
      <c r="L647" t="s">
        <v>70</v>
      </c>
      <c r="M647" t="s">
        <v>23</v>
      </c>
      <c r="N647" s="1">
        <v>46108</v>
      </c>
      <c r="O647" s="1">
        <v>46107</v>
      </c>
      <c r="P647" s="5">
        <f>Orders[[#This Row],[Quantity]]*Orders[[#This Row],[Unit Price]]</f>
        <v>749</v>
      </c>
      <c r="Q647" s="5">
        <f>Orders[[#This Row],[Gross Sales]]*Orders[[#This Row],[Discount %]]</f>
        <v>0</v>
      </c>
      <c r="R647" s="5">
        <f>Orders[[#This Row],[Gross Sales]]-Orders[[#This Row],[Discount Amount]]</f>
        <v>749</v>
      </c>
      <c r="S647">
        <f>IF(Orders[[#This Row],[Actual Delivery Date]]="","",Orders[[#This Row],[Actual Delivery Date]]-Orders[[#This Row],[Order Date]])</f>
        <v>1</v>
      </c>
      <c r="T647" t="str">
        <f>IF(Orders[[#This Row],[Actual Delivery Date]]="","Pending",IF(Orders[[#This Row],[Actual Delivery Date]]&lt;=Orders[[#This Row],[Expected Delivery Date]],"On Time","Late"))</f>
        <v>On Time</v>
      </c>
      <c r="U647" t="str">
        <f>TEXT(Orders[[#This Row],[Order Date]],"mmm")</f>
        <v>Mar</v>
      </c>
      <c r="V647" s="8">
        <f>DATE(YEAR(Orders[[#This Row],[Order Date]]),MONTH(Orders[[#This Row],[Order Date]]),1)</f>
        <v>46082</v>
      </c>
      <c r="W647" s="5">
        <f>IF(Orders[[#This Row],[Order Status]]="Cancelled",Orders[[#This Row],[Net Sales]],0)</f>
        <v>0</v>
      </c>
    </row>
    <row r="648" spans="1:23" x14ac:dyDescent="0.3">
      <c r="A648" t="s">
        <v>1255</v>
      </c>
      <c r="B648" s="7">
        <v>46128</v>
      </c>
      <c r="C648" t="s">
        <v>298</v>
      </c>
      <c r="D648" t="s">
        <v>739</v>
      </c>
      <c r="E648" t="s">
        <v>27</v>
      </c>
      <c r="F648" t="s">
        <v>74</v>
      </c>
      <c r="G648" t="s">
        <v>218</v>
      </c>
      <c r="H648" t="s">
        <v>21</v>
      </c>
      <c r="I648">
        <v>1</v>
      </c>
      <c r="J648" s="5">
        <v>2999</v>
      </c>
      <c r="K648" s="2">
        <v>0</v>
      </c>
      <c r="L648" t="s">
        <v>46</v>
      </c>
      <c r="M648" t="s">
        <v>23</v>
      </c>
      <c r="N648" s="1">
        <v>46130</v>
      </c>
      <c r="O648" s="1">
        <v>46129</v>
      </c>
      <c r="P648" s="5">
        <f>Orders[[#This Row],[Quantity]]*Orders[[#This Row],[Unit Price]]</f>
        <v>2999</v>
      </c>
      <c r="Q648" s="5">
        <f>Orders[[#This Row],[Gross Sales]]*Orders[[#This Row],[Discount %]]</f>
        <v>0</v>
      </c>
      <c r="R648" s="5">
        <f>Orders[[#This Row],[Gross Sales]]-Orders[[#This Row],[Discount Amount]]</f>
        <v>2999</v>
      </c>
      <c r="S648">
        <f>IF(Orders[[#This Row],[Actual Delivery Date]]="","",Orders[[#This Row],[Actual Delivery Date]]-Orders[[#This Row],[Order Date]])</f>
        <v>1</v>
      </c>
      <c r="T648" t="str">
        <f>IF(Orders[[#This Row],[Actual Delivery Date]]="","Pending",IF(Orders[[#This Row],[Actual Delivery Date]]&lt;=Orders[[#This Row],[Expected Delivery Date]],"On Time","Late"))</f>
        <v>On Time</v>
      </c>
      <c r="U648" t="str">
        <f>TEXT(Orders[[#This Row],[Order Date]],"mmm")</f>
        <v>Apr</v>
      </c>
      <c r="V648" s="8">
        <f>DATE(YEAR(Orders[[#This Row],[Order Date]]),MONTH(Orders[[#This Row],[Order Date]]),1)</f>
        <v>46113</v>
      </c>
      <c r="W648" s="5">
        <f>IF(Orders[[#This Row],[Order Status]]="Cancelled",Orders[[#This Row],[Net Sales]],0)</f>
        <v>0</v>
      </c>
    </row>
    <row r="649" spans="1:23" x14ac:dyDescent="0.3">
      <c r="A649" t="s">
        <v>1256</v>
      </c>
      <c r="B649" s="7">
        <v>46045</v>
      </c>
      <c r="C649" t="s">
        <v>162</v>
      </c>
      <c r="D649" t="s">
        <v>368</v>
      </c>
      <c r="E649" t="s">
        <v>79</v>
      </c>
      <c r="F649" t="s">
        <v>108</v>
      </c>
      <c r="G649" t="s">
        <v>91</v>
      </c>
      <c r="H649" t="s">
        <v>30</v>
      </c>
      <c r="I649">
        <v>5</v>
      </c>
      <c r="J649" s="5">
        <v>3299</v>
      </c>
      <c r="K649" s="2">
        <v>0.05</v>
      </c>
      <c r="L649" t="s">
        <v>31</v>
      </c>
      <c r="M649" t="s">
        <v>23</v>
      </c>
      <c r="N649" s="1">
        <v>46048</v>
      </c>
      <c r="O649" s="1">
        <v>46047</v>
      </c>
      <c r="P649" s="5">
        <f>Orders[[#This Row],[Quantity]]*Orders[[#This Row],[Unit Price]]</f>
        <v>16495</v>
      </c>
      <c r="Q649" s="5">
        <f>Orders[[#This Row],[Gross Sales]]*Orders[[#This Row],[Discount %]]</f>
        <v>824.75</v>
      </c>
      <c r="R649" s="5">
        <f>Orders[[#This Row],[Gross Sales]]-Orders[[#This Row],[Discount Amount]]</f>
        <v>15670.25</v>
      </c>
      <c r="S649">
        <f>IF(Orders[[#This Row],[Actual Delivery Date]]="","",Orders[[#This Row],[Actual Delivery Date]]-Orders[[#This Row],[Order Date]])</f>
        <v>2</v>
      </c>
      <c r="T649" t="str">
        <f>IF(Orders[[#This Row],[Actual Delivery Date]]="","Pending",IF(Orders[[#This Row],[Actual Delivery Date]]&lt;=Orders[[#This Row],[Expected Delivery Date]],"On Time","Late"))</f>
        <v>On Time</v>
      </c>
      <c r="U649" t="str">
        <f>TEXT(Orders[[#This Row],[Order Date]],"mmm")</f>
        <v>Jan</v>
      </c>
      <c r="V649" s="8">
        <f>DATE(YEAR(Orders[[#This Row],[Order Date]]),MONTH(Orders[[#This Row],[Order Date]]),1)</f>
        <v>46023</v>
      </c>
      <c r="W649" s="5">
        <f>IF(Orders[[#This Row],[Order Status]]="Cancelled",Orders[[#This Row],[Net Sales]],0)</f>
        <v>0</v>
      </c>
    </row>
    <row r="650" spans="1:23" x14ac:dyDescent="0.3">
      <c r="A650" t="s">
        <v>1257</v>
      </c>
      <c r="B650" s="7">
        <v>46113</v>
      </c>
      <c r="C650" t="s">
        <v>458</v>
      </c>
      <c r="D650" t="s">
        <v>368</v>
      </c>
      <c r="E650" t="s">
        <v>27</v>
      </c>
      <c r="F650" t="s">
        <v>56</v>
      </c>
      <c r="G650" t="s">
        <v>104</v>
      </c>
      <c r="H650" t="s">
        <v>38</v>
      </c>
      <c r="I650">
        <v>3</v>
      </c>
      <c r="J650" s="5">
        <v>999</v>
      </c>
      <c r="K650" s="2">
        <v>0</v>
      </c>
      <c r="L650" t="s">
        <v>39</v>
      </c>
      <c r="M650" t="s">
        <v>82</v>
      </c>
      <c r="N650" s="1">
        <v>46120</v>
      </c>
      <c r="O650" s="1">
        <v>46119</v>
      </c>
      <c r="P650" s="5">
        <f>Orders[[#This Row],[Quantity]]*Orders[[#This Row],[Unit Price]]</f>
        <v>2997</v>
      </c>
      <c r="Q650" s="5">
        <f>Orders[[#This Row],[Gross Sales]]*Orders[[#This Row],[Discount %]]</f>
        <v>0</v>
      </c>
      <c r="R650" s="5">
        <f>Orders[[#This Row],[Gross Sales]]-Orders[[#This Row],[Discount Amount]]</f>
        <v>2997</v>
      </c>
      <c r="S650">
        <f>IF(Orders[[#This Row],[Actual Delivery Date]]="","",Orders[[#This Row],[Actual Delivery Date]]-Orders[[#This Row],[Order Date]])</f>
        <v>6</v>
      </c>
      <c r="T650" t="str">
        <f>IF(Orders[[#This Row],[Actual Delivery Date]]="","Pending",IF(Orders[[#This Row],[Actual Delivery Date]]&lt;=Orders[[#This Row],[Expected Delivery Date]],"On Time","Late"))</f>
        <v>On Time</v>
      </c>
      <c r="U650" t="str">
        <f>TEXT(Orders[[#This Row],[Order Date]],"mmm")</f>
        <v>Apr</v>
      </c>
      <c r="V650" s="8">
        <f>DATE(YEAR(Orders[[#This Row],[Order Date]]),MONTH(Orders[[#This Row],[Order Date]]),1)</f>
        <v>46113</v>
      </c>
      <c r="W650" s="5">
        <f>IF(Orders[[#This Row],[Order Status]]="Cancelled",Orders[[#This Row],[Net Sales]],0)</f>
        <v>0</v>
      </c>
    </row>
    <row r="651" spans="1:23" x14ac:dyDescent="0.3">
      <c r="A651" t="s">
        <v>1258</v>
      </c>
      <c r="B651" s="7">
        <v>46212</v>
      </c>
      <c r="C651" t="s">
        <v>940</v>
      </c>
      <c r="D651" t="s">
        <v>62</v>
      </c>
      <c r="E651" t="s">
        <v>27</v>
      </c>
      <c r="F651" t="s">
        <v>51</v>
      </c>
      <c r="G651" t="s">
        <v>180</v>
      </c>
      <c r="H651" t="s">
        <v>58</v>
      </c>
      <c r="I651">
        <v>3</v>
      </c>
      <c r="J651" s="5">
        <v>599</v>
      </c>
      <c r="K651" s="2">
        <v>0.05</v>
      </c>
      <c r="L651" t="s">
        <v>22</v>
      </c>
      <c r="M651" t="s">
        <v>82</v>
      </c>
      <c r="N651" s="1">
        <v>46218</v>
      </c>
      <c r="O651" s="1">
        <v>46219</v>
      </c>
      <c r="P651" s="5">
        <f>Orders[[#This Row],[Quantity]]*Orders[[#This Row],[Unit Price]]</f>
        <v>1797</v>
      </c>
      <c r="Q651" s="5">
        <f>Orders[[#This Row],[Gross Sales]]*Orders[[#This Row],[Discount %]]</f>
        <v>89.850000000000009</v>
      </c>
      <c r="R651" s="5">
        <f>Orders[[#This Row],[Gross Sales]]-Orders[[#This Row],[Discount Amount]]</f>
        <v>1707.15</v>
      </c>
      <c r="S651">
        <f>IF(Orders[[#This Row],[Actual Delivery Date]]="","",Orders[[#This Row],[Actual Delivery Date]]-Orders[[#This Row],[Order Date]])</f>
        <v>7</v>
      </c>
      <c r="T651" t="str">
        <f>IF(Orders[[#This Row],[Actual Delivery Date]]="","Pending",IF(Orders[[#This Row],[Actual Delivery Date]]&lt;=Orders[[#This Row],[Expected Delivery Date]],"On Time","Late"))</f>
        <v>Late</v>
      </c>
      <c r="U651" t="str">
        <f>TEXT(Orders[[#This Row],[Order Date]],"mmm")</f>
        <v>Jul</v>
      </c>
      <c r="V651" s="8">
        <f>DATE(YEAR(Orders[[#This Row],[Order Date]]),MONTH(Orders[[#This Row],[Order Date]]),1)</f>
        <v>46204</v>
      </c>
      <c r="W651" s="5">
        <f>IF(Orders[[#This Row],[Order Status]]="Cancelled",Orders[[#This Row],[Net Sales]],0)</f>
        <v>0</v>
      </c>
    </row>
    <row r="652" spans="1:23" x14ac:dyDescent="0.3">
      <c r="A652" t="s">
        <v>1259</v>
      </c>
      <c r="B652" s="7">
        <v>46216</v>
      </c>
      <c r="C652" t="s">
        <v>709</v>
      </c>
      <c r="D652" t="s">
        <v>34</v>
      </c>
      <c r="E652" t="s">
        <v>27</v>
      </c>
      <c r="F652" t="s">
        <v>56</v>
      </c>
      <c r="G652" t="s">
        <v>69</v>
      </c>
      <c r="H652" t="s">
        <v>38</v>
      </c>
      <c r="I652">
        <v>2</v>
      </c>
      <c r="J652" s="5">
        <v>3499</v>
      </c>
      <c r="K652" s="2">
        <v>0.1</v>
      </c>
      <c r="L652" t="s">
        <v>22</v>
      </c>
      <c r="M652" t="s">
        <v>23</v>
      </c>
      <c r="N652" s="1">
        <v>46223</v>
      </c>
      <c r="O652" s="1">
        <v>46217</v>
      </c>
      <c r="P652" s="5">
        <f>Orders[[#This Row],[Quantity]]*Orders[[#This Row],[Unit Price]]</f>
        <v>6998</v>
      </c>
      <c r="Q652" s="5">
        <f>Orders[[#This Row],[Gross Sales]]*Orders[[#This Row],[Discount %]]</f>
        <v>699.80000000000007</v>
      </c>
      <c r="R652" s="5">
        <f>Orders[[#This Row],[Gross Sales]]-Orders[[#This Row],[Discount Amount]]</f>
        <v>6298.2</v>
      </c>
      <c r="S652">
        <f>IF(Orders[[#This Row],[Actual Delivery Date]]="","",Orders[[#This Row],[Actual Delivery Date]]-Orders[[#This Row],[Order Date]])</f>
        <v>1</v>
      </c>
      <c r="T652" t="str">
        <f>IF(Orders[[#This Row],[Actual Delivery Date]]="","Pending",IF(Orders[[#This Row],[Actual Delivery Date]]&lt;=Orders[[#This Row],[Expected Delivery Date]],"On Time","Late"))</f>
        <v>On Time</v>
      </c>
      <c r="U652" t="str">
        <f>TEXT(Orders[[#This Row],[Order Date]],"mmm")</f>
        <v>Jul</v>
      </c>
      <c r="V652" s="8">
        <f>DATE(YEAR(Orders[[#This Row],[Order Date]]),MONTH(Orders[[#This Row],[Order Date]]),1)</f>
        <v>46204</v>
      </c>
      <c r="W652" s="5">
        <f>IF(Orders[[#This Row],[Order Status]]="Cancelled",Orders[[#This Row],[Net Sales]],0)</f>
        <v>0</v>
      </c>
    </row>
    <row r="653" spans="1:23" x14ac:dyDescent="0.3">
      <c r="A653" t="s">
        <v>1260</v>
      </c>
      <c r="B653" s="7">
        <v>46050</v>
      </c>
      <c r="C653" t="s">
        <v>580</v>
      </c>
      <c r="D653" t="s">
        <v>252</v>
      </c>
      <c r="E653" t="s">
        <v>35</v>
      </c>
      <c r="F653" t="s">
        <v>68</v>
      </c>
      <c r="G653" t="s">
        <v>20</v>
      </c>
      <c r="H653" t="s">
        <v>21</v>
      </c>
      <c r="I653">
        <v>2</v>
      </c>
      <c r="J653" s="5">
        <v>1799</v>
      </c>
      <c r="K653" s="2">
        <v>0.1</v>
      </c>
      <c r="L653" t="s">
        <v>31</v>
      </c>
      <c r="M653" t="s">
        <v>82</v>
      </c>
      <c r="N653" s="1">
        <v>46056</v>
      </c>
      <c r="O653" s="1">
        <v>46060</v>
      </c>
      <c r="P653" s="5">
        <f>Orders[[#This Row],[Quantity]]*Orders[[#This Row],[Unit Price]]</f>
        <v>3598</v>
      </c>
      <c r="Q653" s="5">
        <f>Orders[[#This Row],[Gross Sales]]*Orders[[#This Row],[Discount %]]</f>
        <v>359.8</v>
      </c>
      <c r="R653" s="5">
        <f>Orders[[#This Row],[Gross Sales]]-Orders[[#This Row],[Discount Amount]]</f>
        <v>3238.2</v>
      </c>
      <c r="S653">
        <f>IF(Orders[[#This Row],[Actual Delivery Date]]="","",Orders[[#This Row],[Actual Delivery Date]]-Orders[[#This Row],[Order Date]])</f>
        <v>10</v>
      </c>
      <c r="T653" t="str">
        <f>IF(Orders[[#This Row],[Actual Delivery Date]]="","Pending",IF(Orders[[#This Row],[Actual Delivery Date]]&lt;=Orders[[#This Row],[Expected Delivery Date]],"On Time","Late"))</f>
        <v>Late</v>
      </c>
      <c r="U653" t="str">
        <f>TEXT(Orders[[#This Row],[Order Date]],"mmm")</f>
        <v>Jan</v>
      </c>
      <c r="V653" s="8">
        <f>DATE(YEAR(Orders[[#This Row],[Order Date]]),MONTH(Orders[[#This Row],[Order Date]]),1)</f>
        <v>46023</v>
      </c>
      <c r="W653" s="5">
        <f>IF(Orders[[#This Row],[Order Status]]="Cancelled",Orders[[#This Row],[Net Sales]],0)</f>
        <v>0</v>
      </c>
    </row>
    <row r="654" spans="1:23" x14ac:dyDescent="0.3">
      <c r="A654" t="s">
        <v>1261</v>
      </c>
      <c r="B654" s="7">
        <v>46221</v>
      </c>
      <c r="C654" t="s">
        <v>484</v>
      </c>
      <c r="D654" t="s">
        <v>662</v>
      </c>
      <c r="E654" t="s">
        <v>79</v>
      </c>
      <c r="F654" t="s">
        <v>86</v>
      </c>
      <c r="G654" t="s">
        <v>69</v>
      </c>
      <c r="H654" t="s">
        <v>38</v>
      </c>
      <c r="I654">
        <v>3</v>
      </c>
      <c r="J654" s="5">
        <v>3499</v>
      </c>
      <c r="K654" s="2">
        <v>0.2</v>
      </c>
      <c r="L654" t="s">
        <v>46</v>
      </c>
      <c r="M654" t="s">
        <v>23</v>
      </c>
      <c r="N654" s="1">
        <v>46227</v>
      </c>
      <c r="O654" s="1">
        <v>46224</v>
      </c>
      <c r="P654" s="5">
        <f>Orders[[#This Row],[Quantity]]*Orders[[#This Row],[Unit Price]]</f>
        <v>10497</v>
      </c>
      <c r="Q654" s="5">
        <f>Orders[[#This Row],[Gross Sales]]*Orders[[#This Row],[Discount %]]</f>
        <v>2099.4</v>
      </c>
      <c r="R654" s="5">
        <f>Orders[[#This Row],[Gross Sales]]-Orders[[#This Row],[Discount Amount]]</f>
        <v>8397.6</v>
      </c>
      <c r="S654">
        <f>IF(Orders[[#This Row],[Actual Delivery Date]]="","",Orders[[#This Row],[Actual Delivery Date]]-Orders[[#This Row],[Order Date]])</f>
        <v>3</v>
      </c>
      <c r="T654" t="str">
        <f>IF(Orders[[#This Row],[Actual Delivery Date]]="","Pending",IF(Orders[[#This Row],[Actual Delivery Date]]&lt;=Orders[[#This Row],[Expected Delivery Date]],"On Time","Late"))</f>
        <v>On Time</v>
      </c>
      <c r="U654" t="str">
        <f>TEXT(Orders[[#This Row],[Order Date]],"mmm")</f>
        <v>Jul</v>
      </c>
      <c r="V654" s="8">
        <f>DATE(YEAR(Orders[[#This Row],[Order Date]]),MONTH(Orders[[#This Row],[Order Date]]),1)</f>
        <v>46204</v>
      </c>
      <c r="W654" s="5">
        <f>IF(Orders[[#This Row],[Order Status]]="Cancelled",Orders[[#This Row],[Net Sales]],0)</f>
        <v>0</v>
      </c>
    </row>
    <row r="655" spans="1:23" x14ac:dyDescent="0.3">
      <c r="A655" t="s">
        <v>1262</v>
      </c>
      <c r="B655" s="7">
        <v>46320</v>
      </c>
      <c r="C655" t="s">
        <v>480</v>
      </c>
      <c r="D655" t="s">
        <v>343</v>
      </c>
      <c r="E655" t="s">
        <v>79</v>
      </c>
      <c r="F655" t="s">
        <v>170</v>
      </c>
      <c r="G655" t="s">
        <v>118</v>
      </c>
      <c r="H655" t="s">
        <v>58</v>
      </c>
      <c r="I655">
        <v>1</v>
      </c>
      <c r="J655" s="5">
        <v>749</v>
      </c>
      <c r="K655" s="2">
        <v>0.2</v>
      </c>
      <c r="L655" t="s">
        <v>39</v>
      </c>
      <c r="M655" t="s">
        <v>23</v>
      </c>
      <c r="N655" s="1">
        <v>46323</v>
      </c>
      <c r="O655" s="1">
        <v>46327</v>
      </c>
      <c r="P655" s="5">
        <f>Orders[[#This Row],[Quantity]]*Orders[[#This Row],[Unit Price]]</f>
        <v>749</v>
      </c>
      <c r="Q655" s="5">
        <f>Orders[[#This Row],[Gross Sales]]*Orders[[#This Row],[Discount %]]</f>
        <v>149.80000000000001</v>
      </c>
      <c r="R655" s="5">
        <f>Orders[[#This Row],[Gross Sales]]-Orders[[#This Row],[Discount Amount]]</f>
        <v>599.20000000000005</v>
      </c>
      <c r="S655">
        <f>IF(Orders[[#This Row],[Actual Delivery Date]]="","",Orders[[#This Row],[Actual Delivery Date]]-Orders[[#This Row],[Order Date]])</f>
        <v>7</v>
      </c>
      <c r="T655" t="str">
        <f>IF(Orders[[#This Row],[Actual Delivery Date]]="","Pending",IF(Orders[[#This Row],[Actual Delivery Date]]&lt;=Orders[[#This Row],[Expected Delivery Date]],"On Time","Late"))</f>
        <v>Late</v>
      </c>
      <c r="U655" t="str">
        <f>TEXT(Orders[[#This Row],[Order Date]],"mmm")</f>
        <v>Oct</v>
      </c>
      <c r="V655" s="8">
        <f>DATE(YEAR(Orders[[#This Row],[Order Date]]),MONTH(Orders[[#This Row],[Order Date]]),1)</f>
        <v>46296</v>
      </c>
      <c r="W655" s="5">
        <f>IF(Orders[[#This Row],[Order Status]]="Cancelled",Orders[[#This Row],[Net Sales]],0)</f>
        <v>0</v>
      </c>
    </row>
    <row r="656" spans="1:23" x14ac:dyDescent="0.3">
      <c r="A656" t="s">
        <v>1263</v>
      </c>
      <c r="B656" s="7">
        <v>46315</v>
      </c>
      <c r="C656" t="s">
        <v>1264</v>
      </c>
      <c r="D656" t="s">
        <v>534</v>
      </c>
      <c r="E656" t="s">
        <v>27</v>
      </c>
      <c r="F656" t="s">
        <v>51</v>
      </c>
      <c r="G656" t="s">
        <v>57</v>
      </c>
      <c r="H656" t="s">
        <v>58</v>
      </c>
      <c r="I656">
        <v>1</v>
      </c>
      <c r="J656" s="5">
        <v>499</v>
      </c>
      <c r="K656" s="2">
        <v>0.1</v>
      </c>
      <c r="L656" t="s">
        <v>46</v>
      </c>
      <c r="M656" t="s">
        <v>47</v>
      </c>
      <c r="N656" s="1">
        <v>46317</v>
      </c>
      <c r="O656" s="1"/>
      <c r="P656" s="5">
        <f>Orders[[#This Row],[Quantity]]*Orders[[#This Row],[Unit Price]]</f>
        <v>499</v>
      </c>
      <c r="Q656" s="5">
        <f>Orders[[#This Row],[Gross Sales]]*Orders[[#This Row],[Discount %]]</f>
        <v>49.900000000000006</v>
      </c>
      <c r="R656" s="5">
        <f>Orders[[#This Row],[Gross Sales]]-Orders[[#This Row],[Discount Amount]]</f>
        <v>449.1</v>
      </c>
      <c r="S656" t="str">
        <f>IF(Orders[[#This Row],[Actual Delivery Date]]="","",Orders[[#This Row],[Actual Delivery Date]]-Orders[[#This Row],[Order Date]])</f>
        <v/>
      </c>
      <c r="T656" t="str">
        <f>IF(Orders[[#This Row],[Actual Delivery Date]]="","Pending",IF(Orders[[#This Row],[Actual Delivery Date]]&lt;=Orders[[#This Row],[Expected Delivery Date]],"On Time","Late"))</f>
        <v>Pending</v>
      </c>
      <c r="U656" t="str">
        <f>TEXT(Orders[[#This Row],[Order Date]],"mmm")</f>
        <v>Oct</v>
      </c>
      <c r="V656" s="8">
        <f>DATE(YEAR(Orders[[#This Row],[Order Date]]),MONTH(Orders[[#This Row],[Order Date]]),1)</f>
        <v>46296</v>
      </c>
      <c r="W656" s="5">
        <f>IF(Orders[[#This Row],[Order Status]]="Cancelled",Orders[[#This Row],[Net Sales]],0)</f>
        <v>0</v>
      </c>
    </row>
    <row r="657" spans="1:23" x14ac:dyDescent="0.3">
      <c r="A657" t="s">
        <v>1265</v>
      </c>
      <c r="B657" s="7">
        <v>46140</v>
      </c>
      <c r="C657" t="s">
        <v>178</v>
      </c>
      <c r="D657" t="s">
        <v>573</v>
      </c>
      <c r="E657" t="s">
        <v>35</v>
      </c>
      <c r="F657" t="s">
        <v>63</v>
      </c>
      <c r="G657" t="s">
        <v>91</v>
      </c>
      <c r="H657" t="s">
        <v>30</v>
      </c>
      <c r="I657">
        <v>2</v>
      </c>
      <c r="J657" s="5">
        <v>3299</v>
      </c>
      <c r="K657" s="2">
        <v>0.15</v>
      </c>
      <c r="L657" t="s">
        <v>22</v>
      </c>
      <c r="M657" t="s">
        <v>47</v>
      </c>
      <c r="N657" s="1">
        <v>46144</v>
      </c>
      <c r="O657" s="1"/>
      <c r="P657" s="5">
        <f>Orders[[#This Row],[Quantity]]*Orders[[#This Row],[Unit Price]]</f>
        <v>6598</v>
      </c>
      <c r="Q657" s="5">
        <f>Orders[[#This Row],[Gross Sales]]*Orders[[#This Row],[Discount %]]</f>
        <v>989.69999999999993</v>
      </c>
      <c r="R657" s="5">
        <f>Orders[[#This Row],[Gross Sales]]-Orders[[#This Row],[Discount Amount]]</f>
        <v>5608.3</v>
      </c>
      <c r="S657" t="str">
        <f>IF(Orders[[#This Row],[Actual Delivery Date]]="","",Orders[[#This Row],[Actual Delivery Date]]-Orders[[#This Row],[Order Date]])</f>
        <v/>
      </c>
      <c r="T657" t="str">
        <f>IF(Orders[[#This Row],[Actual Delivery Date]]="","Pending",IF(Orders[[#This Row],[Actual Delivery Date]]&lt;=Orders[[#This Row],[Expected Delivery Date]],"On Time","Late"))</f>
        <v>Pending</v>
      </c>
      <c r="U657" t="str">
        <f>TEXT(Orders[[#This Row],[Order Date]],"mmm")</f>
        <v>Apr</v>
      </c>
      <c r="V657" s="8">
        <f>DATE(YEAR(Orders[[#This Row],[Order Date]]),MONTH(Orders[[#This Row],[Order Date]]),1)</f>
        <v>46113</v>
      </c>
      <c r="W657" s="5">
        <f>IF(Orders[[#This Row],[Order Status]]="Cancelled",Orders[[#This Row],[Net Sales]],0)</f>
        <v>0</v>
      </c>
    </row>
    <row r="658" spans="1:23" x14ac:dyDescent="0.3">
      <c r="A658" t="s">
        <v>1266</v>
      </c>
      <c r="B658" s="7">
        <v>46277</v>
      </c>
      <c r="C658" t="s">
        <v>508</v>
      </c>
      <c r="D658" t="s">
        <v>1267</v>
      </c>
      <c r="E658" t="s">
        <v>79</v>
      </c>
      <c r="F658" t="s">
        <v>170</v>
      </c>
      <c r="G658" t="s">
        <v>118</v>
      </c>
      <c r="H658" t="s">
        <v>58</v>
      </c>
      <c r="I658">
        <v>1</v>
      </c>
      <c r="J658" s="5">
        <v>749</v>
      </c>
      <c r="K658" s="2">
        <v>0.15</v>
      </c>
      <c r="L658" t="s">
        <v>39</v>
      </c>
      <c r="M658" t="s">
        <v>23</v>
      </c>
      <c r="N658" s="1">
        <v>46282</v>
      </c>
      <c r="O658" s="1">
        <v>46278</v>
      </c>
      <c r="P658" s="5">
        <f>Orders[[#This Row],[Quantity]]*Orders[[#This Row],[Unit Price]]</f>
        <v>749</v>
      </c>
      <c r="Q658" s="5">
        <f>Orders[[#This Row],[Gross Sales]]*Orders[[#This Row],[Discount %]]</f>
        <v>112.35</v>
      </c>
      <c r="R658" s="5">
        <f>Orders[[#This Row],[Gross Sales]]-Orders[[#This Row],[Discount Amount]]</f>
        <v>636.65</v>
      </c>
      <c r="S658">
        <f>IF(Orders[[#This Row],[Actual Delivery Date]]="","",Orders[[#This Row],[Actual Delivery Date]]-Orders[[#This Row],[Order Date]])</f>
        <v>1</v>
      </c>
      <c r="T658" t="str">
        <f>IF(Orders[[#This Row],[Actual Delivery Date]]="","Pending",IF(Orders[[#This Row],[Actual Delivery Date]]&lt;=Orders[[#This Row],[Expected Delivery Date]],"On Time","Late"))</f>
        <v>On Time</v>
      </c>
      <c r="U658" t="str">
        <f>TEXT(Orders[[#This Row],[Order Date]],"mmm")</f>
        <v>Sep</v>
      </c>
      <c r="V658" s="8">
        <f>DATE(YEAR(Orders[[#This Row],[Order Date]]),MONTH(Orders[[#This Row],[Order Date]]),1)</f>
        <v>46266</v>
      </c>
      <c r="W658" s="5">
        <f>IF(Orders[[#This Row],[Order Status]]="Cancelled",Orders[[#This Row],[Net Sales]],0)</f>
        <v>0</v>
      </c>
    </row>
    <row r="659" spans="1:23" x14ac:dyDescent="0.3">
      <c r="A659" t="s">
        <v>1268</v>
      </c>
      <c r="B659" s="7">
        <v>46073</v>
      </c>
      <c r="C659" t="s">
        <v>351</v>
      </c>
      <c r="D659" t="s">
        <v>433</v>
      </c>
      <c r="E659" t="s">
        <v>35</v>
      </c>
      <c r="F659" t="s">
        <v>135</v>
      </c>
      <c r="G659" t="s">
        <v>20</v>
      </c>
      <c r="H659" t="s">
        <v>21</v>
      </c>
      <c r="I659">
        <v>1</v>
      </c>
      <c r="J659" s="5">
        <v>1799</v>
      </c>
      <c r="K659" s="2">
        <v>0.1</v>
      </c>
      <c r="L659" t="s">
        <v>39</v>
      </c>
      <c r="M659" t="s">
        <v>47</v>
      </c>
      <c r="N659" s="1">
        <v>46076</v>
      </c>
      <c r="O659" s="1"/>
      <c r="P659" s="5">
        <f>Orders[[#This Row],[Quantity]]*Orders[[#This Row],[Unit Price]]</f>
        <v>1799</v>
      </c>
      <c r="Q659" s="5">
        <f>Orders[[#This Row],[Gross Sales]]*Orders[[#This Row],[Discount %]]</f>
        <v>179.9</v>
      </c>
      <c r="R659" s="5">
        <f>Orders[[#This Row],[Gross Sales]]-Orders[[#This Row],[Discount Amount]]</f>
        <v>1619.1</v>
      </c>
      <c r="S659" t="str">
        <f>IF(Orders[[#This Row],[Actual Delivery Date]]="","",Orders[[#This Row],[Actual Delivery Date]]-Orders[[#This Row],[Order Date]])</f>
        <v/>
      </c>
      <c r="T659" t="str">
        <f>IF(Orders[[#This Row],[Actual Delivery Date]]="","Pending",IF(Orders[[#This Row],[Actual Delivery Date]]&lt;=Orders[[#This Row],[Expected Delivery Date]],"On Time","Late"))</f>
        <v>Pending</v>
      </c>
      <c r="U659" t="str">
        <f>TEXT(Orders[[#This Row],[Order Date]],"mmm")</f>
        <v>Feb</v>
      </c>
      <c r="V659" s="8">
        <f>DATE(YEAR(Orders[[#This Row],[Order Date]]),MONTH(Orders[[#This Row],[Order Date]]),1)</f>
        <v>46054</v>
      </c>
      <c r="W659" s="5">
        <f>IF(Orders[[#This Row],[Order Status]]="Cancelled",Orders[[#This Row],[Net Sales]],0)</f>
        <v>0</v>
      </c>
    </row>
    <row r="660" spans="1:23" x14ac:dyDescent="0.3">
      <c r="A660" t="s">
        <v>1269</v>
      </c>
      <c r="B660" s="7">
        <v>46120</v>
      </c>
      <c r="C660" t="s">
        <v>421</v>
      </c>
      <c r="D660" t="s">
        <v>839</v>
      </c>
      <c r="E660" t="s">
        <v>35</v>
      </c>
      <c r="F660" t="s">
        <v>36</v>
      </c>
      <c r="G660" t="s">
        <v>186</v>
      </c>
      <c r="H660" t="s">
        <v>21</v>
      </c>
      <c r="I660">
        <v>2</v>
      </c>
      <c r="J660" s="5">
        <v>1999</v>
      </c>
      <c r="K660" s="2">
        <v>0.05</v>
      </c>
      <c r="L660" t="s">
        <v>22</v>
      </c>
      <c r="M660" t="s">
        <v>23</v>
      </c>
      <c r="N660" s="1">
        <v>46122</v>
      </c>
      <c r="O660" s="1">
        <v>46122</v>
      </c>
      <c r="P660" s="5">
        <f>Orders[[#This Row],[Quantity]]*Orders[[#This Row],[Unit Price]]</f>
        <v>3998</v>
      </c>
      <c r="Q660" s="5">
        <f>Orders[[#This Row],[Gross Sales]]*Orders[[#This Row],[Discount %]]</f>
        <v>199.9</v>
      </c>
      <c r="R660" s="5">
        <f>Orders[[#This Row],[Gross Sales]]-Orders[[#This Row],[Discount Amount]]</f>
        <v>3798.1</v>
      </c>
      <c r="S660">
        <f>IF(Orders[[#This Row],[Actual Delivery Date]]="","",Orders[[#This Row],[Actual Delivery Date]]-Orders[[#This Row],[Order Date]])</f>
        <v>2</v>
      </c>
      <c r="T660" t="str">
        <f>IF(Orders[[#This Row],[Actual Delivery Date]]="","Pending",IF(Orders[[#This Row],[Actual Delivery Date]]&lt;=Orders[[#This Row],[Expected Delivery Date]],"On Time","Late"))</f>
        <v>On Time</v>
      </c>
      <c r="U660" t="str">
        <f>TEXT(Orders[[#This Row],[Order Date]],"mmm")</f>
        <v>Apr</v>
      </c>
      <c r="V660" s="8">
        <f>DATE(YEAR(Orders[[#This Row],[Order Date]]),MONTH(Orders[[#This Row],[Order Date]]),1)</f>
        <v>46113</v>
      </c>
      <c r="W660" s="5">
        <f>IF(Orders[[#This Row],[Order Status]]="Cancelled",Orders[[#This Row],[Net Sales]],0)</f>
        <v>0</v>
      </c>
    </row>
    <row r="661" spans="1:23" x14ac:dyDescent="0.3">
      <c r="A661" t="s">
        <v>1270</v>
      </c>
      <c r="B661" s="7">
        <v>46099</v>
      </c>
      <c r="C661" t="s">
        <v>220</v>
      </c>
      <c r="D661" t="s">
        <v>1083</v>
      </c>
      <c r="E661" t="s">
        <v>79</v>
      </c>
      <c r="F661" t="s">
        <v>86</v>
      </c>
      <c r="G661" t="s">
        <v>228</v>
      </c>
      <c r="H661" t="s">
        <v>58</v>
      </c>
      <c r="I661">
        <v>3</v>
      </c>
      <c r="J661" s="5">
        <v>1499</v>
      </c>
      <c r="K661" s="2">
        <v>0.05</v>
      </c>
      <c r="L661" t="s">
        <v>31</v>
      </c>
      <c r="M661" t="s">
        <v>59</v>
      </c>
      <c r="N661" s="1">
        <v>46106</v>
      </c>
      <c r="O661" s="1">
        <v>46101</v>
      </c>
      <c r="P661" s="5">
        <f>Orders[[#This Row],[Quantity]]*Orders[[#This Row],[Unit Price]]</f>
        <v>4497</v>
      </c>
      <c r="Q661" s="5">
        <f>Orders[[#This Row],[Gross Sales]]*Orders[[#This Row],[Discount %]]</f>
        <v>224.85000000000002</v>
      </c>
      <c r="R661" s="5">
        <f>Orders[[#This Row],[Gross Sales]]-Orders[[#This Row],[Discount Amount]]</f>
        <v>4272.1499999999996</v>
      </c>
      <c r="S661">
        <f>IF(Orders[[#This Row],[Actual Delivery Date]]="","",Orders[[#This Row],[Actual Delivery Date]]-Orders[[#This Row],[Order Date]])</f>
        <v>2</v>
      </c>
      <c r="T661" t="str">
        <f>IF(Orders[[#This Row],[Actual Delivery Date]]="","Pending",IF(Orders[[#This Row],[Actual Delivery Date]]&lt;=Orders[[#This Row],[Expected Delivery Date]],"On Time","Late"))</f>
        <v>On Time</v>
      </c>
      <c r="U661" t="str">
        <f>TEXT(Orders[[#This Row],[Order Date]],"mmm")</f>
        <v>Mar</v>
      </c>
      <c r="V661" s="8">
        <f>DATE(YEAR(Orders[[#This Row],[Order Date]]),MONTH(Orders[[#This Row],[Order Date]]),1)</f>
        <v>46082</v>
      </c>
      <c r="W661" s="5">
        <f>IF(Orders[[#This Row],[Order Status]]="Cancelled",Orders[[#This Row],[Net Sales]],0)</f>
        <v>4272.1499999999996</v>
      </c>
    </row>
    <row r="662" spans="1:23" x14ac:dyDescent="0.3">
      <c r="A662" t="s">
        <v>1271</v>
      </c>
      <c r="B662" s="7">
        <v>46183</v>
      </c>
      <c r="C662" t="s">
        <v>437</v>
      </c>
      <c r="D662" t="s">
        <v>85</v>
      </c>
      <c r="E662" t="s">
        <v>79</v>
      </c>
      <c r="F662" t="s">
        <v>170</v>
      </c>
      <c r="G662" t="s">
        <v>64</v>
      </c>
      <c r="H662" t="s">
        <v>21</v>
      </c>
      <c r="I662">
        <v>3</v>
      </c>
      <c r="J662" s="5">
        <v>699</v>
      </c>
      <c r="K662" s="2">
        <v>0.15</v>
      </c>
      <c r="L662" t="s">
        <v>70</v>
      </c>
      <c r="M662" t="s">
        <v>23</v>
      </c>
      <c r="N662" s="1">
        <v>46188</v>
      </c>
      <c r="O662" s="1">
        <v>46188</v>
      </c>
      <c r="P662" s="5">
        <f>Orders[[#This Row],[Quantity]]*Orders[[#This Row],[Unit Price]]</f>
        <v>2097</v>
      </c>
      <c r="Q662" s="5">
        <f>Orders[[#This Row],[Gross Sales]]*Orders[[#This Row],[Discount %]]</f>
        <v>314.55</v>
      </c>
      <c r="R662" s="5">
        <f>Orders[[#This Row],[Gross Sales]]-Orders[[#This Row],[Discount Amount]]</f>
        <v>1782.45</v>
      </c>
      <c r="S662">
        <f>IF(Orders[[#This Row],[Actual Delivery Date]]="","",Orders[[#This Row],[Actual Delivery Date]]-Orders[[#This Row],[Order Date]])</f>
        <v>5</v>
      </c>
      <c r="T662" t="str">
        <f>IF(Orders[[#This Row],[Actual Delivery Date]]="","Pending",IF(Orders[[#This Row],[Actual Delivery Date]]&lt;=Orders[[#This Row],[Expected Delivery Date]],"On Time","Late"))</f>
        <v>On Time</v>
      </c>
      <c r="U662" t="str">
        <f>TEXT(Orders[[#This Row],[Order Date]],"mmm")</f>
        <v>Jun</v>
      </c>
      <c r="V662" s="8">
        <f>DATE(YEAR(Orders[[#This Row],[Order Date]]),MONTH(Orders[[#This Row],[Order Date]]),1)</f>
        <v>46174</v>
      </c>
      <c r="W662" s="5">
        <f>IF(Orders[[#This Row],[Order Status]]="Cancelled",Orders[[#This Row],[Net Sales]],0)</f>
        <v>0</v>
      </c>
    </row>
    <row r="663" spans="1:23" x14ac:dyDescent="0.3">
      <c r="A663" t="s">
        <v>1272</v>
      </c>
      <c r="B663" s="7">
        <v>46278</v>
      </c>
      <c r="C663" t="s">
        <v>802</v>
      </c>
      <c r="D663" t="s">
        <v>713</v>
      </c>
      <c r="E663" t="s">
        <v>27</v>
      </c>
      <c r="F663" t="s">
        <v>56</v>
      </c>
      <c r="G663" t="s">
        <v>64</v>
      </c>
      <c r="H663" t="s">
        <v>21</v>
      </c>
      <c r="I663">
        <v>3</v>
      </c>
      <c r="J663" s="5">
        <v>699</v>
      </c>
      <c r="K663" s="2">
        <v>0.1</v>
      </c>
      <c r="L663" t="s">
        <v>46</v>
      </c>
      <c r="M663" t="s">
        <v>23</v>
      </c>
      <c r="N663" s="1">
        <v>46283</v>
      </c>
      <c r="O663" s="1">
        <v>46282</v>
      </c>
      <c r="P663" s="5">
        <f>Orders[[#This Row],[Quantity]]*Orders[[#This Row],[Unit Price]]</f>
        <v>2097</v>
      </c>
      <c r="Q663" s="5">
        <f>Orders[[#This Row],[Gross Sales]]*Orders[[#This Row],[Discount %]]</f>
        <v>209.70000000000002</v>
      </c>
      <c r="R663" s="5">
        <f>Orders[[#This Row],[Gross Sales]]-Orders[[#This Row],[Discount Amount]]</f>
        <v>1887.3</v>
      </c>
      <c r="S663">
        <f>IF(Orders[[#This Row],[Actual Delivery Date]]="","",Orders[[#This Row],[Actual Delivery Date]]-Orders[[#This Row],[Order Date]])</f>
        <v>4</v>
      </c>
      <c r="T663" t="str">
        <f>IF(Orders[[#This Row],[Actual Delivery Date]]="","Pending",IF(Orders[[#This Row],[Actual Delivery Date]]&lt;=Orders[[#This Row],[Expected Delivery Date]],"On Time","Late"))</f>
        <v>On Time</v>
      </c>
      <c r="U663" t="str">
        <f>TEXT(Orders[[#This Row],[Order Date]],"mmm")</f>
        <v>Sep</v>
      </c>
      <c r="V663" s="8">
        <f>DATE(YEAR(Orders[[#This Row],[Order Date]]),MONTH(Orders[[#This Row],[Order Date]]),1)</f>
        <v>46266</v>
      </c>
      <c r="W663" s="5">
        <f>IF(Orders[[#This Row],[Order Status]]="Cancelled",Orders[[#This Row],[Net Sales]],0)</f>
        <v>0</v>
      </c>
    </row>
    <row r="664" spans="1:23" x14ac:dyDescent="0.3">
      <c r="A664" t="s">
        <v>1273</v>
      </c>
      <c r="B664" s="7">
        <v>46094</v>
      </c>
      <c r="C664" t="s">
        <v>276</v>
      </c>
      <c r="D664" t="s">
        <v>767</v>
      </c>
      <c r="E664" t="s">
        <v>35</v>
      </c>
      <c r="F664" t="s">
        <v>135</v>
      </c>
      <c r="G664" t="s">
        <v>81</v>
      </c>
      <c r="H664" t="s">
        <v>30</v>
      </c>
      <c r="I664">
        <v>1</v>
      </c>
      <c r="J664" s="5">
        <v>899</v>
      </c>
      <c r="K664" s="2">
        <v>0.1</v>
      </c>
      <c r="L664" t="s">
        <v>22</v>
      </c>
      <c r="M664" t="s">
        <v>59</v>
      </c>
      <c r="N664" s="1">
        <v>46100</v>
      </c>
      <c r="O664" s="1">
        <v>46104</v>
      </c>
      <c r="P664" s="5">
        <f>Orders[[#This Row],[Quantity]]*Orders[[#This Row],[Unit Price]]</f>
        <v>899</v>
      </c>
      <c r="Q664" s="5">
        <f>Orders[[#This Row],[Gross Sales]]*Orders[[#This Row],[Discount %]]</f>
        <v>89.9</v>
      </c>
      <c r="R664" s="5">
        <f>Orders[[#This Row],[Gross Sales]]-Orders[[#This Row],[Discount Amount]]</f>
        <v>809.1</v>
      </c>
      <c r="S664">
        <f>IF(Orders[[#This Row],[Actual Delivery Date]]="","",Orders[[#This Row],[Actual Delivery Date]]-Orders[[#This Row],[Order Date]])</f>
        <v>10</v>
      </c>
      <c r="T664" t="str">
        <f>IF(Orders[[#This Row],[Actual Delivery Date]]="","Pending",IF(Orders[[#This Row],[Actual Delivery Date]]&lt;=Orders[[#This Row],[Expected Delivery Date]],"On Time","Late"))</f>
        <v>Late</v>
      </c>
      <c r="U664" t="str">
        <f>TEXT(Orders[[#This Row],[Order Date]],"mmm")</f>
        <v>Mar</v>
      </c>
      <c r="V664" s="8">
        <f>DATE(YEAR(Orders[[#This Row],[Order Date]]),MONTH(Orders[[#This Row],[Order Date]]),1)</f>
        <v>46082</v>
      </c>
      <c r="W664" s="5">
        <f>IF(Orders[[#This Row],[Order Status]]="Cancelled",Orders[[#This Row],[Net Sales]],0)</f>
        <v>809.1</v>
      </c>
    </row>
    <row r="665" spans="1:23" x14ac:dyDescent="0.3">
      <c r="A665" t="s">
        <v>1274</v>
      </c>
      <c r="B665" s="7">
        <v>46119</v>
      </c>
      <c r="C665" t="s">
        <v>435</v>
      </c>
      <c r="D665" t="s">
        <v>781</v>
      </c>
      <c r="E665" t="s">
        <v>79</v>
      </c>
      <c r="F665" t="s">
        <v>86</v>
      </c>
      <c r="G665" t="s">
        <v>100</v>
      </c>
      <c r="H665" t="s">
        <v>30</v>
      </c>
      <c r="I665">
        <v>2</v>
      </c>
      <c r="J665" s="5">
        <v>2499</v>
      </c>
      <c r="K665" s="2">
        <v>0.1</v>
      </c>
      <c r="L665" t="s">
        <v>22</v>
      </c>
      <c r="M665" t="s">
        <v>23</v>
      </c>
      <c r="N665" s="1">
        <v>46126</v>
      </c>
      <c r="O665" s="1">
        <v>46127</v>
      </c>
      <c r="P665" s="5">
        <f>Orders[[#This Row],[Quantity]]*Orders[[#This Row],[Unit Price]]</f>
        <v>4998</v>
      </c>
      <c r="Q665" s="5">
        <f>Orders[[#This Row],[Gross Sales]]*Orders[[#This Row],[Discount %]]</f>
        <v>499.8</v>
      </c>
      <c r="R665" s="5">
        <f>Orders[[#This Row],[Gross Sales]]-Orders[[#This Row],[Discount Amount]]</f>
        <v>4498.2</v>
      </c>
      <c r="S665">
        <f>IF(Orders[[#This Row],[Actual Delivery Date]]="","",Orders[[#This Row],[Actual Delivery Date]]-Orders[[#This Row],[Order Date]])</f>
        <v>8</v>
      </c>
      <c r="T665" t="str">
        <f>IF(Orders[[#This Row],[Actual Delivery Date]]="","Pending",IF(Orders[[#This Row],[Actual Delivery Date]]&lt;=Orders[[#This Row],[Expected Delivery Date]],"On Time","Late"))</f>
        <v>Late</v>
      </c>
      <c r="U665" t="str">
        <f>TEXT(Orders[[#This Row],[Order Date]],"mmm")</f>
        <v>Apr</v>
      </c>
      <c r="V665" s="8">
        <f>DATE(YEAR(Orders[[#This Row],[Order Date]]),MONTH(Orders[[#This Row],[Order Date]]),1)</f>
        <v>46113</v>
      </c>
      <c r="W665" s="5">
        <f>IF(Orders[[#This Row],[Order Status]]="Cancelled",Orders[[#This Row],[Net Sales]],0)</f>
        <v>0</v>
      </c>
    </row>
    <row r="666" spans="1:23" x14ac:dyDescent="0.3">
      <c r="A666" t="s">
        <v>1275</v>
      </c>
      <c r="B666" s="7">
        <v>46036</v>
      </c>
      <c r="C666" t="s">
        <v>230</v>
      </c>
      <c r="D666" t="s">
        <v>628</v>
      </c>
      <c r="E666" t="s">
        <v>27</v>
      </c>
      <c r="F666" t="s">
        <v>28</v>
      </c>
      <c r="G666" t="s">
        <v>100</v>
      </c>
      <c r="H666" t="s">
        <v>30</v>
      </c>
      <c r="I666">
        <v>1</v>
      </c>
      <c r="J666" s="5">
        <v>2499</v>
      </c>
      <c r="K666" s="2">
        <v>0</v>
      </c>
      <c r="L666" t="s">
        <v>70</v>
      </c>
      <c r="M666" t="s">
        <v>23</v>
      </c>
      <c r="N666" s="1">
        <v>46039</v>
      </c>
      <c r="O666" s="1">
        <v>46039</v>
      </c>
      <c r="P666" s="5">
        <f>Orders[[#This Row],[Quantity]]*Orders[[#This Row],[Unit Price]]</f>
        <v>2499</v>
      </c>
      <c r="Q666" s="5">
        <f>Orders[[#This Row],[Gross Sales]]*Orders[[#This Row],[Discount %]]</f>
        <v>0</v>
      </c>
      <c r="R666" s="5">
        <f>Orders[[#This Row],[Gross Sales]]-Orders[[#This Row],[Discount Amount]]</f>
        <v>2499</v>
      </c>
      <c r="S666">
        <f>IF(Orders[[#This Row],[Actual Delivery Date]]="","",Orders[[#This Row],[Actual Delivery Date]]-Orders[[#This Row],[Order Date]])</f>
        <v>3</v>
      </c>
      <c r="T666" t="str">
        <f>IF(Orders[[#This Row],[Actual Delivery Date]]="","Pending",IF(Orders[[#This Row],[Actual Delivery Date]]&lt;=Orders[[#This Row],[Expected Delivery Date]],"On Time","Late"))</f>
        <v>On Time</v>
      </c>
      <c r="U666" t="str">
        <f>TEXT(Orders[[#This Row],[Order Date]],"mmm")</f>
        <v>Jan</v>
      </c>
      <c r="V666" s="8">
        <f>DATE(YEAR(Orders[[#This Row],[Order Date]]),MONTH(Orders[[#This Row],[Order Date]]),1)</f>
        <v>46023</v>
      </c>
      <c r="W666" s="5">
        <f>IF(Orders[[#This Row],[Order Status]]="Cancelled",Orders[[#This Row],[Net Sales]],0)</f>
        <v>0</v>
      </c>
    </row>
    <row r="667" spans="1:23" x14ac:dyDescent="0.3">
      <c r="A667" t="s">
        <v>1276</v>
      </c>
      <c r="B667" s="7">
        <v>46028</v>
      </c>
      <c r="C667" t="s">
        <v>236</v>
      </c>
      <c r="D667" t="s">
        <v>628</v>
      </c>
      <c r="E667" t="s">
        <v>79</v>
      </c>
      <c r="F667" t="s">
        <v>86</v>
      </c>
      <c r="G667" t="s">
        <v>87</v>
      </c>
      <c r="H667" t="s">
        <v>21</v>
      </c>
      <c r="I667">
        <v>1</v>
      </c>
      <c r="J667" s="5">
        <v>1899</v>
      </c>
      <c r="K667" s="2">
        <v>0.15</v>
      </c>
      <c r="L667" t="s">
        <v>70</v>
      </c>
      <c r="M667" t="s">
        <v>23</v>
      </c>
      <c r="N667" s="1">
        <v>46030</v>
      </c>
      <c r="O667" s="1">
        <v>46030</v>
      </c>
      <c r="P667" s="5">
        <f>Orders[[#This Row],[Quantity]]*Orders[[#This Row],[Unit Price]]</f>
        <v>1899</v>
      </c>
      <c r="Q667" s="5">
        <f>Orders[[#This Row],[Gross Sales]]*Orders[[#This Row],[Discount %]]</f>
        <v>284.84999999999997</v>
      </c>
      <c r="R667" s="5">
        <f>Orders[[#This Row],[Gross Sales]]-Orders[[#This Row],[Discount Amount]]</f>
        <v>1614.15</v>
      </c>
      <c r="S667">
        <f>IF(Orders[[#This Row],[Actual Delivery Date]]="","",Orders[[#This Row],[Actual Delivery Date]]-Orders[[#This Row],[Order Date]])</f>
        <v>2</v>
      </c>
      <c r="T667" t="str">
        <f>IF(Orders[[#This Row],[Actual Delivery Date]]="","Pending",IF(Orders[[#This Row],[Actual Delivery Date]]&lt;=Orders[[#This Row],[Expected Delivery Date]],"On Time","Late"))</f>
        <v>On Time</v>
      </c>
      <c r="U667" t="str">
        <f>TEXT(Orders[[#This Row],[Order Date]],"mmm")</f>
        <v>Jan</v>
      </c>
      <c r="V667" s="8">
        <f>DATE(YEAR(Orders[[#This Row],[Order Date]]),MONTH(Orders[[#This Row],[Order Date]]),1)</f>
        <v>46023</v>
      </c>
      <c r="W667" s="5">
        <f>IF(Orders[[#This Row],[Order Status]]="Cancelled",Orders[[#This Row],[Net Sales]],0)</f>
        <v>0</v>
      </c>
    </row>
    <row r="668" spans="1:23" x14ac:dyDescent="0.3">
      <c r="A668" t="s">
        <v>1277</v>
      </c>
      <c r="B668" s="7">
        <v>46181</v>
      </c>
      <c r="C668" t="s">
        <v>1136</v>
      </c>
      <c r="D668" t="s">
        <v>486</v>
      </c>
      <c r="E668" t="s">
        <v>79</v>
      </c>
      <c r="F668" t="s">
        <v>108</v>
      </c>
      <c r="G668" t="s">
        <v>37</v>
      </c>
      <c r="H668" t="s">
        <v>38</v>
      </c>
      <c r="I668">
        <v>1</v>
      </c>
      <c r="J668" s="5">
        <v>699</v>
      </c>
      <c r="K668" s="2">
        <v>0.15</v>
      </c>
      <c r="L668" t="s">
        <v>31</v>
      </c>
      <c r="M668" t="s">
        <v>47</v>
      </c>
      <c r="N668" s="1">
        <v>46187</v>
      </c>
      <c r="O668" s="1"/>
      <c r="P668" s="5">
        <f>Orders[[#This Row],[Quantity]]*Orders[[#This Row],[Unit Price]]</f>
        <v>699</v>
      </c>
      <c r="Q668" s="5">
        <f>Orders[[#This Row],[Gross Sales]]*Orders[[#This Row],[Discount %]]</f>
        <v>104.85</v>
      </c>
      <c r="R668" s="5">
        <f>Orders[[#This Row],[Gross Sales]]-Orders[[#This Row],[Discount Amount]]</f>
        <v>594.15</v>
      </c>
      <c r="S668" t="str">
        <f>IF(Orders[[#This Row],[Actual Delivery Date]]="","",Orders[[#This Row],[Actual Delivery Date]]-Orders[[#This Row],[Order Date]])</f>
        <v/>
      </c>
      <c r="T668" t="str">
        <f>IF(Orders[[#This Row],[Actual Delivery Date]]="","Pending",IF(Orders[[#This Row],[Actual Delivery Date]]&lt;=Orders[[#This Row],[Expected Delivery Date]],"On Time","Late"))</f>
        <v>Pending</v>
      </c>
      <c r="U668" t="str">
        <f>TEXT(Orders[[#This Row],[Order Date]],"mmm")</f>
        <v>Jun</v>
      </c>
      <c r="V668" s="8">
        <f>DATE(YEAR(Orders[[#This Row],[Order Date]]),MONTH(Orders[[#This Row],[Order Date]]),1)</f>
        <v>46174</v>
      </c>
      <c r="W668" s="5">
        <f>IF(Orders[[#This Row],[Order Status]]="Cancelled",Orders[[#This Row],[Net Sales]],0)</f>
        <v>0</v>
      </c>
    </row>
    <row r="669" spans="1:23" x14ac:dyDescent="0.3">
      <c r="A669" t="s">
        <v>1278</v>
      </c>
      <c r="B669" s="7">
        <v>46096</v>
      </c>
      <c r="C669" t="s">
        <v>256</v>
      </c>
      <c r="D669" t="s">
        <v>1279</v>
      </c>
      <c r="E669" t="s">
        <v>79</v>
      </c>
      <c r="F669" t="s">
        <v>80</v>
      </c>
      <c r="G669" t="s">
        <v>104</v>
      </c>
      <c r="H669" t="s">
        <v>38</v>
      </c>
      <c r="I669">
        <v>1</v>
      </c>
      <c r="J669" s="5">
        <v>999</v>
      </c>
      <c r="K669" s="2">
        <v>0.15</v>
      </c>
      <c r="L669" t="s">
        <v>22</v>
      </c>
      <c r="M669" t="s">
        <v>82</v>
      </c>
      <c r="N669" s="1">
        <v>46099</v>
      </c>
      <c r="O669" s="1">
        <v>46099</v>
      </c>
      <c r="P669" s="5">
        <f>Orders[[#This Row],[Quantity]]*Orders[[#This Row],[Unit Price]]</f>
        <v>999</v>
      </c>
      <c r="Q669" s="5">
        <f>Orders[[#This Row],[Gross Sales]]*Orders[[#This Row],[Discount %]]</f>
        <v>149.85</v>
      </c>
      <c r="R669" s="5">
        <f>Orders[[#This Row],[Gross Sales]]-Orders[[#This Row],[Discount Amount]]</f>
        <v>849.15</v>
      </c>
      <c r="S669">
        <f>IF(Orders[[#This Row],[Actual Delivery Date]]="","",Orders[[#This Row],[Actual Delivery Date]]-Orders[[#This Row],[Order Date]])</f>
        <v>3</v>
      </c>
      <c r="T669" t="str">
        <f>IF(Orders[[#This Row],[Actual Delivery Date]]="","Pending",IF(Orders[[#This Row],[Actual Delivery Date]]&lt;=Orders[[#This Row],[Expected Delivery Date]],"On Time","Late"))</f>
        <v>On Time</v>
      </c>
      <c r="U669" t="str">
        <f>TEXT(Orders[[#This Row],[Order Date]],"mmm")</f>
        <v>Mar</v>
      </c>
      <c r="V669" s="8">
        <f>DATE(YEAR(Orders[[#This Row],[Order Date]]),MONTH(Orders[[#This Row],[Order Date]]),1)</f>
        <v>46082</v>
      </c>
      <c r="W669" s="5">
        <f>IF(Orders[[#This Row],[Order Status]]="Cancelled",Orders[[#This Row],[Net Sales]],0)</f>
        <v>0</v>
      </c>
    </row>
    <row r="670" spans="1:23" x14ac:dyDescent="0.3">
      <c r="A670" t="s">
        <v>1280</v>
      </c>
      <c r="B670" s="7">
        <v>46353</v>
      </c>
      <c r="C670" t="s">
        <v>162</v>
      </c>
      <c r="D670" t="s">
        <v>173</v>
      </c>
      <c r="E670" t="s">
        <v>79</v>
      </c>
      <c r="F670" t="s">
        <v>86</v>
      </c>
      <c r="G670" t="s">
        <v>153</v>
      </c>
      <c r="H670" t="s">
        <v>45</v>
      </c>
      <c r="I670">
        <v>3</v>
      </c>
      <c r="J670" s="5">
        <v>1999</v>
      </c>
      <c r="K670" s="2">
        <v>0.15</v>
      </c>
      <c r="L670" t="s">
        <v>46</v>
      </c>
      <c r="M670" t="s">
        <v>59</v>
      </c>
      <c r="N670" s="1">
        <v>46360</v>
      </c>
      <c r="O670" s="1">
        <v>46357</v>
      </c>
      <c r="P670" s="5">
        <f>Orders[[#This Row],[Quantity]]*Orders[[#This Row],[Unit Price]]</f>
        <v>5997</v>
      </c>
      <c r="Q670" s="5">
        <f>Orders[[#This Row],[Gross Sales]]*Orders[[#This Row],[Discount %]]</f>
        <v>899.55</v>
      </c>
      <c r="R670" s="5">
        <f>Orders[[#This Row],[Gross Sales]]-Orders[[#This Row],[Discount Amount]]</f>
        <v>5097.45</v>
      </c>
      <c r="S670">
        <f>IF(Orders[[#This Row],[Actual Delivery Date]]="","",Orders[[#This Row],[Actual Delivery Date]]-Orders[[#This Row],[Order Date]])</f>
        <v>4</v>
      </c>
      <c r="T670" t="str">
        <f>IF(Orders[[#This Row],[Actual Delivery Date]]="","Pending",IF(Orders[[#This Row],[Actual Delivery Date]]&lt;=Orders[[#This Row],[Expected Delivery Date]],"On Time","Late"))</f>
        <v>On Time</v>
      </c>
      <c r="U670" t="str">
        <f>TEXT(Orders[[#This Row],[Order Date]],"mmm")</f>
        <v>Nov</v>
      </c>
      <c r="V670" s="8">
        <f>DATE(YEAR(Orders[[#This Row],[Order Date]]),MONTH(Orders[[#This Row],[Order Date]]),1)</f>
        <v>46327</v>
      </c>
      <c r="W670" s="5">
        <f>IF(Orders[[#This Row],[Order Status]]="Cancelled",Orders[[#This Row],[Net Sales]],0)</f>
        <v>5097.45</v>
      </c>
    </row>
    <row r="671" spans="1:23" x14ac:dyDescent="0.3">
      <c r="A671" t="s">
        <v>1281</v>
      </c>
      <c r="B671" s="7">
        <v>46257</v>
      </c>
      <c r="C671" t="s">
        <v>1282</v>
      </c>
      <c r="D671" t="s">
        <v>78</v>
      </c>
      <c r="E671" t="s">
        <v>27</v>
      </c>
      <c r="F671" t="s">
        <v>56</v>
      </c>
      <c r="G671" t="s">
        <v>100</v>
      </c>
      <c r="H671" t="s">
        <v>30</v>
      </c>
      <c r="I671">
        <v>1</v>
      </c>
      <c r="J671" s="5">
        <v>2499</v>
      </c>
      <c r="K671" s="2">
        <v>0.05</v>
      </c>
      <c r="L671" t="s">
        <v>22</v>
      </c>
      <c r="M671" t="s">
        <v>23</v>
      </c>
      <c r="N671" s="1">
        <v>46262</v>
      </c>
      <c r="O671" s="1">
        <v>46258</v>
      </c>
      <c r="P671" s="5">
        <f>Orders[[#This Row],[Quantity]]*Orders[[#This Row],[Unit Price]]</f>
        <v>2499</v>
      </c>
      <c r="Q671" s="5">
        <f>Orders[[#This Row],[Gross Sales]]*Orders[[#This Row],[Discount %]]</f>
        <v>124.95</v>
      </c>
      <c r="R671" s="5">
        <f>Orders[[#This Row],[Gross Sales]]-Orders[[#This Row],[Discount Amount]]</f>
        <v>2374.0500000000002</v>
      </c>
      <c r="S671">
        <f>IF(Orders[[#This Row],[Actual Delivery Date]]="","",Orders[[#This Row],[Actual Delivery Date]]-Orders[[#This Row],[Order Date]])</f>
        <v>1</v>
      </c>
      <c r="T671" t="str">
        <f>IF(Orders[[#This Row],[Actual Delivery Date]]="","Pending",IF(Orders[[#This Row],[Actual Delivery Date]]&lt;=Orders[[#This Row],[Expected Delivery Date]],"On Time","Late"))</f>
        <v>On Time</v>
      </c>
      <c r="U671" t="str">
        <f>TEXT(Orders[[#This Row],[Order Date]],"mmm")</f>
        <v>Aug</v>
      </c>
      <c r="V671" s="8">
        <f>DATE(YEAR(Orders[[#This Row],[Order Date]]),MONTH(Orders[[#This Row],[Order Date]]),1)</f>
        <v>46235</v>
      </c>
      <c r="W671" s="5">
        <f>IF(Orders[[#This Row],[Order Status]]="Cancelled",Orders[[#This Row],[Net Sales]],0)</f>
        <v>0</v>
      </c>
    </row>
    <row r="672" spans="1:23" x14ac:dyDescent="0.3">
      <c r="A672" t="s">
        <v>1283</v>
      </c>
      <c r="B672" s="7">
        <v>46275</v>
      </c>
      <c r="C672" t="s">
        <v>367</v>
      </c>
      <c r="D672" t="s">
        <v>573</v>
      </c>
      <c r="E672" t="s">
        <v>35</v>
      </c>
      <c r="F672" t="s">
        <v>36</v>
      </c>
      <c r="G672" t="s">
        <v>52</v>
      </c>
      <c r="H672" t="s">
        <v>45</v>
      </c>
      <c r="I672">
        <v>1</v>
      </c>
      <c r="J672" s="5">
        <v>1299</v>
      </c>
      <c r="K672" s="2">
        <v>0.2</v>
      </c>
      <c r="L672" t="s">
        <v>39</v>
      </c>
      <c r="M672" t="s">
        <v>23</v>
      </c>
      <c r="N672" s="1">
        <v>46277</v>
      </c>
      <c r="O672" s="1">
        <v>46277</v>
      </c>
      <c r="P672" s="5">
        <f>Orders[[#This Row],[Quantity]]*Orders[[#This Row],[Unit Price]]</f>
        <v>1299</v>
      </c>
      <c r="Q672" s="5">
        <f>Orders[[#This Row],[Gross Sales]]*Orders[[#This Row],[Discount %]]</f>
        <v>259.8</v>
      </c>
      <c r="R672" s="5">
        <f>Orders[[#This Row],[Gross Sales]]-Orders[[#This Row],[Discount Amount]]</f>
        <v>1039.2</v>
      </c>
      <c r="S672">
        <f>IF(Orders[[#This Row],[Actual Delivery Date]]="","",Orders[[#This Row],[Actual Delivery Date]]-Orders[[#This Row],[Order Date]])</f>
        <v>2</v>
      </c>
      <c r="T672" t="str">
        <f>IF(Orders[[#This Row],[Actual Delivery Date]]="","Pending",IF(Orders[[#This Row],[Actual Delivery Date]]&lt;=Orders[[#This Row],[Expected Delivery Date]],"On Time","Late"))</f>
        <v>On Time</v>
      </c>
      <c r="U672" t="str">
        <f>TEXT(Orders[[#This Row],[Order Date]],"mmm")</f>
        <v>Sep</v>
      </c>
      <c r="V672" s="8">
        <f>DATE(YEAR(Orders[[#This Row],[Order Date]]),MONTH(Orders[[#This Row],[Order Date]]),1)</f>
        <v>46266</v>
      </c>
      <c r="W672" s="5">
        <f>IF(Orders[[#This Row],[Order Status]]="Cancelled",Orders[[#This Row],[Net Sales]],0)</f>
        <v>0</v>
      </c>
    </row>
    <row r="673" spans="1:23" x14ac:dyDescent="0.3">
      <c r="A673" t="s">
        <v>1284</v>
      </c>
      <c r="B673" s="7">
        <v>46045</v>
      </c>
      <c r="C673" t="s">
        <v>806</v>
      </c>
      <c r="D673" t="s">
        <v>693</v>
      </c>
      <c r="E673" t="s">
        <v>27</v>
      </c>
      <c r="F673" t="s">
        <v>51</v>
      </c>
      <c r="G673" t="s">
        <v>69</v>
      </c>
      <c r="H673" t="s">
        <v>38</v>
      </c>
      <c r="I673">
        <v>2</v>
      </c>
      <c r="J673" s="5">
        <v>3499</v>
      </c>
      <c r="K673" s="2">
        <v>0</v>
      </c>
      <c r="L673" t="s">
        <v>70</v>
      </c>
      <c r="M673" t="s">
        <v>23</v>
      </c>
      <c r="N673" s="1">
        <v>46049</v>
      </c>
      <c r="O673" s="1">
        <v>46047</v>
      </c>
      <c r="P673" s="5">
        <f>Orders[[#This Row],[Quantity]]*Orders[[#This Row],[Unit Price]]</f>
        <v>6998</v>
      </c>
      <c r="Q673" s="5">
        <f>Orders[[#This Row],[Gross Sales]]*Orders[[#This Row],[Discount %]]</f>
        <v>0</v>
      </c>
      <c r="R673" s="5">
        <f>Orders[[#This Row],[Gross Sales]]-Orders[[#This Row],[Discount Amount]]</f>
        <v>6998</v>
      </c>
      <c r="S673">
        <f>IF(Orders[[#This Row],[Actual Delivery Date]]="","",Orders[[#This Row],[Actual Delivery Date]]-Orders[[#This Row],[Order Date]])</f>
        <v>2</v>
      </c>
      <c r="T673" t="str">
        <f>IF(Orders[[#This Row],[Actual Delivery Date]]="","Pending",IF(Orders[[#This Row],[Actual Delivery Date]]&lt;=Orders[[#This Row],[Expected Delivery Date]],"On Time","Late"))</f>
        <v>On Time</v>
      </c>
      <c r="U673" t="str">
        <f>TEXT(Orders[[#This Row],[Order Date]],"mmm")</f>
        <v>Jan</v>
      </c>
      <c r="V673" s="8">
        <f>DATE(YEAR(Orders[[#This Row],[Order Date]]),MONTH(Orders[[#This Row],[Order Date]]),1)</f>
        <v>46023</v>
      </c>
      <c r="W673" s="5">
        <f>IF(Orders[[#This Row],[Order Status]]="Cancelled",Orders[[#This Row],[Net Sales]],0)</f>
        <v>0</v>
      </c>
    </row>
    <row r="674" spans="1:23" x14ac:dyDescent="0.3">
      <c r="A674" t="s">
        <v>1285</v>
      </c>
      <c r="B674" s="7">
        <v>46190</v>
      </c>
      <c r="C674" t="s">
        <v>251</v>
      </c>
      <c r="D674" t="s">
        <v>1004</v>
      </c>
      <c r="E674" t="s">
        <v>18</v>
      </c>
      <c r="F674" t="s">
        <v>121</v>
      </c>
      <c r="G674" t="s">
        <v>52</v>
      </c>
      <c r="H674" t="s">
        <v>45</v>
      </c>
      <c r="I674">
        <v>2</v>
      </c>
      <c r="J674" s="5">
        <v>1299</v>
      </c>
      <c r="K674" s="2">
        <v>0.15</v>
      </c>
      <c r="L674" t="s">
        <v>70</v>
      </c>
      <c r="M674" t="s">
        <v>23</v>
      </c>
      <c r="N674" s="1">
        <v>46192</v>
      </c>
      <c r="O674" s="1">
        <v>46191</v>
      </c>
      <c r="P674" s="5">
        <f>Orders[[#This Row],[Quantity]]*Orders[[#This Row],[Unit Price]]</f>
        <v>2598</v>
      </c>
      <c r="Q674" s="5">
        <f>Orders[[#This Row],[Gross Sales]]*Orders[[#This Row],[Discount %]]</f>
        <v>389.7</v>
      </c>
      <c r="R674" s="5">
        <f>Orders[[#This Row],[Gross Sales]]-Orders[[#This Row],[Discount Amount]]</f>
        <v>2208.3000000000002</v>
      </c>
      <c r="S674">
        <f>IF(Orders[[#This Row],[Actual Delivery Date]]="","",Orders[[#This Row],[Actual Delivery Date]]-Orders[[#This Row],[Order Date]])</f>
        <v>1</v>
      </c>
      <c r="T674" t="str">
        <f>IF(Orders[[#This Row],[Actual Delivery Date]]="","Pending",IF(Orders[[#This Row],[Actual Delivery Date]]&lt;=Orders[[#This Row],[Expected Delivery Date]],"On Time","Late"))</f>
        <v>On Time</v>
      </c>
      <c r="U674" t="str">
        <f>TEXT(Orders[[#This Row],[Order Date]],"mmm")</f>
        <v>Jun</v>
      </c>
      <c r="V674" s="8">
        <f>DATE(YEAR(Orders[[#This Row],[Order Date]]),MONTH(Orders[[#This Row],[Order Date]]),1)</f>
        <v>46174</v>
      </c>
      <c r="W674" s="5">
        <f>IF(Orders[[#This Row],[Order Status]]="Cancelled",Orders[[#This Row],[Net Sales]],0)</f>
        <v>0</v>
      </c>
    </row>
    <row r="675" spans="1:23" x14ac:dyDescent="0.3">
      <c r="A675" t="s">
        <v>1286</v>
      </c>
      <c r="B675" s="7">
        <v>46032</v>
      </c>
      <c r="C675" t="s">
        <v>182</v>
      </c>
      <c r="D675" t="s">
        <v>790</v>
      </c>
      <c r="E675" t="s">
        <v>79</v>
      </c>
      <c r="F675" t="s">
        <v>80</v>
      </c>
      <c r="G675" t="s">
        <v>37</v>
      </c>
      <c r="H675" t="s">
        <v>38</v>
      </c>
      <c r="I675">
        <v>2</v>
      </c>
      <c r="J675" s="5">
        <v>699</v>
      </c>
      <c r="K675" s="2">
        <v>0.05</v>
      </c>
      <c r="L675" t="s">
        <v>46</v>
      </c>
      <c r="M675" t="s">
        <v>23</v>
      </c>
      <c r="N675" s="1">
        <v>46038</v>
      </c>
      <c r="O675" s="1">
        <v>46034</v>
      </c>
      <c r="P675" s="5">
        <f>Orders[[#This Row],[Quantity]]*Orders[[#This Row],[Unit Price]]</f>
        <v>1398</v>
      </c>
      <c r="Q675" s="5">
        <f>Orders[[#This Row],[Gross Sales]]*Orders[[#This Row],[Discount %]]</f>
        <v>69.900000000000006</v>
      </c>
      <c r="R675" s="5">
        <f>Orders[[#This Row],[Gross Sales]]-Orders[[#This Row],[Discount Amount]]</f>
        <v>1328.1</v>
      </c>
      <c r="S675">
        <f>IF(Orders[[#This Row],[Actual Delivery Date]]="","",Orders[[#This Row],[Actual Delivery Date]]-Orders[[#This Row],[Order Date]])</f>
        <v>2</v>
      </c>
      <c r="T675" t="str">
        <f>IF(Orders[[#This Row],[Actual Delivery Date]]="","Pending",IF(Orders[[#This Row],[Actual Delivery Date]]&lt;=Orders[[#This Row],[Expected Delivery Date]],"On Time","Late"))</f>
        <v>On Time</v>
      </c>
      <c r="U675" t="str">
        <f>TEXT(Orders[[#This Row],[Order Date]],"mmm")</f>
        <v>Jan</v>
      </c>
      <c r="V675" s="8">
        <f>DATE(YEAR(Orders[[#This Row],[Order Date]]),MONTH(Orders[[#This Row],[Order Date]]),1)</f>
        <v>46023</v>
      </c>
      <c r="W675" s="5">
        <f>IF(Orders[[#This Row],[Order Status]]="Cancelled",Orders[[#This Row],[Net Sales]],0)</f>
        <v>0</v>
      </c>
    </row>
    <row r="676" spans="1:23" x14ac:dyDescent="0.3">
      <c r="A676" t="s">
        <v>1287</v>
      </c>
      <c r="B676" s="7">
        <v>46114</v>
      </c>
      <c r="C676" t="s">
        <v>354</v>
      </c>
      <c r="D676" t="s">
        <v>1032</v>
      </c>
      <c r="E676" t="s">
        <v>35</v>
      </c>
      <c r="F676" t="s">
        <v>68</v>
      </c>
      <c r="G676" t="s">
        <v>118</v>
      </c>
      <c r="H676" t="s">
        <v>58</v>
      </c>
      <c r="I676">
        <v>1</v>
      </c>
      <c r="J676" s="5">
        <v>749</v>
      </c>
      <c r="K676" s="2">
        <v>0</v>
      </c>
      <c r="L676" t="s">
        <v>22</v>
      </c>
      <c r="M676" t="s">
        <v>23</v>
      </c>
      <c r="N676" s="1">
        <v>46119</v>
      </c>
      <c r="O676" s="1">
        <v>46119</v>
      </c>
      <c r="P676" s="5">
        <f>Orders[[#This Row],[Quantity]]*Orders[[#This Row],[Unit Price]]</f>
        <v>749</v>
      </c>
      <c r="Q676" s="5">
        <f>Orders[[#This Row],[Gross Sales]]*Orders[[#This Row],[Discount %]]</f>
        <v>0</v>
      </c>
      <c r="R676" s="5">
        <f>Orders[[#This Row],[Gross Sales]]-Orders[[#This Row],[Discount Amount]]</f>
        <v>749</v>
      </c>
      <c r="S676">
        <f>IF(Orders[[#This Row],[Actual Delivery Date]]="","",Orders[[#This Row],[Actual Delivery Date]]-Orders[[#This Row],[Order Date]])</f>
        <v>5</v>
      </c>
      <c r="T676" t="str">
        <f>IF(Orders[[#This Row],[Actual Delivery Date]]="","Pending",IF(Orders[[#This Row],[Actual Delivery Date]]&lt;=Orders[[#This Row],[Expected Delivery Date]],"On Time","Late"))</f>
        <v>On Time</v>
      </c>
      <c r="U676" t="str">
        <f>TEXT(Orders[[#This Row],[Order Date]],"mmm")</f>
        <v>Apr</v>
      </c>
      <c r="V676" s="8">
        <f>DATE(YEAR(Orders[[#This Row],[Order Date]]),MONTH(Orders[[#This Row],[Order Date]]),1)</f>
        <v>46113</v>
      </c>
      <c r="W676" s="5">
        <f>IF(Orders[[#This Row],[Order Status]]="Cancelled",Orders[[#This Row],[Net Sales]],0)</f>
        <v>0</v>
      </c>
    </row>
    <row r="677" spans="1:23" x14ac:dyDescent="0.3">
      <c r="A677" t="s">
        <v>1288</v>
      </c>
      <c r="B677" s="7">
        <v>46025</v>
      </c>
      <c r="C677" t="s">
        <v>736</v>
      </c>
      <c r="D677" t="s">
        <v>518</v>
      </c>
      <c r="E677" t="s">
        <v>35</v>
      </c>
      <c r="F677" t="s">
        <v>63</v>
      </c>
      <c r="G677" t="s">
        <v>44</v>
      </c>
      <c r="H677" t="s">
        <v>45</v>
      </c>
      <c r="I677">
        <v>1</v>
      </c>
      <c r="J677" s="5">
        <v>1799</v>
      </c>
      <c r="K677" s="2">
        <v>0.15</v>
      </c>
      <c r="L677" t="s">
        <v>31</v>
      </c>
      <c r="M677" t="s">
        <v>23</v>
      </c>
      <c r="N677" s="1">
        <v>46029</v>
      </c>
      <c r="O677" s="1">
        <v>46031</v>
      </c>
      <c r="P677" s="5">
        <f>Orders[[#This Row],[Quantity]]*Orders[[#This Row],[Unit Price]]</f>
        <v>1799</v>
      </c>
      <c r="Q677" s="5">
        <f>Orders[[#This Row],[Gross Sales]]*Orders[[#This Row],[Discount %]]</f>
        <v>269.84999999999997</v>
      </c>
      <c r="R677" s="5">
        <f>Orders[[#This Row],[Gross Sales]]-Orders[[#This Row],[Discount Amount]]</f>
        <v>1529.15</v>
      </c>
      <c r="S677">
        <f>IF(Orders[[#This Row],[Actual Delivery Date]]="","",Orders[[#This Row],[Actual Delivery Date]]-Orders[[#This Row],[Order Date]])</f>
        <v>6</v>
      </c>
      <c r="T677" t="str">
        <f>IF(Orders[[#This Row],[Actual Delivery Date]]="","Pending",IF(Orders[[#This Row],[Actual Delivery Date]]&lt;=Orders[[#This Row],[Expected Delivery Date]],"On Time","Late"))</f>
        <v>Late</v>
      </c>
      <c r="U677" t="str">
        <f>TEXT(Orders[[#This Row],[Order Date]],"mmm")</f>
        <v>Jan</v>
      </c>
      <c r="V677" s="8">
        <f>DATE(YEAR(Orders[[#This Row],[Order Date]]),MONTH(Orders[[#This Row],[Order Date]]),1)</f>
        <v>46023</v>
      </c>
      <c r="W677" s="5">
        <f>IF(Orders[[#This Row],[Order Status]]="Cancelled",Orders[[#This Row],[Net Sales]],0)</f>
        <v>0</v>
      </c>
    </row>
    <row r="678" spans="1:23" x14ac:dyDescent="0.3">
      <c r="A678" t="s">
        <v>1289</v>
      </c>
      <c r="B678" s="7">
        <v>46121</v>
      </c>
      <c r="C678" t="s">
        <v>926</v>
      </c>
      <c r="D678" t="s">
        <v>173</v>
      </c>
      <c r="E678" t="s">
        <v>79</v>
      </c>
      <c r="F678" t="s">
        <v>86</v>
      </c>
      <c r="G678" t="s">
        <v>153</v>
      </c>
      <c r="H678" t="s">
        <v>45</v>
      </c>
      <c r="I678">
        <v>2</v>
      </c>
      <c r="J678" s="5">
        <v>1999</v>
      </c>
      <c r="K678" s="2">
        <v>0</v>
      </c>
      <c r="L678" t="s">
        <v>31</v>
      </c>
      <c r="M678" t="s">
        <v>23</v>
      </c>
      <c r="N678" s="1">
        <v>46128</v>
      </c>
      <c r="O678" s="1">
        <v>46123</v>
      </c>
      <c r="P678" s="5">
        <f>Orders[[#This Row],[Quantity]]*Orders[[#This Row],[Unit Price]]</f>
        <v>3998</v>
      </c>
      <c r="Q678" s="5">
        <f>Orders[[#This Row],[Gross Sales]]*Orders[[#This Row],[Discount %]]</f>
        <v>0</v>
      </c>
      <c r="R678" s="5">
        <f>Orders[[#This Row],[Gross Sales]]-Orders[[#This Row],[Discount Amount]]</f>
        <v>3998</v>
      </c>
      <c r="S678">
        <f>IF(Orders[[#This Row],[Actual Delivery Date]]="","",Orders[[#This Row],[Actual Delivery Date]]-Orders[[#This Row],[Order Date]])</f>
        <v>2</v>
      </c>
      <c r="T678" t="str">
        <f>IF(Orders[[#This Row],[Actual Delivery Date]]="","Pending",IF(Orders[[#This Row],[Actual Delivery Date]]&lt;=Orders[[#This Row],[Expected Delivery Date]],"On Time","Late"))</f>
        <v>On Time</v>
      </c>
      <c r="U678" t="str">
        <f>TEXT(Orders[[#This Row],[Order Date]],"mmm")</f>
        <v>Apr</v>
      </c>
      <c r="V678" s="8">
        <f>DATE(YEAR(Orders[[#This Row],[Order Date]]),MONTH(Orders[[#This Row],[Order Date]]),1)</f>
        <v>46113</v>
      </c>
      <c r="W678" s="5">
        <f>IF(Orders[[#This Row],[Order Status]]="Cancelled",Orders[[#This Row],[Net Sales]],0)</f>
        <v>0</v>
      </c>
    </row>
    <row r="679" spans="1:23" x14ac:dyDescent="0.3">
      <c r="A679" t="s">
        <v>1290</v>
      </c>
      <c r="B679" s="7">
        <v>46343</v>
      </c>
      <c r="C679" t="s">
        <v>754</v>
      </c>
      <c r="D679" t="s">
        <v>1291</v>
      </c>
      <c r="E679" t="s">
        <v>18</v>
      </c>
      <c r="F679" t="s">
        <v>121</v>
      </c>
      <c r="G679" t="s">
        <v>87</v>
      </c>
      <c r="H679" t="s">
        <v>21</v>
      </c>
      <c r="I679">
        <v>1</v>
      </c>
      <c r="J679" s="5">
        <v>1899</v>
      </c>
      <c r="K679" s="2">
        <v>0.05</v>
      </c>
      <c r="L679" t="s">
        <v>22</v>
      </c>
      <c r="M679" t="s">
        <v>23</v>
      </c>
      <c r="N679" s="1">
        <v>46348</v>
      </c>
      <c r="O679" s="1">
        <v>46345</v>
      </c>
      <c r="P679" s="5">
        <f>Orders[[#This Row],[Quantity]]*Orders[[#This Row],[Unit Price]]</f>
        <v>1899</v>
      </c>
      <c r="Q679" s="5">
        <f>Orders[[#This Row],[Gross Sales]]*Orders[[#This Row],[Discount %]]</f>
        <v>94.95</v>
      </c>
      <c r="R679" s="5">
        <f>Orders[[#This Row],[Gross Sales]]-Orders[[#This Row],[Discount Amount]]</f>
        <v>1804.05</v>
      </c>
      <c r="S679">
        <f>IF(Orders[[#This Row],[Actual Delivery Date]]="","",Orders[[#This Row],[Actual Delivery Date]]-Orders[[#This Row],[Order Date]])</f>
        <v>2</v>
      </c>
      <c r="T679" t="str">
        <f>IF(Orders[[#This Row],[Actual Delivery Date]]="","Pending",IF(Orders[[#This Row],[Actual Delivery Date]]&lt;=Orders[[#This Row],[Expected Delivery Date]],"On Time","Late"))</f>
        <v>On Time</v>
      </c>
      <c r="U679" t="str">
        <f>TEXT(Orders[[#This Row],[Order Date]],"mmm")</f>
        <v>Nov</v>
      </c>
      <c r="V679" s="8">
        <f>DATE(YEAR(Orders[[#This Row],[Order Date]]),MONTH(Orders[[#This Row],[Order Date]]),1)</f>
        <v>46327</v>
      </c>
      <c r="W679" s="5">
        <f>IF(Orders[[#This Row],[Order Status]]="Cancelled",Orders[[#This Row],[Net Sales]],0)</f>
        <v>0</v>
      </c>
    </row>
    <row r="680" spans="1:23" x14ac:dyDescent="0.3">
      <c r="A680" t="s">
        <v>1292</v>
      </c>
      <c r="B680" s="7">
        <v>46357</v>
      </c>
      <c r="C680" t="s">
        <v>1142</v>
      </c>
      <c r="D680" t="s">
        <v>555</v>
      </c>
      <c r="E680" t="s">
        <v>35</v>
      </c>
      <c r="F680" t="s">
        <v>68</v>
      </c>
      <c r="G680" t="s">
        <v>160</v>
      </c>
      <c r="H680" t="s">
        <v>45</v>
      </c>
      <c r="I680">
        <v>1</v>
      </c>
      <c r="J680" s="5">
        <v>1499</v>
      </c>
      <c r="K680" s="2">
        <v>0.15</v>
      </c>
      <c r="L680" t="s">
        <v>31</v>
      </c>
      <c r="M680" t="s">
        <v>23</v>
      </c>
      <c r="N680" s="1">
        <v>46360</v>
      </c>
      <c r="O680" s="1">
        <v>46359</v>
      </c>
      <c r="P680" s="5">
        <f>Orders[[#This Row],[Quantity]]*Orders[[#This Row],[Unit Price]]</f>
        <v>1499</v>
      </c>
      <c r="Q680" s="5">
        <f>Orders[[#This Row],[Gross Sales]]*Orders[[#This Row],[Discount %]]</f>
        <v>224.85</v>
      </c>
      <c r="R680" s="5">
        <f>Orders[[#This Row],[Gross Sales]]-Orders[[#This Row],[Discount Amount]]</f>
        <v>1274.1500000000001</v>
      </c>
      <c r="S680">
        <f>IF(Orders[[#This Row],[Actual Delivery Date]]="","",Orders[[#This Row],[Actual Delivery Date]]-Orders[[#This Row],[Order Date]])</f>
        <v>2</v>
      </c>
      <c r="T680" t="str">
        <f>IF(Orders[[#This Row],[Actual Delivery Date]]="","Pending",IF(Orders[[#This Row],[Actual Delivery Date]]&lt;=Orders[[#This Row],[Expected Delivery Date]],"On Time","Late"))</f>
        <v>On Time</v>
      </c>
      <c r="U680" t="str">
        <f>TEXT(Orders[[#This Row],[Order Date]],"mmm")</f>
        <v>Dec</v>
      </c>
      <c r="V680" s="8">
        <f>DATE(YEAR(Orders[[#This Row],[Order Date]]),MONTH(Orders[[#This Row],[Order Date]]),1)</f>
        <v>46357</v>
      </c>
      <c r="W680" s="5">
        <f>IF(Orders[[#This Row],[Order Status]]="Cancelled",Orders[[#This Row],[Net Sales]],0)</f>
        <v>0</v>
      </c>
    </row>
    <row r="681" spans="1:23" x14ac:dyDescent="0.3">
      <c r="A681" t="s">
        <v>1293</v>
      </c>
      <c r="B681" s="7">
        <v>46329</v>
      </c>
      <c r="C681" t="s">
        <v>216</v>
      </c>
      <c r="D681" t="s">
        <v>811</v>
      </c>
      <c r="E681" t="s">
        <v>18</v>
      </c>
      <c r="F681" t="s">
        <v>95</v>
      </c>
      <c r="G681" t="s">
        <v>118</v>
      </c>
      <c r="H681" t="s">
        <v>58</v>
      </c>
      <c r="I681">
        <v>2</v>
      </c>
      <c r="J681" s="5">
        <v>749</v>
      </c>
      <c r="K681" s="2">
        <v>0</v>
      </c>
      <c r="L681" t="s">
        <v>22</v>
      </c>
      <c r="M681" t="s">
        <v>82</v>
      </c>
      <c r="N681" s="1">
        <v>46335</v>
      </c>
      <c r="O681" s="1">
        <v>46330</v>
      </c>
      <c r="P681" s="5">
        <f>Orders[[#This Row],[Quantity]]*Orders[[#This Row],[Unit Price]]</f>
        <v>1498</v>
      </c>
      <c r="Q681" s="5">
        <f>Orders[[#This Row],[Gross Sales]]*Orders[[#This Row],[Discount %]]</f>
        <v>0</v>
      </c>
      <c r="R681" s="5">
        <f>Orders[[#This Row],[Gross Sales]]-Orders[[#This Row],[Discount Amount]]</f>
        <v>1498</v>
      </c>
      <c r="S681">
        <f>IF(Orders[[#This Row],[Actual Delivery Date]]="","",Orders[[#This Row],[Actual Delivery Date]]-Orders[[#This Row],[Order Date]])</f>
        <v>1</v>
      </c>
      <c r="T681" t="str">
        <f>IF(Orders[[#This Row],[Actual Delivery Date]]="","Pending",IF(Orders[[#This Row],[Actual Delivery Date]]&lt;=Orders[[#This Row],[Expected Delivery Date]],"On Time","Late"))</f>
        <v>On Time</v>
      </c>
      <c r="U681" t="str">
        <f>TEXT(Orders[[#This Row],[Order Date]],"mmm")</f>
        <v>Nov</v>
      </c>
      <c r="V681" s="8">
        <f>DATE(YEAR(Orders[[#This Row],[Order Date]]),MONTH(Orders[[#This Row],[Order Date]]),1)</f>
        <v>46327</v>
      </c>
      <c r="W681" s="5">
        <f>IF(Orders[[#This Row],[Order Status]]="Cancelled",Orders[[#This Row],[Net Sales]],0)</f>
        <v>0</v>
      </c>
    </row>
    <row r="682" spans="1:23" x14ac:dyDescent="0.3">
      <c r="A682" t="s">
        <v>1294</v>
      </c>
      <c r="B682" s="7">
        <v>46364</v>
      </c>
      <c r="C682" t="s">
        <v>1295</v>
      </c>
      <c r="D682" t="s">
        <v>73</v>
      </c>
      <c r="E682" t="s">
        <v>27</v>
      </c>
      <c r="F682" t="s">
        <v>51</v>
      </c>
      <c r="G682" t="s">
        <v>131</v>
      </c>
      <c r="H682" t="s">
        <v>38</v>
      </c>
      <c r="I682">
        <v>2</v>
      </c>
      <c r="J682" s="5">
        <v>899</v>
      </c>
      <c r="K682" s="2">
        <v>0.1</v>
      </c>
      <c r="L682" t="s">
        <v>39</v>
      </c>
      <c r="M682" t="s">
        <v>47</v>
      </c>
      <c r="N682" s="1">
        <v>46370</v>
      </c>
      <c r="O682" s="1"/>
      <c r="P682" s="5">
        <f>Orders[[#This Row],[Quantity]]*Orders[[#This Row],[Unit Price]]</f>
        <v>1798</v>
      </c>
      <c r="Q682" s="5">
        <f>Orders[[#This Row],[Gross Sales]]*Orders[[#This Row],[Discount %]]</f>
        <v>179.8</v>
      </c>
      <c r="R682" s="5">
        <f>Orders[[#This Row],[Gross Sales]]-Orders[[#This Row],[Discount Amount]]</f>
        <v>1618.2</v>
      </c>
      <c r="S682" t="str">
        <f>IF(Orders[[#This Row],[Actual Delivery Date]]="","",Orders[[#This Row],[Actual Delivery Date]]-Orders[[#This Row],[Order Date]])</f>
        <v/>
      </c>
      <c r="T682" t="str">
        <f>IF(Orders[[#This Row],[Actual Delivery Date]]="","Pending",IF(Orders[[#This Row],[Actual Delivery Date]]&lt;=Orders[[#This Row],[Expected Delivery Date]],"On Time","Late"))</f>
        <v>Pending</v>
      </c>
      <c r="U682" t="str">
        <f>TEXT(Orders[[#This Row],[Order Date]],"mmm")</f>
        <v>Dec</v>
      </c>
      <c r="V682" s="8">
        <f>DATE(YEAR(Orders[[#This Row],[Order Date]]),MONTH(Orders[[#This Row],[Order Date]]),1)</f>
        <v>46357</v>
      </c>
      <c r="W682" s="5">
        <f>IF(Orders[[#This Row],[Order Status]]="Cancelled",Orders[[#This Row],[Net Sales]],0)</f>
        <v>0</v>
      </c>
    </row>
    <row r="683" spans="1:23" x14ac:dyDescent="0.3">
      <c r="A683" t="s">
        <v>1296</v>
      </c>
      <c r="B683" s="7">
        <v>46338</v>
      </c>
      <c r="C683" t="s">
        <v>388</v>
      </c>
      <c r="D683" t="s">
        <v>1224</v>
      </c>
      <c r="E683" t="s">
        <v>27</v>
      </c>
      <c r="F683" t="s">
        <v>28</v>
      </c>
      <c r="G683" t="s">
        <v>104</v>
      </c>
      <c r="H683" t="s">
        <v>38</v>
      </c>
      <c r="I683">
        <v>3</v>
      </c>
      <c r="J683" s="5">
        <v>999</v>
      </c>
      <c r="K683" s="2">
        <v>0</v>
      </c>
      <c r="L683" t="s">
        <v>46</v>
      </c>
      <c r="M683" t="s">
        <v>23</v>
      </c>
      <c r="N683" s="1">
        <v>46345</v>
      </c>
      <c r="O683" s="1">
        <v>46340</v>
      </c>
      <c r="P683" s="5">
        <f>Orders[[#This Row],[Quantity]]*Orders[[#This Row],[Unit Price]]</f>
        <v>2997</v>
      </c>
      <c r="Q683" s="5">
        <f>Orders[[#This Row],[Gross Sales]]*Orders[[#This Row],[Discount %]]</f>
        <v>0</v>
      </c>
      <c r="R683" s="5">
        <f>Orders[[#This Row],[Gross Sales]]-Orders[[#This Row],[Discount Amount]]</f>
        <v>2997</v>
      </c>
      <c r="S683">
        <f>IF(Orders[[#This Row],[Actual Delivery Date]]="","",Orders[[#This Row],[Actual Delivery Date]]-Orders[[#This Row],[Order Date]])</f>
        <v>2</v>
      </c>
      <c r="T683" t="str">
        <f>IF(Orders[[#This Row],[Actual Delivery Date]]="","Pending",IF(Orders[[#This Row],[Actual Delivery Date]]&lt;=Orders[[#This Row],[Expected Delivery Date]],"On Time","Late"))</f>
        <v>On Time</v>
      </c>
      <c r="U683" t="str">
        <f>TEXT(Orders[[#This Row],[Order Date]],"mmm")</f>
        <v>Nov</v>
      </c>
      <c r="V683" s="8">
        <f>DATE(YEAR(Orders[[#This Row],[Order Date]]),MONTH(Orders[[#This Row],[Order Date]]),1)</f>
        <v>46327</v>
      </c>
      <c r="W683" s="5">
        <f>IF(Orders[[#This Row],[Order Status]]="Cancelled",Orders[[#This Row],[Net Sales]],0)</f>
        <v>0</v>
      </c>
    </row>
    <row r="684" spans="1:23" x14ac:dyDescent="0.3">
      <c r="A684" t="s">
        <v>1297</v>
      </c>
      <c r="B684" s="7">
        <v>46126</v>
      </c>
      <c r="C684" t="s">
        <v>741</v>
      </c>
      <c r="D684" t="s">
        <v>636</v>
      </c>
      <c r="E684" t="s">
        <v>27</v>
      </c>
      <c r="F684" t="s">
        <v>51</v>
      </c>
      <c r="G684" t="s">
        <v>118</v>
      </c>
      <c r="H684" t="s">
        <v>58</v>
      </c>
      <c r="I684">
        <v>1</v>
      </c>
      <c r="J684" s="5">
        <v>749</v>
      </c>
      <c r="K684" s="2">
        <v>0.05</v>
      </c>
      <c r="L684" t="s">
        <v>39</v>
      </c>
      <c r="M684" t="s">
        <v>23</v>
      </c>
      <c r="N684" s="1">
        <v>46133</v>
      </c>
      <c r="O684" s="1">
        <v>46130</v>
      </c>
      <c r="P684" s="5">
        <f>Orders[[#This Row],[Quantity]]*Orders[[#This Row],[Unit Price]]</f>
        <v>749</v>
      </c>
      <c r="Q684" s="5">
        <f>Orders[[#This Row],[Gross Sales]]*Orders[[#This Row],[Discount %]]</f>
        <v>37.450000000000003</v>
      </c>
      <c r="R684" s="5">
        <f>Orders[[#This Row],[Gross Sales]]-Orders[[#This Row],[Discount Amount]]</f>
        <v>711.55</v>
      </c>
      <c r="S684">
        <f>IF(Orders[[#This Row],[Actual Delivery Date]]="","",Orders[[#This Row],[Actual Delivery Date]]-Orders[[#This Row],[Order Date]])</f>
        <v>4</v>
      </c>
      <c r="T684" t="str">
        <f>IF(Orders[[#This Row],[Actual Delivery Date]]="","Pending",IF(Orders[[#This Row],[Actual Delivery Date]]&lt;=Orders[[#This Row],[Expected Delivery Date]],"On Time","Late"))</f>
        <v>On Time</v>
      </c>
      <c r="U684" t="str">
        <f>TEXT(Orders[[#This Row],[Order Date]],"mmm")</f>
        <v>Apr</v>
      </c>
      <c r="V684" s="8">
        <f>DATE(YEAR(Orders[[#This Row],[Order Date]]),MONTH(Orders[[#This Row],[Order Date]]),1)</f>
        <v>46113</v>
      </c>
      <c r="W684" s="5">
        <f>IF(Orders[[#This Row],[Order Status]]="Cancelled",Orders[[#This Row],[Net Sales]],0)</f>
        <v>0</v>
      </c>
    </row>
    <row r="685" spans="1:23" x14ac:dyDescent="0.3">
      <c r="A685" t="s">
        <v>1298</v>
      </c>
      <c r="B685" s="7">
        <v>46235</v>
      </c>
      <c r="C685" t="s">
        <v>704</v>
      </c>
      <c r="D685" t="s">
        <v>529</v>
      </c>
      <c r="E685" t="s">
        <v>35</v>
      </c>
      <c r="F685" t="s">
        <v>36</v>
      </c>
      <c r="G685" t="s">
        <v>44</v>
      </c>
      <c r="H685" t="s">
        <v>45</v>
      </c>
      <c r="I685">
        <v>2</v>
      </c>
      <c r="J685" s="5">
        <v>1799</v>
      </c>
      <c r="K685" s="2">
        <v>0.1</v>
      </c>
      <c r="L685" t="s">
        <v>39</v>
      </c>
      <c r="M685" t="s">
        <v>23</v>
      </c>
      <c r="N685" s="1">
        <v>46242</v>
      </c>
      <c r="O685" s="1">
        <v>46237</v>
      </c>
      <c r="P685" s="5">
        <f>Orders[[#This Row],[Quantity]]*Orders[[#This Row],[Unit Price]]</f>
        <v>3598</v>
      </c>
      <c r="Q685" s="5">
        <f>Orders[[#This Row],[Gross Sales]]*Orders[[#This Row],[Discount %]]</f>
        <v>359.8</v>
      </c>
      <c r="R685" s="5">
        <f>Orders[[#This Row],[Gross Sales]]-Orders[[#This Row],[Discount Amount]]</f>
        <v>3238.2</v>
      </c>
      <c r="S685">
        <f>IF(Orders[[#This Row],[Actual Delivery Date]]="","",Orders[[#This Row],[Actual Delivery Date]]-Orders[[#This Row],[Order Date]])</f>
        <v>2</v>
      </c>
      <c r="T685" t="str">
        <f>IF(Orders[[#This Row],[Actual Delivery Date]]="","Pending",IF(Orders[[#This Row],[Actual Delivery Date]]&lt;=Orders[[#This Row],[Expected Delivery Date]],"On Time","Late"))</f>
        <v>On Time</v>
      </c>
      <c r="U685" t="str">
        <f>TEXT(Orders[[#This Row],[Order Date]],"mmm")</f>
        <v>Aug</v>
      </c>
      <c r="V685" s="8">
        <f>DATE(YEAR(Orders[[#This Row],[Order Date]]),MONTH(Orders[[#This Row],[Order Date]]),1)</f>
        <v>46235</v>
      </c>
      <c r="W685" s="5">
        <f>IF(Orders[[#This Row],[Order Status]]="Cancelled",Orders[[#This Row],[Net Sales]],0)</f>
        <v>0</v>
      </c>
    </row>
    <row r="686" spans="1:23" x14ac:dyDescent="0.3">
      <c r="A686" t="s">
        <v>1299</v>
      </c>
      <c r="B686" s="7">
        <v>46218</v>
      </c>
      <c r="C686" t="s">
        <v>41</v>
      </c>
      <c r="D686" t="s">
        <v>476</v>
      </c>
      <c r="E686" t="s">
        <v>18</v>
      </c>
      <c r="F686" t="s">
        <v>95</v>
      </c>
      <c r="G686" t="s">
        <v>69</v>
      </c>
      <c r="H686" t="s">
        <v>38</v>
      </c>
      <c r="I686">
        <v>2</v>
      </c>
      <c r="J686" s="5">
        <v>3499</v>
      </c>
      <c r="K686" s="2">
        <v>0.05</v>
      </c>
      <c r="L686" t="s">
        <v>70</v>
      </c>
      <c r="M686" t="s">
        <v>59</v>
      </c>
      <c r="N686" s="1">
        <v>46220</v>
      </c>
      <c r="O686" s="1">
        <v>46220</v>
      </c>
      <c r="P686" s="5">
        <f>Orders[[#This Row],[Quantity]]*Orders[[#This Row],[Unit Price]]</f>
        <v>6998</v>
      </c>
      <c r="Q686" s="5">
        <f>Orders[[#This Row],[Gross Sales]]*Orders[[#This Row],[Discount %]]</f>
        <v>349.90000000000003</v>
      </c>
      <c r="R686" s="5">
        <f>Orders[[#This Row],[Gross Sales]]-Orders[[#This Row],[Discount Amount]]</f>
        <v>6648.1</v>
      </c>
      <c r="S686">
        <f>IF(Orders[[#This Row],[Actual Delivery Date]]="","",Orders[[#This Row],[Actual Delivery Date]]-Orders[[#This Row],[Order Date]])</f>
        <v>2</v>
      </c>
      <c r="T686" t="str">
        <f>IF(Orders[[#This Row],[Actual Delivery Date]]="","Pending",IF(Orders[[#This Row],[Actual Delivery Date]]&lt;=Orders[[#This Row],[Expected Delivery Date]],"On Time","Late"))</f>
        <v>On Time</v>
      </c>
      <c r="U686" t="str">
        <f>TEXT(Orders[[#This Row],[Order Date]],"mmm")</f>
        <v>Jul</v>
      </c>
      <c r="V686" s="8">
        <f>DATE(YEAR(Orders[[#This Row],[Order Date]]),MONTH(Orders[[#This Row],[Order Date]]),1)</f>
        <v>46204</v>
      </c>
      <c r="W686" s="5">
        <f>IF(Orders[[#This Row],[Order Status]]="Cancelled",Orders[[#This Row],[Net Sales]],0)</f>
        <v>6648.1</v>
      </c>
    </row>
    <row r="687" spans="1:23" x14ac:dyDescent="0.3">
      <c r="A687" t="s">
        <v>1300</v>
      </c>
      <c r="B687" s="7">
        <v>46069</v>
      </c>
      <c r="C687" t="s">
        <v>903</v>
      </c>
      <c r="D687" t="s">
        <v>991</v>
      </c>
      <c r="E687" t="s">
        <v>18</v>
      </c>
      <c r="F687" t="s">
        <v>95</v>
      </c>
      <c r="G687" t="s">
        <v>37</v>
      </c>
      <c r="H687" t="s">
        <v>38</v>
      </c>
      <c r="I687">
        <v>1</v>
      </c>
      <c r="J687" s="5">
        <v>699</v>
      </c>
      <c r="K687" s="2">
        <v>0.2</v>
      </c>
      <c r="L687" t="s">
        <v>31</v>
      </c>
      <c r="M687" t="s">
        <v>23</v>
      </c>
      <c r="N687" s="1">
        <v>46075</v>
      </c>
      <c r="O687" s="1">
        <v>46075</v>
      </c>
      <c r="P687" s="5">
        <f>Orders[[#This Row],[Quantity]]*Orders[[#This Row],[Unit Price]]</f>
        <v>699</v>
      </c>
      <c r="Q687" s="5">
        <f>Orders[[#This Row],[Gross Sales]]*Orders[[#This Row],[Discount %]]</f>
        <v>139.80000000000001</v>
      </c>
      <c r="R687" s="5">
        <f>Orders[[#This Row],[Gross Sales]]-Orders[[#This Row],[Discount Amount]]</f>
        <v>559.20000000000005</v>
      </c>
      <c r="S687">
        <f>IF(Orders[[#This Row],[Actual Delivery Date]]="","",Orders[[#This Row],[Actual Delivery Date]]-Orders[[#This Row],[Order Date]])</f>
        <v>6</v>
      </c>
      <c r="T687" t="str">
        <f>IF(Orders[[#This Row],[Actual Delivery Date]]="","Pending",IF(Orders[[#This Row],[Actual Delivery Date]]&lt;=Orders[[#This Row],[Expected Delivery Date]],"On Time","Late"))</f>
        <v>On Time</v>
      </c>
      <c r="U687" t="str">
        <f>TEXT(Orders[[#This Row],[Order Date]],"mmm")</f>
        <v>Feb</v>
      </c>
      <c r="V687" s="8">
        <f>DATE(YEAR(Orders[[#This Row],[Order Date]]),MONTH(Orders[[#This Row],[Order Date]]),1)</f>
        <v>46054</v>
      </c>
      <c r="W687" s="5">
        <f>IF(Orders[[#This Row],[Order Status]]="Cancelled",Orders[[#This Row],[Net Sales]],0)</f>
        <v>0</v>
      </c>
    </row>
    <row r="688" spans="1:23" x14ac:dyDescent="0.3">
      <c r="A688" t="s">
        <v>1301</v>
      </c>
      <c r="B688" s="7">
        <v>46113</v>
      </c>
      <c r="C688" t="s">
        <v>593</v>
      </c>
      <c r="D688" t="s">
        <v>882</v>
      </c>
      <c r="E688" t="s">
        <v>27</v>
      </c>
      <c r="F688" t="s">
        <v>56</v>
      </c>
      <c r="G688" t="s">
        <v>96</v>
      </c>
      <c r="H688" t="s">
        <v>38</v>
      </c>
      <c r="I688">
        <v>2</v>
      </c>
      <c r="J688" s="5">
        <v>1599</v>
      </c>
      <c r="K688" s="2">
        <v>0.1</v>
      </c>
      <c r="L688" t="s">
        <v>46</v>
      </c>
      <c r="M688" t="s">
        <v>47</v>
      </c>
      <c r="N688" s="1">
        <v>46118</v>
      </c>
      <c r="O688" s="1"/>
      <c r="P688" s="5">
        <f>Orders[[#This Row],[Quantity]]*Orders[[#This Row],[Unit Price]]</f>
        <v>3198</v>
      </c>
      <c r="Q688" s="5">
        <f>Orders[[#This Row],[Gross Sales]]*Orders[[#This Row],[Discount %]]</f>
        <v>319.8</v>
      </c>
      <c r="R688" s="5">
        <f>Orders[[#This Row],[Gross Sales]]-Orders[[#This Row],[Discount Amount]]</f>
        <v>2878.2</v>
      </c>
      <c r="S688" t="str">
        <f>IF(Orders[[#This Row],[Actual Delivery Date]]="","",Orders[[#This Row],[Actual Delivery Date]]-Orders[[#This Row],[Order Date]])</f>
        <v/>
      </c>
      <c r="T688" t="str">
        <f>IF(Orders[[#This Row],[Actual Delivery Date]]="","Pending",IF(Orders[[#This Row],[Actual Delivery Date]]&lt;=Orders[[#This Row],[Expected Delivery Date]],"On Time","Late"))</f>
        <v>Pending</v>
      </c>
      <c r="U688" t="str">
        <f>TEXT(Orders[[#This Row],[Order Date]],"mmm")</f>
        <v>Apr</v>
      </c>
      <c r="V688" s="8">
        <f>DATE(YEAR(Orders[[#This Row],[Order Date]]),MONTH(Orders[[#This Row],[Order Date]]),1)</f>
        <v>46113</v>
      </c>
      <c r="W688" s="5">
        <f>IF(Orders[[#This Row],[Order Status]]="Cancelled",Orders[[#This Row],[Net Sales]],0)</f>
        <v>0</v>
      </c>
    </row>
    <row r="689" spans="1:23" x14ac:dyDescent="0.3">
      <c r="A689" t="s">
        <v>1302</v>
      </c>
      <c r="B689" s="7">
        <v>46216</v>
      </c>
      <c r="C689" t="s">
        <v>1303</v>
      </c>
      <c r="D689" t="s">
        <v>1304</v>
      </c>
      <c r="E689" t="s">
        <v>79</v>
      </c>
      <c r="F689" t="s">
        <v>86</v>
      </c>
      <c r="G689" t="s">
        <v>218</v>
      </c>
      <c r="H689" t="s">
        <v>21</v>
      </c>
      <c r="I689">
        <v>1</v>
      </c>
      <c r="J689" s="5">
        <v>2999</v>
      </c>
      <c r="K689" s="2">
        <v>0.15</v>
      </c>
      <c r="L689" t="s">
        <v>70</v>
      </c>
      <c r="M689" t="s">
        <v>47</v>
      </c>
      <c r="N689" s="1">
        <v>46222</v>
      </c>
      <c r="O689" s="1"/>
      <c r="P689" s="5">
        <f>Orders[[#This Row],[Quantity]]*Orders[[#This Row],[Unit Price]]</f>
        <v>2999</v>
      </c>
      <c r="Q689" s="5">
        <f>Orders[[#This Row],[Gross Sales]]*Orders[[#This Row],[Discount %]]</f>
        <v>449.84999999999997</v>
      </c>
      <c r="R689" s="5">
        <f>Orders[[#This Row],[Gross Sales]]-Orders[[#This Row],[Discount Amount]]</f>
        <v>2549.15</v>
      </c>
      <c r="S689" t="str">
        <f>IF(Orders[[#This Row],[Actual Delivery Date]]="","",Orders[[#This Row],[Actual Delivery Date]]-Orders[[#This Row],[Order Date]])</f>
        <v/>
      </c>
      <c r="T689" t="str">
        <f>IF(Orders[[#This Row],[Actual Delivery Date]]="","Pending",IF(Orders[[#This Row],[Actual Delivery Date]]&lt;=Orders[[#This Row],[Expected Delivery Date]],"On Time","Late"))</f>
        <v>Pending</v>
      </c>
      <c r="U689" t="str">
        <f>TEXT(Orders[[#This Row],[Order Date]],"mmm")</f>
        <v>Jul</v>
      </c>
      <c r="V689" s="8">
        <f>DATE(YEAR(Orders[[#This Row],[Order Date]]),MONTH(Orders[[#This Row],[Order Date]]),1)</f>
        <v>46204</v>
      </c>
      <c r="W689" s="5">
        <f>IF(Orders[[#This Row],[Order Status]]="Cancelled",Orders[[#This Row],[Net Sales]],0)</f>
        <v>0</v>
      </c>
    </row>
    <row r="690" spans="1:23" x14ac:dyDescent="0.3">
      <c r="A690" t="s">
        <v>1305</v>
      </c>
      <c r="B690" s="7">
        <v>46065</v>
      </c>
      <c r="C690" t="s">
        <v>233</v>
      </c>
      <c r="D690" t="s">
        <v>813</v>
      </c>
      <c r="E690" t="s">
        <v>79</v>
      </c>
      <c r="F690" t="s">
        <v>86</v>
      </c>
      <c r="G690" t="s">
        <v>57</v>
      </c>
      <c r="H690" t="s">
        <v>58</v>
      </c>
      <c r="I690">
        <v>3</v>
      </c>
      <c r="J690" s="5">
        <v>499</v>
      </c>
      <c r="K690" s="2">
        <v>0.1</v>
      </c>
      <c r="L690" t="s">
        <v>22</v>
      </c>
      <c r="M690" t="s">
        <v>47</v>
      </c>
      <c r="N690" s="1">
        <v>46068</v>
      </c>
      <c r="O690" s="1"/>
      <c r="P690" s="5">
        <f>Orders[[#This Row],[Quantity]]*Orders[[#This Row],[Unit Price]]</f>
        <v>1497</v>
      </c>
      <c r="Q690" s="5">
        <f>Orders[[#This Row],[Gross Sales]]*Orders[[#This Row],[Discount %]]</f>
        <v>149.70000000000002</v>
      </c>
      <c r="R690" s="5">
        <f>Orders[[#This Row],[Gross Sales]]-Orders[[#This Row],[Discount Amount]]</f>
        <v>1347.3</v>
      </c>
      <c r="S690" t="str">
        <f>IF(Orders[[#This Row],[Actual Delivery Date]]="","",Orders[[#This Row],[Actual Delivery Date]]-Orders[[#This Row],[Order Date]])</f>
        <v/>
      </c>
      <c r="T690" t="str">
        <f>IF(Orders[[#This Row],[Actual Delivery Date]]="","Pending",IF(Orders[[#This Row],[Actual Delivery Date]]&lt;=Orders[[#This Row],[Expected Delivery Date]],"On Time","Late"))</f>
        <v>Pending</v>
      </c>
      <c r="U690" t="str">
        <f>TEXT(Orders[[#This Row],[Order Date]],"mmm")</f>
        <v>Feb</v>
      </c>
      <c r="V690" s="8">
        <f>DATE(YEAR(Orders[[#This Row],[Order Date]]),MONTH(Orders[[#This Row],[Order Date]]),1)</f>
        <v>46054</v>
      </c>
      <c r="W690" s="5">
        <f>IF(Orders[[#This Row],[Order Status]]="Cancelled",Orders[[#This Row],[Net Sales]],0)</f>
        <v>0</v>
      </c>
    </row>
    <row r="691" spans="1:23" x14ac:dyDescent="0.3">
      <c r="A691" t="s">
        <v>1306</v>
      </c>
      <c r="B691" s="7">
        <v>46255</v>
      </c>
      <c r="C691" t="s">
        <v>567</v>
      </c>
      <c r="D691" t="s">
        <v>1304</v>
      </c>
      <c r="E691" t="s">
        <v>35</v>
      </c>
      <c r="F691" t="s">
        <v>63</v>
      </c>
      <c r="G691" t="s">
        <v>118</v>
      </c>
      <c r="H691" t="s">
        <v>58</v>
      </c>
      <c r="I691">
        <v>1</v>
      </c>
      <c r="J691" s="5">
        <v>749</v>
      </c>
      <c r="K691" s="2">
        <v>0.2</v>
      </c>
      <c r="L691" t="s">
        <v>22</v>
      </c>
      <c r="M691" t="s">
        <v>23</v>
      </c>
      <c r="N691" s="1">
        <v>46257</v>
      </c>
      <c r="O691" s="1">
        <v>46257</v>
      </c>
      <c r="P691" s="5">
        <f>Orders[[#This Row],[Quantity]]*Orders[[#This Row],[Unit Price]]</f>
        <v>749</v>
      </c>
      <c r="Q691" s="5">
        <f>Orders[[#This Row],[Gross Sales]]*Orders[[#This Row],[Discount %]]</f>
        <v>149.80000000000001</v>
      </c>
      <c r="R691" s="5">
        <f>Orders[[#This Row],[Gross Sales]]-Orders[[#This Row],[Discount Amount]]</f>
        <v>599.20000000000005</v>
      </c>
      <c r="S691">
        <f>IF(Orders[[#This Row],[Actual Delivery Date]]="","",Orders[[#This Row],[Actual Delivery Date]]-Orders[[#This Row],[Order Date]])</f>
        <v>2</v>
      </c>
      <c r="T691" t="str">
        <f>IF(Orders[[#This Row],[Actual Delivery Date]]="","Pending",IF(Orders[[#This Row],[Actual Delivery Date]]&lt;=Orders[[#This Row],[Expected Delivery Date]],"On Time","Late"))</f>
        <v>On Time</v>
      </c>
      <c r="U691" t="str">
        <f>TEXT(Orders[[#This Row],[Order Date]],"mmm")</f>
        <v>Aug</v>
      </c>
      <c r="V691" s="8">
        <f>DATE(YEAR(Orders[[#This Row],[Order Date]]),MONTH(Orders[[#This Row],[Order Date]]),1)</f>
        <v>46235</v>
      </c>
      <c r="W691" s="5">
        <f>IF(Orders[[#This Row],[Order Status]]="Cancelled",Orders[[#This Row],[Net Sales]],0)</f>
        <v>0</v>
      </c>
    </row>
    <row r="692" spans="1:23" x14ac:dyDescent="0.3">
      <c r="A692" t="s">
        <v>1307</v>
      </c>
      <c r="B692" s="7">
        <v>46214</v>
      </c>
      <c r="C692" t="s">
        <v>49</v>
      </c>
      <c r="D692" t="s">
        <v>428</v>
      </c>
      <c r="E692" t="s">
        <v>27</v>
      </c>
      <c r="F692" t="s">
        <v>28</v>
      </c>
      <c r="G692" t="s">
        <v>44</v>
      </c>
      <c r="H692" t="s">
        <v>45</v>
      </c>
      <c r="I692">
        <v>2</v>
      </c>
      <c r="J692" s="5">
        <v>1799</v>
      </c>
      <c r="K692" s="2">
        <v>0.15</v>
      </c>
      <c r="L692" t="s">
        <v>70</v>
      </c>
      <c r="M692" t="s">
        <v>59</v>
      </c>
      <c r="N692" s="1">
        <v>46218</v>
      </c>
      <c r="O692" s="1">
        <v>46217</v>
      </c>
      <c r="P692" s="5">
        <f>Orders[[#This Row],[Quantity]]*Orders[[#This Row],[Unit Price]]</f>
        <v>3598</v>
      </c>
      <c r="Q692" s="5">
        <f>Orders[[#This Row],[Gross Sales]]*Orders[[#This Row],[Discount %]]</f>
        <v>539.69999999999993</v>
      </c>
      <c r="R692" s="5">
        <f>Orders[[#This Row],[Gross Sales]]-Orders[[#This Row],[Discount Amount]]</f>
        <v>3058.3</v>
      </c>
      <c r="S692">
        <f>IF(Orders[[#This Row],[Actual Delivery Date]]="","",Orders[[#This Row],[Actual Delivery Date]]-Orders[[#This Row],[Order Date]])</f>
        <v>3</v>
      </c>
      <c r="T692" t="str">
        <f>IF(Orders[[#This Row],[Actual Delivery Date]]="","Pending",IF(Orders[[#This Row],[Actual Delivery Date]]&lt;=Orders[[#This Row],[Expected Delivery Date]],"On Time","Late"))</f>
        <v>On Time</v>
      </c>
      <c r="U692" t="str">
        <f>TEXT(Orders[[#This Row],[Order Date]],"mmm")</f>
        <v>Jul</v>
      </c>
      <c r="V692" s="8">
        <f>DATE(YEAR(Orders[[#This Row],[Order Date]]),MONTH(Orders[[#This Row],[Order Date]]),1)</f>
        <v>46204</v>
      </c>
      <c r="W692" s="5">
        <f>IF(Orders[[#This Row],[Order Status]]="Cancelled",Orders[[#This Row],[Net Sales]],0)</f>
        <v>3058.3</v>
      </c>
    </row>
    <row r="693" spans="1:23" x14ac:dyDescent="0.3">
      <c r="A693" t="s">
        <v>1308</v>
      </c>
      <c r="B693" s="7">
        <v>46106</v>
      </c>
      <c r="C693" t="s">
        <v>1127</v>
      </c>
      <c r="D693" t="s">
        <v>1309</v>
      </c>
      <c r="E693" t="s">
        <v>18</v>
      </c>
      <c r="F693" t="s">
        <v>19</v>
      </c>
      <c r="G693" t="s">
        <v>228</v>
      </c>
      <c r="H693" t="s">
        <v>58</v>
      </c>
      <c r="I693">
        <v>1</v>
      </c>
      <c r="J693" s="5">
        <v>1499</v>
      </c>
      <c r="K693" s="2">
        <v>0.15</v>
      </c>
      <c r="L693" t="s">
        <v>46</v>
      </c>
      <c r="M693" t="s">
        <v>82</v>
      </c>
      <c r="N693" s="1">
        <v>46113</v>
      </c>
      <c r="O693" s="1">
        <v>46112</v>
      </c>
      <c r="P693" s="5">
        <f>Orders[[#This Row],[Quantity]]*Orders[[#This Row],[Unit Price]]</f>
        <v>1499</v>
      </c>
      <c r="Q693" s="5">
        <f>Orders[[#This Row],[Gross Sales]]*Orders[[#This Row],[Discount %]]</f>
        <v>224.85</v>
      </c>
      <c r="R693" s="5">
        <f>Orders[[#This Row],[Gross Sales]]-Orders[[#This Row],[Discount Amount]]</f>
        <v>1274.1500000000001</v>
      </c>
      <c r="S693">
        <f>IF(Orders[[#This Row],[Actual Delivery Date]]="","",Orders[[#This Row],[Actual Delivery Date]]-Orders[[#This Row],[Order Date]])</f>
        <v>6</v>
      </c>
      <c r="T693" t="str">
        <f>IF(Orders[[#This Row],[Actual Delivery Date]]="","Pending",IF(Orders[[#This Row],[Actual Delivery Date]]&lt;=Orders[[#This Row],[Expected Delivery Date]],"On Time","Late"))</f>
        <v>On Time</v>
      </c>
      <c r="U693" t="str">
        <f>TEXT(Orders[[#This Row],[Order Date]],"mmm")</f>
        <v>Mar</v>
      </c>
      <c r="V693" s="8">
        <f>DATE(YEAR(Orders[[#This Row],[Order Date]]),MONTH(Orders[[#This Row],[Order Date]]),1)</f>
        <v>46082</v>
      </c>
      <c r="W693" s="5">
        <f>IF(Orders[[#This Row],[Order Status]]="Cancelled",Orders[[#This Row],[Net Sales]],0)</f>
        <v>0</v>
      </c>
    </row>
    <row r="694" spans="1:23" x14ac:dyDescent="0.3">
      <c r="A694" t="s">
        <v>1310</v>
      </c>
      <c r="B694" s="7">
        <v>46147</v>
      </c>
      <c r="C694" t="s">
        <v>172</v>
      </c>
      <c r="D694" t="s">
        <v>687</v>
      </c>
      <c r="E694" t="s">
        <v>18</v>
      </c>
      <c r="F694" t="s">
        <v>43</v>
      </c>
      <c r="G694" t="s">
        <v>180</v>
      </c>
      <c r="H694" t="s">
        <v>58</v>
      </c>
      <c r="I694">
        <v>2</v>
      </c>
      <c r="J694" s="5">
        <v>599</v>
      </c>
      <c r="K694" s="2">
        <v>0.1</v>
      </c>
      <c r="L694" t="s">
        <v>39</v>
      </c>
      <c r="M694" t="s">
        <v>59</v>
      </c>
      <c r="N694" s="1">
        <v>46154</v>
      </c>
      <c r="O694" s="1">
        <v>46150</v>
      </c>
      <c r="P694" s="5">
        <f>Orders[[#This Row],[Quantity]]*Orders[[#This Row],[Unit Price]]</f>
        <v>1198</v>
      </c>
      <c r="Q694" s="5">
        <f>Orders[[#This Row],[Gross Sales]]*Orders[[#This Row],[Discount %]]</f>
        <v>119.80000000000001</v>
      </c>
      <c r="R694" s="5">
        <f>Orders[[#This Row],[Gross Sales]]-Orders[[#This Row],[Discount Amount]]</f>
        <v>1078.2</v>
      </c>
      <c r="S694">
        <f>IF(Orders[[#This Row],[Actual Delivery Date]]="","",Orders[[#This Row],[Actual Delivery Date]]-Orders[[#This Row],[Order Date]])</f>
        <v>3</v>
      </c>
      <c r="T694" t="str">
        <f>IF(Orders[[#This Row],[Actual Delivery Date]]="","Pending",IF(Orders[[#This Row],[Actual Delivery Date]]&lt;=Orders[[#This Row],[Expected Delivery Date]],"On Time","Late"))</f>
        <v>On Time</v>
      </c>
      <c r="U694" t="str">
        <f>TEXT(Orders[[#This Row],[Order Date]],"mmm")</f>
        <v>May</v>
      </c>
      <c r="V694" s="8">
        <f>DATE(YEAR(Orders[[#This Row],[Order Date]]),MONTH(Orders[[#This Row],[Order Date]]),1)</f>
        <v>46143</v>
      </c>
      <c r="W694" s="5">
        <f>IF(Orders[[#This Row],[Order Status]]="Cancelled",Orders[[#This Row],[Net Sales]],0)</f>
        <v>1078.2</v>
      </c>
    </row>
    <row r="695" spans="1:23" x14ac:dyDescent="0.3">
      <c r="A695" t="s">
        <v>1311</v>
      </c>
      <c r="B695" s="7">
        <v>46362</v>
      </c>
      <c r="C695" t="s">
        <v>806</v>
      </c>
      <c r="D695" t="s">
        <v>252</v>
      </c>
      <c r="E695" t="s">
        <v>35</v>
      </c>
      <c r="F695" t="s">
        <v>68</v>
      </c>
      <c r="G695" t="s">
        <v>206</v>
      </c>
      <c r="H695" t="s">
        <v>30</v>
      </c>
      <c r="I695">
        <v>3</v>
      </c>
      <c r="J695" s="5">
        <v>1199</v>
      </c>
      <c r="K695" s="2">
        <v>0</v>
      </c>
      <c r="L695" t="s">
        <v>39</v>
      </c>
      <c r="M695" t="s">
        <v>82</v>
      </c>
      <c r="N695" s="1">
        <v>46364</v>
      </c>
      <c r="O695" s="1">
        <v>46364</v>
      </c>
      <c r="P695" s="5">
        <f>Orders[[#This Row],[Quantity]]*Orders[[#This Row],[Unit Price]]</f>
        <v>3597</v>
      </c>
      <c r="Q695" s="5">
        <f>Orders[[#This Row],[Gross Sales]]*Orders[[#This Row],[Discount %]]</f>
        <v>0</v>
      </c>
      <c r="R695" s="5">
        <f>Orders[[#This Row],[Gross Sales]]-Orders[[#This Row],[Discount Amount]]</f>
        <v>3597</v>
      </c>
      <c r="S695">
        <f>IF(Orders[[#This Row],[Actual Delivery Date]]="","",Orders[[#This Row],[Actual Delivery Date]]-Orders[[#This Row],[Order Date]])</f>
        <v>2</v>
      </c>
      <c r="T695" t="str">
        <f>IF(Orders[[#This Row],[Actual Delivery Date]]="","Pending",IF(Orders[[#This Row],[Actual Delivery Date]]&lt;=Orders[[#This Row],[Expected Delivery Date]],"On Time","Late"))</f>
        <v>On Time</v>
      </c>
      <c r="U695" t="str">
        <f>TEXT(Orders[[#This Row],[Order Date]],"mmm")</f>
        <v>Dec</v>
      </c>
      <c r="V695" s="8">
        <f>DATE(YEAR(Orders[[#This Row],[Order Date]]),MONTH(Orders[[#This Row],[Order Date]]),1)</f>
        <v>46357</v>
      </c>
      <c r="W695" s="5">
        <f>IF(Orders[[#This Row],[Order Status]]="Cancelled",Orders[[#This Row],[Net Sales]],0)</f>
        <v>0</v>
      </c>
    </row>
    <row r="696" spans="1:23" x14ac:dyDescent="0.3">
      <c r="A696" t="s">
        <v>1312</v>
      </c>
      <c r="B696" s="7">
        <v>46152</v>
      </c>
      <c r="C696" t="s">
        <v>472</v>
      </c>
      <c r="D696" t="s">
        <v>318</v>
      </c>
      <c r="E696" t="s">
        <v>27</v>
      </c>
      <c r="F696" t="s">
        <v>74</v>
      </c>
      <c r="G696" t="s">
        <v>96</v>
      </c>
      <c r="H696" t="s">
        <v>38</v>
      </c>
      <c r="I696">
        <v>2</v>
      </c>
      <c r="J696" s="5">
        <v>1599</v>
      </c>
      <c r="K696" s="2">
        <v>0.2</v>
      </c>
      <c r="L696" t="s">
        <v>22</v>
      </c>
      <c r="M696" t="s">
        <v>59</v>
      </c>
      <c r="N696" s="1">
        <v>46157</v>
      </c>
      <c r="O696" s="1">
        <v>46156</v>
      </c>
      <c r="P696" s="5">
        <f>Orders[[#This Row],[Quantity]]*Orders[[#This Row],[Unit Price]]</f>
        <v>3198</v>
      </c>
      <c r="Q696" s="5">
        <f>Orders[[#This Row],[Gross Sales]]*Orders[[#This Row],[Discount %]]</f>
        <v>639.6</v>
      </c>
      <c r="R696" s="5">
        <f>Orders[[#This Row],[Gross Sales]]-Orders[[#This Row],[Discount Amount]]</f>
        <v>2558.4</v>
      </c>
      <c r="S696">
        <f>IF(Orders[[#This Row],[Actual Delivery Date]]="","",Orders[[#This Row],[Actual Delivery Date]]-Orders[[#This Row],[Order Date]])</f>
        <v>4</v>
      </c>
      <c r="T696" t="str">
        <f>IF(Orders[[#This Row],[Actual Delivery Date]]="","Pending",IF(Orders[[#This Row],[Actual Delivery Date]]&lt;=Orders[[#This Row],[Expected Delivery Date]],"On Time","Late"))</f>
        <v>On Time</v>
      </c>
      <c r="U696" t="str">
        <f>TEXT(Orders[[#This Row],[Order Date]],"mmm")</f>
        <v>May</v>
      </c>
      <c r="V696" s="8">
        <f>DATE(YEAR(Orders[[#This Row],[Order Date]]),MONTH(Orders[[#This Row],[Order Date]]),1)</f>
        <v>46143</v>
      </c>
      <c r="W696" s="5">
        <f>IF(Orders[[#This Row],[Order Status]]="Cancelled",Orders[[#This Row],[Net Sales]],0)</f>
        <v>2558.4</v>
      </c>
    </row>
    <row r="697" spans="1:23" x14ac:dyDescent="0.3">
      <c r="A697" t="s">
        <v>1313</v>
      </c>
      <c r="B697" s="7">
        <v>46226</v>
      </c>
      <c r="C697" t="s">
        <v>1058</v>
      </c>
      <c r="D697" t="s">
        <v>954</v>
      </c>
      <c r="E697" t="s">
        <v>35</v>
      </c>
      <c r="F697" t="s">
        <v>68</v>
      </c>
      <c r="G697" t="s">
        <v>20</v>
      </c>
      <c r="H697" t="s">
        <v>21</v>
      </c>
      <c r="I697">
        <v>2</v>
      </c>
      <c r="J697" s="5">
        <v>1799</v>
      </c>
      <c r="K697" s="2">
        <v>0</v>
      </c>
      <c r="L697" t="s">
        <v>31</v>
      </c>
      <c r="M697" t="s">
        <v>82</v>
      </c>
      <c r="N697" s="1">
        <v>46231</v>
      </c>
      <c r="O697" s="1">
        <v>46227</v>
      </c>
      <c r="P697" s="5">
        <f>Orders[[#This Row],[Quantity]]*Orders[[#This Row],[Unit Price]]</f>
        <v>3598</v>
      </c>
      <c r="Q697" s="5">
        <f>Orders[[#This Row],[Gross Sales]]*Orders[[#This Row],[Discount %]]</f>
        <v>0</v>
      </c>
      <c r="R697" s="5">
        <f>Orders[[#This Row],[Gross Sales]]-Orders[[#This Row],[Discount Amount]]</f>
        <v>3598</v>
      </c>
      <c r="S697">
        <f>IF(Orders[[#This Row],[Actual Delivery Date]]="","",Orders[[#This Row],[Actual Delivery Date]]-Orders[[#This Row],[Order Date]])</f>
        <v>1</v>
      </c>
      <c r="T697" t="str">
        <f>IF(Orders[[#This Row],[Actual Delivery Date]]="","Pending",IF(Orders[[#This Row],[Actual Delivery Date]]&lt;=Orders[[#This Row],[Expected Delivery Date]],"On Time","Late"))</f>
        <v>On Time</v>
      </c>
      <c r="U697" t="str">
        <f>TEXT(Orders[[#This Row],[Order Date]],"mmm")</f>
        <v>Jul</v>
      </c>
      <c r="V697" s="8">
        <f>DATE(YEAR(Orders[[#This Row],[Order Date]]),MONTH(Orders[[#This Row],[Order Date]]),1)</f>
        <v>46204</v>
      </c>
      <c r="W697" s="5">
        <f>IF(Orders[[#This Row],[Order Status]]="Cancelled",Orders[[#This Row],[Net Sales]],0)</f>
        <v>0</v>
      </c>
    </row>
    <row r="698" spans="1:23" x14ac:dyDescent="0.3">
      <c r="A698" t="s">
        <v>1314</v>
      </c>
      <c r="B698" s="7">
        <v>46113</v>
      </c>
      <c r="C698" t="s">
        <v>384</v>
      </c>
      <c r="D698" t="s">
        <v>339</v>
      </c>
      <c r="E698" t="s">
        <v>79</v>
      </c>
      <c r="F698" t="s">
        <v>80</v>
      </c>
      <c r="G698" t="s">
        <v>180</v>
      </c>
      <c r="H698" t="s">
        <v>58</v>
      </c>
      <c r="I698">
        <v>1</v>
      </c>
      <c r="J698" s="5">
        <v>599</v>
      </c>
      <c r="K698" s="2">
        <v>0.05</v>
      </c>
      <c r="L698" t="s">
        <v>31</v>
      </c>
      <c r="M698" t="s">
        <v>23</v>
      </c>
      <c r="N698" s="1">
        <v>46116</v>
      </c>
      <c r="O698" s="1">
        <v>46114</v>
      </c>
      <c r="P698" s="5">
        <f>Orders[[#This Row],[Quantity]]*Orders[[#This Row],[Unit Price]]</f>
        <v>599</v>
      </c>
      <c r="Q698" s="5">
        <f>Orders[[#This Row],[Gross Sales]]*Orders[[#This Row],[Discount %]]</f>
        <v>29.950000000000003</v>
      </c>
      <c r="R698" s="5">
        <f>Orders[[#This Row],[Gross Sales]]-Orders[[#This Row],[Discount Amount]]</f>
        <v>569.04999999999995</v>
      </c>
      <c r="S698">
        <f>IF(Orders[[#This Row],[Actual Delivery Date]]="","",Orders[[#This Row],[Actual Delivery Date]]-Orders[[#This Row],[Order Date]])</f>
        <v>1</v>
      </c>
      <c r="T698" t="str">
        <f>IF(Orders[[#This Row],[Actual Delivery Date]]="","Pending",IF(Orders[[#This Row],[Actual Delivery Date]]&lt;=Orders[[#This Row],[Expected Delivery Date]],"On Time","Late"))</f>
        <v>On Time</v>
      </c>
      <c r="U698" t="str">
        <f>TEXT(Orders[[#This Row],[Order Date]],"mmm")</f>
        <v>Apr</v>
      </c>
      <c r="V698" s="8">
        <f>DATE(YEAR(Orders[[#This Row],[Order Date]]),MONTH(Orders[[#This Row],[Order Date]]),1)</f>
        <v>46113</v>
      </c>
      <c r="W698" s="5">
        <f>IF(Orders[[#This Row],[Order Status]]="Cancelled",Orders[[#This Row],[Net Sales]],0)</f>
        <v>0</v>
      </c>
    </row>
    <row r="699" spans="1:23" x14ac:dyDescent="0.3">
      <c r="A699" t="s">
        <v>1315</v>
      </c>
      <c r="B699" s="7">
        <v>46116</v>
      </c>
      <c r="C699" t="s">
        <v>320</v>
      </c>
      <c r="D699" t="s">
        <v>283</v>
      </c>
      <c r="E699" t="s">
        <v>27</v>
      </c>
      <c r="F699" t="s">
        <v>56</v>
      </c>
      <c r="G699" t="s">
        <v>104</v>
      </c>
      <c r="H699" t="s">
        <v>38</v>
      </c>
      <c r="I699">
        <v>3</v>
      </c>
      <c r="J699" s="5">
        <v>999</v>
      </c>
      <c r="K699" s="2">
        <v>0.05</v>
      </c>
      <c r="L699" t="s">
        <v>46</v>
      </c>
      <c r="M699" t="s">
        <v>82</v>
      </c>
      <c r="N699" s="1">
        <v>46121</v>
      </c>
      <c r="O699" s="1">
        <v>46121</v>
      </c>
      <c r="P699" s="5">
        <f>Orders[[#This Row],[Quantity]]*Orders[[#This Row],[Unit Price]]</f>
        <v>2997</v>
      </c>
      <c r="Q699" s="5">
        <f>Orders[[#This Row],[Gross Sales]]*Orders[[#This Row],[Discount %]]</f>
        <v>149.85</v>
      </c>
      <c r="R699" s="5">
        <f>Orders[[#This Row],[Gross Sales]]-Orders[[#This Row],[Discount Amount]]</f>
        <v>2847.15</v>
      </c>
      <c r="S699">
        <f>IF(Orders[[#This Row],[Actual Delivery Date]]="","",Orders[[#This Row],[Actual Delivery Date]]-Orders[[#This Row],[Order Date]])</f>
        <v>5</v>
      </c>
      <c r="T699" t="str">
        <f>IF(Orders[[#This Row],[Actual Delivery Date]]="","Pending",IF(Orders[[#This Row],[Actual Delivery Date]]&lt;=Orders[[#This Row],[Expected Delivery Date]],"On Time","Late"))</f>
        <v>On Time</v>
      </c>
      <c r="U699" t="str">
        <f>TEXT(Orders[[#This Row],[Order Date]],"mmm")</f>
        <v>Apr</v>
      </c>
      <c r="V699" s="8">
        <f>DATE(YEAR(Orders[[#This Row],[Order Date]]),MONTH(Orders[[#This Row],[Order Date]]),1)</f>
        <v>46113</v>
      </c>
      <c r="W699" s="5">
        <f>IF(Orders[[#This Row],[Order Status]]="Cancelled",Orders[[#This Row],[Net Sales]],0)</f>
        <v>0</v>
      </c>
    </row>
    <row r="700" spans="1:23" x14ac:dyDescent="0.3">
      <c r="A700" t="s">
        <v>1316</v>
      </c>
      <c r="B700" s="7">
        <v>46086</v>
      </c>
      <c r="C700" t="s">
        <v>236</v>
      </c>
      <c r="D700" t="s">
        <v>90</v>
      </c>
      <c r="E700" t="s">
        <v>18</v>
      </c>
      <c r="F700" t="s">
        <v>121</v>
      </c>
      <c r="G700" t="s">
        <v>160</v>
      </c>
      <c r="H700" t="s">
        <v>45</v>
      </c>
      <c r="I700">
        <v>1</v>
      </c>
      <c r="J700" s="5">
        <v>1499</v>
      </c>
      <c r="K700" s="2">
        <v>0.1</v>
      </c>
      <c r="L700" t="s">
        <v>39</v>
      </c>
      <c r="M700" t="s">
        <v>47</v>
      </c>
      <c r="N700" s="1">
        <v>46089</v>
      </c>
      <c r="O700" s="1"/>
      <c r="P700" s="5">
        <f>Orders[[#This Row],[Quantity]]*Orders[[#This Row],[Unit Price]]</f>
        <v>1499</v>
      </c>
      <c r="Q700" s="5">
        <f>Orders[[#This Row],[Gross Sales]]*Orders[[#This Row],[Discount %]]</f>
        <v>149.9</v>
      </c>
      <c r="R700" s="5">
        <f>Orders[[#This Row],[Gross Sales]]-Orders[[#This Row],[Discount Amount]]</f>
        <v>1349.1</v>
      </c>
      <c r="S700" t="str">
        <f>IF(Orders[[#This Row],[Actual Delivery Date]]="","",Orders[[#This Row],[Actual Delivery Date]]-Orders[[#This Row],[Order Date]])</f>
        <v/>
      </c>
      <c r="T700" t="str">
        <f>IF(Orders[[#This Row],[Actual Delivery Date]]="","Pending",IF(Orders[[#This Row],[Actual Delivery Date]]&lt;=Orders[[#This Row],[Expected Delivery Date]],"On Time","Late"))</f>
        <v>Pending</v>
      </c>
      <c r="U700" t="str">
        <f>TEXT(Orders[[#This Row],[Order Date]],"mmm")</f>
        <v>Mar</v>
      </c>
      <c r="V700" s="8">
        <f>DATE(YEAR(Orders[[#This Row],[Order Date]]),MONTH(Orders[[#This Row],[Order Date]]),1)</f>
        <v>46082</v>
      </c>
      <c r="W700" s="5">
        <f>IF(Orders[[#This Row],[Order Status]]="Cancelled",Orders[[#This Row],[Net Sales]],0)</f>
        <v>0</v>
      </c>
    </row>
    <row r="701" spans="1:23" x14ac:dyDescent="0.3">
      <c r="A701" t="s">
        <v>1317</v>
      </c>
      <c r="B701" s="7">
        <v>46026</v>
      </c>
      <c r="C701" t="s">
        <v>833</v>
      </c>
      <c r="D701" t="s">
        <v>146</v>
      </c>
      <c r="E701" t="s">
        <v>18</v>
      </c>
      <c r="F701" t="s">
        <v>19</v>
      </c>
      <c r="G701" t="s">
        <v>153</v>
      </c>
      <c r="H701" t="s">
        <v>45</v>
      </c>
      <c r="I701">
        <v>2</v>
      </c>
      <c r="J701" s="5">
        <v>1999</v>
      </c>
      <c r="K701" s="2">
        <v>0</v>
      </c>
      <c r="L701" t="s">
        <v>39</v>
      </c>
      <c r="M701" t="s">
        <v>23</v>
      </c>
      <c r="N701" s="1">
        <v>46032</v>
      </c>
      <c r="O701" s="1">
        <v>46030</v>
      </c>
      <c r="P701" s="5">
        <f>Orders[[#This Row],[Quantity]]*Orders[[#This Row],[Unit Price]]</f>
        <v>3998</v>
      </c>
      <c r="Q701" s="5">
        <f>Orders[[#This Row],[Gross Sales]]*Orders[[#This Row],[Discount %]]</f>
        <v>0</v>
      </c>
      <c r="R701" s="5">
        <f>Orders[[#This Row],[Gross Sales]]-Orders[[#This Row],[Discount Amount]]</f>
        <v>3998</v>
      </c>
      <c r="S701">
        <f>IF(Orders[[#This Row],[Actual Delivery Date]]="","",Orders[[#This Row],[Actual Delivery Date]]-Orders[[#This Row],[Order Date]])</f>
        <v>4</v>
      </c>
      <c r="T701" t="str">
        <f>IF(Orders[[#This Row],[Actual Delivery Date]]="","Pending",IF(Orders[[#This Row],[Actual Delivery Date]]&lt;=Orders[[#This Row],[Expected Delivery Date]],"On Time","Late"))</f>
        <v>On Time</v>
      </c>
      <c r="U701" t="str">
        <f>TEXT(Orders[[#This Row],[Order Date]],"mmm")</f>
        <v>Jan</v>
      </c>
      <c r="V701" s="8">
        <f>DATE(YEAR(Orders[[#This Row],[Order Date]]),MONTH(Orders[[#This Row],[Order Date]]),1)</f>
        <v>46023</v>
      </c>
      <c r="W701" s="5">
        <f>IF(Orders[[#This Row],[Order Status]]="Cancelled",Orders[[#This Row],[Net Sales]],0)</f>
        <v>0</v>
      </c>
    </row>
    <row r="702" spans="1:23" x14ac:dyDescent="0.3">
      <c r="A702" t="s">
        <v>1318</v>
      </c>
      <c r="B702" s="7">
        <v>46242</v>
      </c>
      <c r="C702" t="s">
        <v>1205</v>
      </c>
      <c r="D702" t="s">
        <v>1252</v>
      </c>
      <c r="E702" t="s">
        <v>79</v>
      </c>
      <c r="F702" t="s">
        <v>170</v>
      </c>
      <c r="G702" t="s">
        <v>87</v>
      </c>
      <c r="H702" t="s">
        <v>21</v>
      </c>
      <c r="I702">
        <v>1</v>
      </c>
      <c r="J702" s="5">
        <v>1899</v>
      </c>
      <c r="K702" s="2">
        <v>0.1</v>
      </c>
      <c r="L702" t="s">
        <v>46</v>
      </c>
      <c r="M702" t="s">
        <v>82</v>
      </c>
      <c r="N702" s="1">
        <v>46245</v>
      </c>
      <c r="O702" s="1">
        <v>46249</v>
      </c>
      <c r="P702" s="5">
        <f>Orders[[#This Row],[Quantity]]*Orders[[#This Row],[Unit Price]]</f>
        <v>1899</v>
      </c>
      <c r="Q702" s="5">
        <f>Orders[[#This Row],[Gross Sales]]*Orders[[#This Row],[Discount %]]</f>
        <v>189.9</v>
      </c>
      <c r="R702" s="5">
        <f>Orders[[#This Row],[Gross Sales]]-Orders[[#This Row],[Discount Amount]]</f>
        <v>1709.1</v>
      </c>
      <c r="S702">
        <f>IF(Orders[[#This Row],[Actual Delivery Date]]="","",Orders[[#This Row],[Actual Delivery Date]]-Orders[[#This Row],[Order Date]])</f>
        <v>7</v>
      </c>
      <c r="T702" t="str">
        <f>IF(Orders[[#This Row],[Actual Delivery Date]]="","Pending",IF(Orders[[#This Row],[Actual Delivery Date]]&lt;=Orders[[#This Row],[Expected Delivery Date]],"On Time","Late"))</f>
        <v>Late</v>
      </c>
      <c r="U702" t="str">
        <f>TEXT(Orders[[#This Row],[Order Date]],"mmm")</f>
        <v>Aug</v>
      </c>
      <c r="V702" s="8">
        <f>DATE(YEAR(Orders[[#This Row],[Order Date]]),MONTH(Orders[[#This Row],[Order Date]]),1)</f>
        <v>46235</v>
      </c>
      <c r="W702" s="5">
        <f>IF(Orders[[#This Row],[Order Status]]="Cancelled",Orders[[#This Row],[Net Sales]],0)</f>
        <v>0</v>
      </c>
    </row>
    <row r="703" spans="1:23" x14ac:dyDescent="0.3">
      <c r="A703" t="s">
        <v>1319</v>
      </c>
      <c r="B703" s="7">
        <v>46256</v>
      </c>
      <c r="C703" t="s">
        <v>634</v>
      </c>
      <c r="D703" t="s">
        <v>417</v>
      </c>
      <c r="E703" t="s">
        <v>35</v>
      </c>
      <c r="F703" t="s">
        <v>36</v>
      </c>
      <c r="G703" t="s">
        <v>75</v>
      </c>
      <c r="H703" t="s">
        <v>45</v>
      </c>
      <c r="I703">
        <v>3</v>
      </c>
      <c r="J703" s="5">
        <v>799</v>
      </c>
      <c r="K703" s="2">
        <v>0.15</v>
      </c>
      <c r="L703" t="s">
        <v>31</v>
      </c>
      <c r="M703" t="s">
        <v>23</v>
      </c>
      <c r="N703" s="1">
        <v>46262</v>
      </c>
      <c r="O703" s="1">
        <v>46261</v>
      </c>
      <c r="P703" s="5">
        <f>Orders[[#This Row],[Quantity]]*Orders[[#This Row],[Unit Price]]</f>
        <v>2397</v>
      </c>
      <c r="Q703" s="5">
        <f>Orders[[#This Row],[Gross Sales]]*Orders[[#This Row],[Discount %]]</f>
        <v>359.55</v>
      </c>
      <c r="R703" s="5">
        <f>Orders[[#This Row],[Gross Sales]]-Orders[[#This Row],[Discount Amount]]</f>
        <v>2037.45</v>
      </c>
      <c r="S703">
        <f>IF(Orders[[#This Row],[Actual Delivery Date]]="","",Orders[[#This Row],[Actual Delivery Date]]-Orders[[#This Row],[Order Date]])</f>
        <v>5</v>
      </c>
      <c r="T703" t="str">
        <f>IF(Orders[[#This Row],[Actual Delivery Date]]="","Pending",IF(Orders[[#This Row],[Actual Delivery Date]]&lt;=Orders[[#This Row],[Expected Delivery Date]],"On Time","Late"))</f>
        <v>On Time</v>
      </c>
      <c r="U703" t="str">
        <f>TEXT(Orders[[#This Row],[Order Date]],"mmm")</f>
        <v>Aug</v>
      </c>
      <c r="V703" s="8">
        <f>DATE(YEAR(Orders[[#This Row],[Order Date]]),MONTH(Orders[[#This Row],[Order Date]]),1)</f>
        <v>46235</v>
      </c>
      <c r="W703" s="5">
        <f>IF(Orders[[#This Row],[Order Status]]="Cancelled",Orders[[#This Row],[Net Sales]],0)</f>
        <v>0</v>
      </c>
    </row>
    <row r="704" spans="1:23" x14ac:dyDescent="0.3">
      <c r="A704" t="s">
        <v>1320</v>
      </c>
      <c r="B704" s="7">
        <v>46286</v>
      </c>
      <c r="C704" t="s">
        <v>1043</v>
      </c>
      <c r="D704" t="s">
        <v>855</v>
      </c>
      <c r="E704" t="s">
        <v>35</v>
      </c>
      <c r="F704" t="s">
        <v>63</v>
      </c>
      <c r="G704" t="s">
        <v>100</v>
      </c>
      <c r="H704" t="s">
        <v>30</v>
      </c>
      <c r="I704">
        <v>1</v>
      </c>
      <c r="J704" s="5">
        <v>2499</v>
      </c>
      <c r="K704" s="2">
        <v>0.05</v>
      </c>
      <c r="L704" t="s">
        <v>39</v>
      </c>
      <c r="M704" t="s">
        <v>59</v>
      </c>
      <c r="N704" s="1">
        <v>46290</v>
      </c>
      <c r="O704" s="1">
        <v>46289</v>
      </c>
      <c r="P704" s="5">
        <f>Orders[[#This Row],[Quantity]]*Orders[[#This Row],[Unit Price]]</f>
        <v>2499</v>
      </c>
      <c r="Q704" s="5">
        <f>Orders[[#This Row],[Gross Sales]]*Orders[[#This Row],[Discount %]]</f>
        <v>124.95</v>
      </c>
      <c r="R704" s="5">
        <f>Orders[[#This Row],[Gross Sales]]-Orders[[#This Row],[Discount Amount]]</f>
        <v>2374.0500000000002</v>
      </c>
      <c r="S704">
        <f>IF(Orders[[#This Row],[Actual Delivery Date]]="","",Orders[[#This Row],[Actual Delivery Date]]-Orders[[#This Row],[Order Date]])</f>
        <v>3</v>
      </c>
      <c r="T704" t="str">
        <f>IF(Orders[[#This Row],[Actual Delivery Date]]="","Pending",IF(Orders[[#This Row],[Actual Delivery Date]]&lt;=Orders[[#This Row],[Expected Delivery Date]],"On Time","Late"))</f>
        <v>On Time</v>
      </c>
      <c r="U704" t="str">
        <f>TEXT(Orders[[#This Row],[Order Date]],"mmm")</f>
        <v>Sep</v>
      </c>
      <c r="V704" s="8">
        <f>DATE(YEAR(Orders[[#This Row],[Order Date]]),MONTH(Orders[[#This Row],[Order Date]]),1)</f>
        <v>46266</v>
      </c>
      <c r="W704" s="5">
        <f>IF(Orders[[#This Row],[Order Status]]="Cancelled",Orders[[#This Row],[Net Sales]],0)</f>
        <v>2374.0500000000002</v>
      </c>
    </row>
    <row r="705" spans="1:23" x14ac:dyDescent="0.3">
      <c r="A705" t="s">
        <v>1321</v>
      </c>
      <c r="B705" s="7">
        <v>46227</v>
      </c>
      <c r="C705" t="s">
        <v>72</v>
      </c>
      <c r="D705" t="s">
        <v>1073</v>
      </c>
      <c r="E705" t="s">
        <v>79</v>
      </c>
      <c r="F705" t="s">
        <v>108</v>
      </c>
      <c r="G705" t="s">
        <v>100</v>
      </c>
      <c r="H705" t="s">
        <v>30</v>
      </c>
      <c r="I705">
        <v>2</v>
      </c>
      <c r="J705" s="5">
        <v>2499</v>
      </c>
      <c r="K705" s="2">
        <v>0</v>
      </c>
      <c r="L705" t="s">
        <v>46</v>
      </c>
      <c r="M705" t="s">
        <v>23</v>
      </c>
      <c r="N705" s="1">
        <v>46232</v>
      </c>
      <c r="O705" s="1">
        <v>46233</v>
      </c>
      <c r="P705" s="5">
        <f>Orders[[#This Row],[Quantity]]*Orders[[#This Row],[Unit Price]]</f>
        <v>4998</v>
      </c>
      <c r="Q705" s="5">
        <f>Orders[[#This Row],[Gross Sales]]*Orders[[#This Row],[Discount %]]</f>
        <v>0</v>
      </c>
      <c r="R705" s="5">
        <f>Orders[[#This Row],[Gross Sales]]-Orders[[#This Row],[Discount Amount]]</f>
        <v>4998</v>
      </c>
      <c r="S705">
        <f>IF(Orders[[#This Row],[Actual Delivery Date]]="","",Orders[[#This Row],[Actual Delivery Date]]-Orders[[#This Row],[Order Date]])</f>
        <v>6</v>
      </c>
      <c r="T705" t="str">
        <f>IF(Orders[[#This Row],[Actual Delivery Date]]="","Pending",IF(Orders[[#This Row],[Actual Delivery Date]]&lt;=Orders[[#This Row],[Expected Delivery Date]],"On Time","Late"))</f>
        <v>Late</v>
      </c>
      <c r="U705" t="str">
        <f>TEXT(Orders[[#This Row],[Order Date]],"mmm")</f>
        <v>Jul</v>
      </c>
      <c r="V705" s="8">
        <f>DATE(YEAR(Orders[[#This Row],[Order Date]]),MONTH(Orders[[#This Row],[Order Date]]),1)</f>
        <v>46204</v>
      </c>
      <c r="W705" s="5">
        <f>IF(Orders[[#This Row],[Order Status]]="Cancelled",Orders[[#This Row],[Net Sales]],0)</f>
        <v>0</v>
      </c>
    </row>
    <row r="706" spans="1:23" x14ac:dyDescent="0.3">
      <c r="A706" t="s">
        <v>1322</v>
      </c>
      <c r="B706" s="7">
        <v>46281</v>
      </c>
      <c r="C706" t="s">
        <v>577</v>
      </c>
      <c r="D706" t="s">
        <v>481</v>
      </c>
      <c r="E706" t="s">
        <v>27</v>
      </c>
      <c r="F706" t="s">
        <v>56</v>
      </c>
      <c r="G706" t="s">
        <v>206</v>
      </c>
      <c r="H706" t="s">
        <v>30</v>
      </c>
      <c r="I706">
        <v>1</v>
      </c>
      <c r="J706" s="5">
        <v>1199</v>
      </c>
      <c r="K706" s="2">
        <v>0.15</v>
      </c>
      <c r="L706" t="s">
        <v>39</v>
      </c>
      <c r="M706" t="s">
        <v>23</v>
      </c>
      <c r="N706" s="1">
        <v>46288</v>
      </c>
      <c r="O706" s="1">
        <v>46292</v>
      </c>
      <c r="P706" s="5">
        <f>Orders[[#This Row],[Quantity]]*Orders[[#This Row],[Unit Price]]</f>
        <v>1199</v>
      </c>
      <c r="Q706" s="5">
        <f>Orders[[#This Row],[Gross Sales]]*Orders[[#This Row],[Discount %]]</f>
        <v>179.85</v>
      </c>
      <c r="R706" s="5">
        <f>Orders[[#This Row],[Gross Sales]]-Orders[[#This Row],[Discount Amount]]</f>
        <v>1019.15</v>
      </c>
      <c r="S706">
        <f>IF(Orders[[#This Row],[Actual Delivery Date]]="","",Orders[[#This Row],[Actual Delivery Date]]-Orders[[#This Row],[Order Date]])</f>
        <v>11</v>
      </c>
      <c r="T706" t="str">
        <f>IF(Orders[[#This Row],[Actual Delivery Date]]="","Pending",IF(Orders[[#This Row],[Actual Delivery Date]]&lt;=Orders[[#This Row],[Expected Delivery Date]],"On Time","Late"))</f>
        <v>Late</v>
      </c>
      <c r="U706" t="str">
        <f>TEXT(Orders[[#This Row],[Order Date]],"mmm")</f>
        <v>Sep</v>
      </c>
      <c r="V706" s="8">
        <f>DATE(YEAR(Orders[[#This Row],[Order Date]]),MONTH(Orders[[#This Row],[Order Date]]),1)</f>
        <v>46266</v>
      </c>
      <c r="W706" s="5">
        <f>IF(Orders[[#This Row],[Order Status]]="Cancelled",Orders[[#This Row],[Net Sales]],0)</f>
        <v>0</v>
      </c>
    </row>
    <row r="707" spans="1:23" x14ac:dyDescent="0.3">
      <c r="A707" t="s">
        <v>1323</v>
      </c>
      <c r="B707" s="7">
        <v>46147</v>
      </c>
      <c r="C707" t="s">
        <v>722</v>
      </c>
      <c r="D707" t="s">
        <v>1324</v>
      </c>
      <c r="E707" t="s">
        <v>18</v>
      </c>
      <c r="F707" t="s">
        <v>43</v>
      </c>
      <c r="G707" t="s">
        <v>29</v>
      </c>
      <c r="H707" t="s">
        <v>30</v>
      </c>
      <c r="I707">
        <v>1</v>
      </c>
      <c r="J707" s="5">
        <v>599</v>
      </c>
      <c r="K707" s="2">
        <v>0</v>
      </c>
      <c r="L707" t="s">
        <v>39</v>
      </c>
      <c r="M707" t="s">
        <v>23</v>
      </c>
      <c r="N707" s="1">
        <v>46154</v>
      </c>
      <c r="O707" s="1">
        <v>46150</v>
      </c>
      <c r="P707" s="5">
        <f>Orders[[#This Row],[Quantity]]*Orders[[#This Row],[Unit Price]]</f>
        <v>599</v>
      </c>
      <c r="Q707" s="5">
        <f>Orders[[#This Row],[Gross Sales]]*Orders[[#This Row],[Discount %]]</f>
        <v>0</v>
      </c>
      <c r="R707" s="5">
        <f>Orders[[#This Row],[Gross Sales]]-Orders[[#This Row],[Discount Amount]]</f>
        <v>599</v>
      </c>
      <c r="S707">
        <f>IF(Orders[[#This Row],[Actual Delivery Date]]="","",Orders[[#This Row],[Actual Delivery Date]]-Orders[[#This Row],[Order Date]])</f>
        <v>3</v>
      </c>
      <c r="T707" t="str">
        <f>IF(Orders[[#This Row],[Actual Delivery Date]]="","Pending",IF(Orders[[#This Row],[Actual Delivery Date]]&lt;=Orders[[#This Row],[Expected Delivery Date]],"On Time","Late"))</f>
        <v>On Time</v>
      </c>
      <c r="U707" t="str">
        <f>TEXT(Orders[[#This Row],[Order Date]],"mmm")</f>
        <v>May</v>
      </c>
      <c r="V707" s="8">
        <f>DATE(YEAR(Orders[[#This Row],[Order Date]]),MONTH(Orders[[#This Row],[Order Date]]),1)</f>
        <v>46143</v>
      </c>
      <c r="W707" s="5">
        <f>IF(Orders[[#This Row],[Order Status]]="Cancelled",Orders[[#This Row],[Net Sales]],0)</f>
        <v>0</v>
      </c>
    </row>
    <row r="708" spans="1:23" x14ac:dyDescent="0.3">
      <c r="A708" t="s">
        <v>1325</v>
      </c>
      <c r="B708" s="7">
        <v>46363</v>
      </c>
      <c r="C708" t="s">
        <v>188</v>
      </c>
      <c r="D708" t="s">
        <v>422</v>
      </c>
      <c r="E708" t="s">
        <v>27</v>
      </c>
      <c r="F708" t="s">
        <v>51</v>
      </c>
      <c r="G708" t="s">
        <v>147</v>
      </c>
      <c r="H708" t="s">
        <v>58</v>
      </c>
      <c r="I708">
        <v>1</v>
      </c>
      <c r="J708" s="5">
        <v>399</v>
      </c>
      <c r="K708" s="2">
        <v>0.2</v>
      </c>
      <c r="L708" t="s">
        <v>70</v>
      </c>
      <c r="M708" t="s">
        <v>23</v>
      </c>
      <c r="N708" s="1">
        <v>46370</v>
      </c>
      <c r="O708" s="1">
        <v>46365</v>
      </c>
      <c r="P708" s="5">
        <f>Orders[[#This Row],[Quantity]]*Orders[[#This Row],[Unit Price]]</f>
        <v>399</v>
      </c>
      <c r="Q708" s="5">
        <f>Orders[[#This Row],[Gross Sales]]*Orders[[#This Row],[Discount %]]</f>
        <v>79.800000000000011</v>
      </c>
      <c r="R708" s="5">
        <f>Orders[[#This Row],[Gross Sales]]-Orders[[#This Row],[Discount Amount]]</f>
        <v>319.2</v>
      </c>
      <c r="S708">
        <f>IF(Orders[[#This Row],[Actual Delivery Date]]="","",Orders[[#This Row],[Actual Delivery Date]]-Orders[[#This Row],[Order Date]])</f>
        <v>2</v>
      </c>
      <c r="T708" t="str">
        <f>IF(Orders[[#This Row],[Actual Delivery Date]]="","Pending",IF(Orders[[#This Row],[Actual Delivery Date]]&lt;=Orders[[#This Row],[Expected Delivery Date]],"On Time","Late"))</f>
        <v>On Time</v>
      </c>
      <c r="U708" t="str">
        <f>TEXT(Orders[[#This Row],[Order Date]],"mmm")</f>
        <v>Dec</v>
      </c>
      <c r="V708" s="8">
        <f>DATE(YEAR(Orders[[#This Row],[Order Date]]),MONTH(Orders[[#This Row],[Order Date]]),1)</f>
        <v>46357</v>
      </c>
      <c r="W708" s="5">
        <f>IF(Orders[[#This Row],[Order Status]]="Cancelled",Orders[[#This Row],[Net Sales]],0)</f>
        <v>0</v>
      </c>
    </row>
    <row r="709" spans="1:23" x14ac:dyDescent="0.3">
      <c r="A709" t="s">
        <v>1326</v>
      </c>
      <c r="B709" s="7">
        <v>46246</v>
      </c>
      <c r="C709" t="s">
        <v>531</v>
      </c>
      <c r="D709" t="s">
        <v>943</v>
      </c>
      <c r="E709" t="s">
        <v>35</v>
      </c>
      <c r="F709" t="s">
        <v>63</v>
      </c>
      <c r="G709" t="s">
        <v>228</v>
      </c>
      <c r="H709" t="s">
        <v>58</v>
      </c>
      <c r="I709">
        <v>3</v>
      </c>
      <c r="J709" s="5">
        <v>1499</v>
      </c>
      <c r="K709" s="2">
        <v>0.05</v>
      </c>
      <c r="L709" t="s">
        <v>46</v>
      </c>
      <c r="M709" t="s">
        <v>23</v>
      </c>
      <c r="N709" s="1">
        <v>46250</v>
      </c>
      <c r="O709" s="1">
        <v>46247</v>
      </c>
      <c r="P709" s="5">
        <f>Orders[[#This Row],[Quantity]]*Orders[[#This Row],[Unit Price]]</f>
        <v>4497</v>
      </c>
      <c r="Q709" s="5">
        <f>Orders[[#This Row],[Gross Sales]]*Orders[[#This Row],[Discount %]]</f>
        <v>224.85000000000002</v>
      </c>
      <c r="R709" s="5">
        <f>Orders[[#This Row],[Gross Sales]]-Orders[[#This Row],[Discount Amount]]</f>
        <v>4272.1499999999996</v>
      </c>
      <c r="S709">
        <f>IF(Orders[[#This Row],[Actual Delivery Date]]="","",Orders[[#This Row],[Actual Delivery Date]]-Orders[[#This Row],[Order Date]])</f>
        <v>1</v>
      </c>
      <c r="T709" t="str">
        <f>IF(Orders[[#This Row],[Actual Delivery Date]]="","Pending",IF(Orders[[#This Row],[Actual Delivery Date]]&lt;=Orders[[#This Row],[Expected Delivery Date]],"On Time","Late"))</f>
        <v>On Time</v>
      </c>
      <c r="U709" t="str">
        <f>TEXT(Orders[[#This Row],[Order Date]],"mmm")</f>
        <v>Aug</v>
      </c>
      <c r="V709" s="8">
        <f>DATE(YEAR(Orders[[#This Row],[Order Date]]),MONTH(Orders[[#This Row],[Order Date]]),1)</f>
        <v>46235</v>
      </c>
      <c r="W709" s="5">
        <f>IF(Orders[[#This Row],[Order Status]]="Cancelled",Orders[[#This Row],[Net Sales]],0)</f>
        <v>0</v>
      </c>
    </row>
    <row r="710" spans="1:23" x14ac:dyDescent="0.3">
      <c r="A710" t="s">
        <v>1327</v>
      </c>
      <c r="B710" s="7">
        <v>46217</v>
      </c>
      <c r="C710" t="s">
        <v>879</v>
      </c>
      <c r="D710" t="s">
        <v>561</v>
      </c>
      <c r="E710" t="s">
        <v>18</v>
      </c>
      <c r="F710" t="s">
        <v>121</v>
      </c>
      <c r="G710" t="s">
        <v>131</v>
      </c>
      <c r="H710" t="s">
        <v>38</v>
      </c>
      <c r="I710">
        <v>2</v>
      </c>
      <c r="J710" s="5">
        <v>899</v>
      </c>
      <c r="K710" s="2">
        <v>0</v>
      </c>
      <c r="L710" t="s">
        <v>46</v>
      </c>
      <c r="M710" t="s">
        <v>23</v>
      </c>
      <c r="N710" s="1">
        <v>46223</v>
      </c>
      <c r="O710" s="1">
        <v>46221</v>
      </c>
      <c r="P710" s="5">
        <f>Orders[[#This Row],[Quantity]]*Orders[[#This Row],[Unit Price]]</f>
        <v>1798</v>
      </c>
      <c r="Q710" s="5">
        <f>Orders[[#This Row],[Gross Sales]]*Orders[[#This Row],[Discount %]]</f>
        <v>0</v>
      </c>
      <c r="R710" s="5">
        <f>Orders[[#This Row],[Gross Sales]]-Orders[[#This Row],[Discount Amount]]</f>
        <v>1798</v>
      </c>
      <c r="S710">
        <f>IF(Orders[[#This Row],[Actual Delivery Date]]="","",Orders[[#This Row],[Actual Delivery Date]]-Orders[[#This Row],[Order Date]])</f>
        <v>4</v>
      </c>
      <c r="T710" t="str">
        <f>IF(Orders[[#This Row],[Actual Delivery Date]]="","Pending",IF(Orders[[#This Row],[Actual Delivery Date]]&lt;=Orders[[#This Row],[Expected Delivery Date]],"On Time","Late"))</f>
        <v>On Time</v>
      </c>
      <c r="U710" t="str">
        <f>TEXT(Orders[[#This Row],[Order Date]],"mmm")</f>
        <v>Jul</v>
      </c>
      <c r="V710" s="8">
        <f>DATE(YEAR(Orders[[#This Row],[Order Date]]),MONTH(Orders[[#This Row],[Order Date]]),1)</f>
        <v>46204</v>
      </c>
      <c r="W710" s="5">
        <f>IF(Orders[[#This Row],[Order Status]]="Cancelled",Orders[[#This Row],[Net Sales]],0)</f>
        <v>0</v>
      </c>
    </row>
    <row r="711" spans="1:23" x14ac:dyDescent="0.3">
      <c r="A711" t="s">
        <v>1328</v>
      </c>
      <c r="B711" s="7">
        <v>46325</v>
      </c>
      <c r="C711" t="s">
        <v>572</v>
      </c>
      <c r="D711" t="s">
        <v>355</v>
      </c>
      <c r="E711" t="s">
        <v>35</v>
      </c>
      <c r="F711" t="s">
        <v>68</v>
      </c>
      <c r="G711" t="s">
        <v>206</v>
      </c>
      <c r="H711" t="s">
        <v>30</v>
      </c>
      <c r="I711">
        <v>1</v>
      </c>
      <c r="J711" s="5">
        <v>1199</v>
      </c>
      <c r="K711" s="2">
        <v>0.15</v>
      </c>
      <c r="L711" t="s">
        <v>39</v>
      </c>
      <c r="M711" t="s">
        <v>47</v>
      </c>
      <c r="N711" s="1">
        <v>46330</v>
      </c>
      <c r="O711" s="1"/>
      <c r="P711" s="5">
        <f>Orders[[#This Row],[Quantity]]*Orders[[#This Row],[Unit Price]]</f>
        <v>1199</v>
      </c>
      <c r="Q711" s="5">
        <f>Orders[[#This Row],[Gross Sales]]*Orders[[#This Row],[Discount %]]</f>
        <v>179.85</v>
      </c>
      <c r="R711" s="5">
        <f>Orders[[#This Row],[Gross Sales]]-Orders[[#This Row],[Discount Amount]]</f>
        <v>1019.15</v>
      </c>
      <c r="S711" t="str">
        <f>IF(Orders[[#This Row],[Actual Delivery Date]]="","",Orders[[#This Row],[Actual Delivery Date]]-Orders[[#This Row],[Order Date]])</f>
        <v/>
      </c>
      <c r="T711" t="str">
        <f>IF(Orders[[#This Row],[Actual Delivery Date]]="","Pending",IF(Orders[[#This Row],[Actual Delivery Date]]&lt;=Orders[[#This Row],[Expected Delivery Date]],"On Time","Late"))</f>
        <v>Pending</v>
      </c>
      <c r="U711" t="str">
        <f>TEXT(Orders[[#This Row],[Order Date]],"mmm")</f>
        <v>Oct</v>
      </c>
      <c r="V711" s="8">
        <f>DATE(YEAR(Orders[[#This Row],[Order Date]]),MONTH(Orders[[#This Row],[Order Date]]),1)</f>
        <v>46296</v>
      </c>
      <c r="W711" s="5">
        <f>IF(Orders[[#This Row],[Order Status]]="Cancelled",Orders[[#This Row],[Net Sales]],0)</f>
        <v>0</v>
      </c>
    </row>
    <row r="712" spans="1:23" x14ac:dyDescent="0.3">
      <c r="A712" t="s">
        <v>1329</v>
      </c>
      <c r="B712" s="7">
        <v>46098</v>
      </c>
      <c r="C712" t="s">
        <v>1136</v>
      </c>
      <c r="D712" t="s">
        <v>723</v>
      </c>
      <c r="E712" t="s">
        <v>35</v>
      </c>
      <c r="F712" t="s">
        <v>68</v>
      </c>
      <c r="G712" t="s">
        <v>57</v>
      </c>
      <c r="H712" t="s">
        <v>58</v>
      </c>
      <c r="I712">
        <v>2</v>
      </c>
      <c r="J712" s="5">
        <v>499</v>
      </c>
      <c r="K712" s="2">
        <v>0.05</v>
      </c>
      <c r="L712" t="s">
        <v>39</v>
      </c>
      <c r="M712" t="s">
        <v>47</v>
      </c>
      <c r="N712" s="1">
        <v>46102</v>
      </c>
      <c r="O712" s="1"/>
      <c r="P712" s="5">
        <f>Orders[[#This Row],[Quantity]]*Orders[[#This Row],[Unit Price]]</f>
        <v>998</v>
      </c>
      <c r="Q712" s="5">
        <f>Orders[[#This Row],[Gross Sales]]*Orders[[#This Row],[Discount %]]</f>
        <v>49.900000000000006</v>
      </c>
      <c r="R712" s="5">
        <f>Orders[[#This Row],[Gross Sales]]-Orders[[#This Row],[Discount Amount]]</f>
        <v>948.1</v>
      </c>
      <c r="S712" t="str">
        <f>IF(Orders[[#This Row],[Actual Delivery Date]]="","",Orders[[#This Row],[Actual Delivery Date]]-Orders[[#This Row],[Order Date]])</f>
        <v/>
      </c>
      <c r="T712" t="str">
        <f>IF(Orders[[#This Row],[Actual Delivery Date]]="","Pending",IF(Orders[[#This Row],[Actual Delivery Date]]&lt;=Orders[[#This Row],[Expected Delivery Date]],"On Time","Late"))</f>
        <v>Pending</v>
      </c>
      <c r="U712" t="str">
        <f>TEXT(Orders[[#This Row],[Order Date]],"mmm")</f>
        <v>Mar</v>
      </c>
      <c r="V712" s="8">
        <f>DATE(YEAR(Orders[[#This Row],[Order Date]]),MONTH(Orders[[#This Row],[Order Date]]),1)</f>
        <v>46082</v>
      </c>
      <c r="W712" s="5">
        <f>IF(Orders[[#This Row],[Order Status]]="Cancelled",Orders[[#This Row],[Net Sales]],0)</f>
        <v>0</v>
      </c>
    </row>
    <row r="713" spans="1:23" x14ac:dyDescent="0.3">
      <c r="A713" t="s">
        <v>1330</v>
      </c>
      <c r="B713" s="7">
        <v>46346</v>
      </c>
      <c r="C713" t="s">
        <v>84</v>
      </c>
      <c r="D713" t="s">
        <v>1331</v>
      </c>
      <c r="E713" t="s">
        <v>18</v>
      </c>
      <c r="F713" t="s">
        <v>121</v>
      </c>
      <c r="G713" t="s">
        <v>100</v>
      </c>
      <c r="H713" t="s">
        <v>30</v>
      </c>
      <c r="I713">
        <v>3</v>
      </c>
      <c r="J713" s="5">
        <v>2499</v>
      </c>
      <c r="K713" s="2">
        <v>0.15</v>
      </c>
      <c r="L713" t="s">
        <v>46</v>
      </c>
      <c r="M713" t="s">
        <v>59</v>
      </c>
      <c r="N713" s="1">
        <v>46351</v>
      </c>
      <c r="O713" s="1">
        <v>46349</v>
      </c>
      <c r="P713" s="5">
        <f>Orders[[#This Row],[Quantity]]*Orders[[#This Row],[Unit Price]]</f>
        <v>7497</v>
      </c>
      <c r="Q713" s="5">
        <f>Orders[[#This Row],[Gross Sales]]*Orders[[#This Row],[Discount %]]</f>
        <v>1124.55</v>
      </c>
      <c r="R713" s="5">
        <f>Orders[[#This Row],[Gross Sales]]-Orders[[#This Row],[Discount Amount]]</f>
        <v>6372.45</v>
      </c>
      <c r="S713">
        <f>IF(Orders[[#This Row],[Actual Delivery Date]]="","",Orders[[#This Row],[Actual Delivery Date]]-Orders[[#This Row],[Order Date]])</f>
        <v>3</v>
      </c>
      <c r="T713" t="str">
        <f>IF(Orders[[#This Row],[Actual Delivery Date]]="","Pending",IF(Orders[[#This Row],[Actual Delivery Date]]&lt;=Orders[[#This Row],[Expected Delivery Date]],"On Time","Late"))</f>
        <v>On Time</v>
      </c>
      <c r="U713" t="str">
        <f>TEXT(Orders[[#This Row],[Order Date]],"mmm")</f>
        <v>Nov</v>
      </c>
      <c r="V713" s="8">
        <f>DATE(YEAR(Orders[[#This Row],[Order Date]]),MONTH(Orders[[#This Row],[Order Date]]),1)</f>
        <v>46327</v>
      </c>
      <c r="W713" s="5">
        <f>IF(Orders[[#This Row],[Order Status]]="Cancelled",Orders[[#This Row],[Net Sales]],0)</f>
        <v>6372.45</v>
      </c>
    </row>
    <row r="714" spans="1:23" x14ac:dyDescent="0.3">
      <c r="A714" t="s">
        <v>1332</v>
      </c>
      <c r="B714" s="7">
        <v>46223</v>
      </c>
      <c r="C714" t="s">
        <v>455</v>
      </c>
      <c r="D714" t="s">
        <v>26</v>
      </c>
      <c r="E714" t="s">
        <v>27</v>
      </c>
      <c r="F714" t="s">
        <v>28</v>
      </c>
      <c r="G714" t="s">
        <v>96</v>
      </c>
      <c r="H714" t="s">
        <v>38</v>
      </c>
      <c r="I714">
        <v>1</v>
      </c>
      <c r="J714" s="5">
        <v>1599</v>
      </c>
      <c r="K714" s="2">
        <v>0.05</v>
      </c>
      <c r="L714" t="s">
        <v>39</v>
      </c>
      <c r="M714" t="s">
        <v>47</v>
      </c>
      <c r="N714" s="1">
        <v>46228</v>
      </c>
      <c r="O714" s="1"/>
      <c r="P714" s="5">
        <f>Orders[[#This Row],[Quantity]]*Orders[[#This Row],[Unit Price]]</f>
        <v>1599</v>
      </c>
      <c r="Q714" s="5">
        <f>Orders[[#This Row],[Gross Sales]]*Orders[[#This Row],[Discount %]]</f>
        <v>79.95</v>
      </c>
      <c r="R714" s="5">
        <f>Orders[[#This Row],[Gross Sales]]-Orders[[#This Row],[Discount Amount]]</f>
        <v>1519.05</v>
      </c>
      <c r="S714" t="str">
        <f>IF(Orders[[#This Row],[Actual Delivery Date]]="","",Orders[[#This Row],[Actual Delivery Date]]-Orders[[#This Row],[Order Date]])</f>
        <v/>
      </c>
      <c r="T714" t="str">
        <f>IF(Orders[[#This Row],[Actual Delivery Date]]="","Pending",IF(Orders[[#This Row],[Actual Delivery Date]]&lt;=Orders[[#This Row],[Expected Delivery Date]],"On Time","Late"))</f>
        <v>Pending</v>
      </c>
      <c r="U714" t="str">
        <f>TEXT(Orders[[#This Row],[Order Date]],"mmm")</f>
        <v>Jul</v>
      </c>
      <c r="V714" s="8">
        <f>DATE(YEAR(Orders[[#This Row],[Order Date]]),MONTH(Orders[[#This Row],[Order Date]]),1)</f>
        <v>46204</v>
      </c>
      <c r="W714" s="5">
        <f>IF(Orders[[#This Row],[Order Status]]="Cancelled",Orders[[#This Row],[Net Sales]],0)</f>
        <v>0</v>
      </c>
    </row>
    <row r="715" spans="1:23" x14ac:dyDescent="0.3">
      <c r="A715" t="s">
        <v>1333</v>
      </c>
      <c r="B715" s="7">
        <v>46059</v>
      </c>
      <c r="C715" t="s">
        <v>193</v>
      </c>
      <c r="D715" t="s">
        <v>682</v>
      </c>
      <c r="E715" t="s">
        <v>79</v>
      </c>
      <c r="F715" t="s">
        <v>80</v>
      </c>
      <c r="G715" t="s">
        <v>57</v>
      </c>
      <c r="H715" t="s">
        <v>58</v>
      </c>
      <c r="I715">
        <v>2</v>
      </c>
      <c r="J715" s="5">
        <v>499</v>
      </c>
      <c r="K715" s="2">
        <v>0.1</v>
      </c>
      <c r="L715" t="s">
        <v>46</v>
      </c>
      <c r="M715" t="s">
        <v>59</v>
      </c>
      <c r="N715" s="1">
        <v>46062</v>
      </c>
      <c r="O715" s="1">
        <v>46062</v>
      </c>
      <c r="P715" s="5">
        <f>Orders[[#This Row],[Quantity]]*Orders[[#This Row],[Unit Price]]</f>
        <v>998</v>
      </c>
      <c r="Q715" s="5">
        <f>Orders[[#This Row],[Gross Sales]]*Orders[[#This Row],[Discount %]]</f>
        <v>99.800000000000011</v>
      </c>
      <c r="R715" s="5">
        <f>Orders[[#This Row],[Gross Sales]]-Orders[[#This Row],[Discount Amount]]</f>
        <v>898.2</v>
      </c>
      <c r="S715">
        <f>IF(Orders[[#This Row],[Actual Delivery Date]]="","",Orders[[#This Row],[Actual Delivery Date]]-Orders[[#This Row],[Order Date]])</f>
        <v>3</v>
      </c>
      <c r="T715" t="str">
        <f>IF(Orders[[#This Row],[Actual Delivery Date]]="","Pending",IF(Orders[[#This Row],[Actual Delivery Date]]&lt;=Orders[[#This Row],[Expected Delivery Date]],"On Time","Late"))</f>
        <v>On Time</v>
      </c>
      <c r="U715" t="str">
        <f>TEXT(Orders[[#This Row],[Order Date]],"mmm")</f>
        <v>Feb</v>
      </c>
      <c r="V715" s="8">
        <f>DATE(YEAR(Orders[[#This Row],[Order Date]]),MONTH(Orders[[#This Row],[Order Date]]),1)</f>
        <v>46054</v>
      </c>
      <c r="W715" s="5">
        <f>IF(Orders[[#This Row],[Order Status]]="Cancelled",Orders[[#This Row],[Net Sales]],0)</f>
        <v>898.2</v>
      </c>
    </row>
    <row r="716" spans="1:23" x14ac:dyDescent="0.3">
      <c r="A716" t="s">
        <v>1334</v>
      </c>
      <c r="B716" s="7">
        <v>46386</v>
      </c>
      <c r="C716" t="s">
        <v>808</v>
      </c>
      <c r="D716" t="s">
        <v>1331</v>
      </c>
      <c r="E716" t="s">
        <v>27</v>
      </c>
      <c r="F716" t="s">
        <v>51</v>
      </c>
      <c r="G716" t="s">
        <v>81</v>
      </c>
      <c r="H716" t="s">
        <v>30</v>
      </c>
      <c r="I716">
        <v>1</v>
      </c>
      <c r="J716" s="5">
        <v>899</v>
      </c>
      <c r="K716" s="2">
        <v>0.05</v>
      </c>
      <c r="L716" t="s">
        <v>22</v>
      </c>
      <c r="M716" t="s">
        <v>23</v>
      </c>
      <c r="N716" s="1">
        <v>46391</v>
      </c>
      <c r="O716" s="1">
        <v>46389</v>
      </c>
      <c r="P716" s="5">
        <f>Orders[[#This Row],[Quantity]]*Orders[[#This Row],[Unit Price]]</f>
        <v>899</v>
      </c>
      <c r="Q716" s="5">
        <f>Orders[[#This Row],[Gross Sales]]*Orders[[#This Row],[Discount %]]</f>
        <v>44.95</v>
      </c>
      <c r="R716" s="5">
        <f>Orders[[#This Row],[Gross Sales]]-Orders[[#This Row],[Discount Amount]]</f>
        <v>854.05</v>
      </c>
      <c r="S716">
        <f>IF(Orders[[#This Row],[Actual Delivery Date]]="","",Orders[[#This Row],[Actual Delivery Date]]-Orders[[#This Row],[Order Date]])</f>
        <v>3</v>
      </c>
      <c r="T716" t="str">
        <f>IF(Orders[[#This Row],[Actual Delivery Date]]="","Pending",IF(Orders[[#This Row],[Actual Delivery Date]]&lt;=Orders[[#This Row],[Expected Delivery Date]],"On Time","Late"))</f>
        <v>On Time</v>
      </c>
      <c r="U716" t="str">
        <f>TEXT(Orders[[#This Row],[Order Date]],"mmm")</f>
        <v>Dec</v>
      </c>
      <c r="V716" s="8">
        <f>DATE(YEAR(Orders[[#This Row],[Order Date]]),MONTH(Orders[[#This Row],[Order Date]]),1)</f>
        <v>46357</v>
      </c>
      <c r="W716" s="5">
        <f>IF(Orders[[#This Row],[Order Status]]="Cancelled",Orders[[#This Row],[Net Sales]],0)</f>
        <v>0</v>
      </c>
    </row>
    <row r="717" spans="1:23" x14ac:dyDescent="0.3">
      <c r="A717" t="s">
        <v>1335</v>
      </c>
      <c r="B717" s="7">
        <v>46317</v>
      </c>
      <c r="C717" t="s">
        <v>863</v>
      </c>
      <c r="D717" t="s">
        <v>1291</v>
      </c>
      <c r="E717" t="s">
        <v>27</v>
      </c>
      <c r="F717" t="s">
        <v>56</v>
      </c>
      <c r="G717" t="s">
        <v>153</v>
      </c>
      <c r="H717" t="s">
        <v>45</v>
      </c>
      <c r="I717">
        <v>1</v>
      </c>
      <c r="J717" s="5">
        <v>1999</v>
      </c>
      <c r="K717" s="2">
        <v>0.05</v>
      </c>
      <c r="L717" t="s">
        <v>70</v>
      </c>
      <c r="M717" t="s">
        <v>23</v>
      </c>
      <c r="N717" s="1">
        <v>46324</v>
      </c>
      <c r="O717" s="1">
        <v>46318</v>
      </c>
      <c r="P717" s="5">
        <f>Orders[[#This Row],[Quantity]]*Orders[[#This Row],[Unit Price]]</f>
        <v>1999</v>
      </c>
      <c r="Q717" s="5">
        <f>Orders[[#This Row],[Gross Sales]]*Orders[[#This Row],[Discount %]]</f>
        <v>99.95</v>
      </c>
      <c r="R717" s="5">
        <f>Orders[[#This Row],[Gross Sales]]-Orders[[#This Row],[Discount Amount]]</f>
        <v>1899.05</v>
      </c>
      <c r="S717">
        <f>IF(Orders[[#This Row],[Actual Delivery Date]]="","",Orders[[#This Row],[Actual Delivery Date]]-Orders[[#This Row],[Order Date]])</f>
        <v>1</v>
      </c>
      <c r="T717" t="str">
        <f>IF(Orders[[#This Row],[Actual Delivery Date]]="","Pending",IF(Orders[[#This Row],[Actual Delivery Date]]&lt;=Orders[[#This Row],[Expected Delivery Date]],"On Time","Late"))</f>
        <v>On Time</v>
      </c>
      <c r="U717" t="str">
        <f>TEXT(Orders[[#This Row],[Order Date]],"mmm")</f>
        <v>Oct</v>
      </c>
      <c r="V717" s="8">
        <f>DATE(YEAR(Orders[[#This Row],[Order Date]]),MONTH(Orders[[#This Row],[Order Date]]),1)</f>
        <v>46296</v>
      </c>
      <c r="W717" s="5">
        <f>IF(Orders[[#This Row],[Order Status]]="Cancelled",Orders[[#This Row],[Net Sales]],0)</f>
        <v>0</v>
      </c>
    </row>
    <row r="718" spans="1:23" x14ac:dyDescent="0.3">
      <c r="A718" t="s">
        <v>1336</v>
      </c>
      <c r="B718" s="7">
        <v>46286</v>
      </c>
      <c r="C718" t="s">
        <v>1337</v>
      </c>
      <c r="D718" t="s">
        <v>239</v>
      </c>
      <c r="E718" t="s">
        <v>79</v>
      </c>
      <c r="F718" t="s">
        <v>108</v>
      </c>
      <c r="G718" t="s">
        <v>75</v>
      </c>
      <c r="H718" t="s">
        <v>45</v>
      </c>
      <c r="I718">
        <v>2</v>
      </c>
      <c r="J718" s="5">
        <v>799</v>
      </c>
      <c r="K718" s="2">
        <v>0.2</v>
      </c>
      <c r="L718" t="s">
        <v>70</v>
      </c>
      <c r="M718" t="s">
        <v>23</v>
      </c>
      <c r="N718" s="1">
        <v>46293</v>
      </c>
      <c r="O718" s="1">
        <v>46288</v>
      </c>
      <c r="P718" s="5">
        <f>Orders[[#This Row],[Quantity]]*Orders[[#This Row],[Unit Price]]</f>
        <v>1598</v>
      </c>
      <c r="Q718" s="5">
        <f>Orders[[#This Row],[Gross Sales]]*Orders[[#This Row],[Discount %]]</f>
        <v>319.60000000000002</v>
      </c>
      <c r="R718" s="5">
        <f>Orders[[#This Row],[Gross Sales]]-Orders[[#This Row],[Discount Amount]]</f>
        <v>1278.4000000000001</v>
      </c>
      <c r="S718">
        <f>IF(Orders[[#This Row],[Actual Delivery Date]]="","",Orders[[#This Row],[Actual Delivery Date]]-Orders[[#This Row],[Order Date]])</f>
        <v>2</v>
      </c>
      <c r="T718" t="str">
        <f>IF(Orders[[#This Row],[Actual Delivery Date]]="","Pending",IF(Orders[[#This Row],[Actual Delivery Date]]&lt;=Orders[[#This Row],[Expected Delivery Date]],"On Time","Late"))</f>
        <v>On Time</v>
      </c>
      <c r="U718" t="str">
        <f>TEXT(Orders[[#This Row],[Order Date]],"mmm")</f>
        <v>Sep</v>
      </c>
      <c r="V718" s="8">
        <f>DATE(YEAR(Orders[[#This Row],[Order Date]]),MONTH(Orders[[#This Row],[Order Date]]),1)</f>
        <v>46266</v>
      </c>
      <c r="W718" s="5">
        <f>IF(Orders[[#This Row],[Order Status]]="Cancelled",Orders[[#This Row],[Net Sales]],0)</f>
        <v>0</v>
      </c>
    </row>
    <row r="719" spans="1:23" x14ac:dyDescent="0.3">
      <c r="A719" t="s">
        <v>1338</v>
      </c>
      <c r="B719" s="7">
        <v>46375</v>
      </c>
      <c r="C719" t="s">
        <v>175</v>
      </c>
      <c r="D719" t="s">
        <v>73</v>
      </c>
      <c r="E719" t="s">
        <v>27</v>
      </c>
      <c r="F719" t="s">
        <v>74</v>
      </c>
      <c r="G719" t="s">
        <v>118</v>
      </c>
      <c r="H719" t="s">
        <v>58</v>
      </c>
      <c r="I719">
        <v>2</v>
      </c>
      <c r="J719" s="5">
        <v>749</v>
      </c>
      <c r="K719" s="2">
        <v>0.05</v>
      </c>
      <c r="L719" t="s">
        <v>70</v>
      </c>
      <c r="M719" t="s">
        <v>82</v>
      </c>
      <c r="N719" s="1">
        <v>46382</v>
      </c>
      <c r="O719" s="1">
        <v>46383</v>
      </c>
      <c r="P719" s="5">
        <f>Orders[[#This Row],[Quantity]]*Orders[[#This Row],[Unit Price]]</f>
        <v>1498</v>
      </c>
      <c r="Q719" s="5">
        <f>Orders[[#This Row],[Gross Sales]]*Orders[[#This Row],[Discount %]]</f>
        <v>74.900000000000006</v>
      </c>
      <c r="R719" s="5">
        <f>Orders[[#This Row],[Gross Sales]]-Orders[[#This Row],[Discount Amount]]</f>
        <v>1423.1</v>
      </c>
      <c r="S719">
        <f>IF(Orders[[#This Row],[Actual Delivery Date]]="","",Orders[[#This Row],[Actual Delivery Date]]-Orders[[#This Row],[Order Date]])</f>
        <v>8</v>
      </c>
      <c r="T719" t="str">
        <f>IF(Orders[[#This Row],[Actual Delivery Date]]="","Pending",IF(Orders[[#This Row],[Actual Delivery Date]]&lt;=Orders[[#This Row],[Expected Delivery Date]],"On Time","Late"))</f>
        <v>Late</v>
      </c>
      <c r="U719" t="str">
        <f>TEXT(Orders[[#This Row],[Order Date]],"mmm")</f>
        <v>Dec</v>
      </c>
      <c r="V719" s="8">
        <f>DATE(YEAR(Orders[[#This Row],[Order Date]]),MONTH(Orders[[#This Row],[Order Date]]),1)</f>
        <v>46357</v>
      </c>
      <c r="W719" s="5">
        <f>IF(Orders[[#This Row],[Order Status]]="Cancelled",Orders[[#This Row],[Net Sales]],0)</f>
        <v>0</v>
      </c>
    </row>
    <row r="720" spans="1:23" x14ac:dyDescent="0.3">
      <c r="A720" t="s">
        <v>1339</v>
      </c>
      <c r="B720" s="7">
        <v>46084</v>
      </c>
      <c r="C720" t="s">
        <v>1072</v>
      </c>
      <c r="D720" t="s">
        <v>473</v>
      </c>
      <c r="E720" t="s">
        <v>35</v>
      </c>
      <c r="F720" t="s">
        <v>63</v>
      </c>
      <c r="G720" t="s">
        <v>64</v>
      </c>
      <c r="H720" t="s">
        <v>21</v>
      </c>
      <c r="I720">
        <v>1</v>
      </c>
      <c r="J720" s="5">
        <v>699</v>
      </c>
      <c r="K720" s="2">
        <v>0</v>
      </c>
      <c r="L720" t="s">
        <v>70</v>
      </c>
      <c r="M720" t="s">
        <v>59</v>
      </c>
      <c r="N720" s="1">
        <v>46091</v>
      </c>
      <c r="O720" s="1">
        <v>46093</v>
      </c>
      <c r="P720" s="5">
        <f>Orders[[#This Row],[Quantity]]*Orders[[#This Row],[Unit Price]]</f>
        <v>699</v>
      </c>
      <c r="Q720" s="5">
        <f>Orders[[#This Row],[Gross Sales]]*Orders[[#This Row],[Discount %]]</f>
        <v>0</v>
      </c>
      <c r="R720" s="5">
        <f>Orders[[#This Row],[Gross Sales]]-Orders[[#This Row],[Discount Amount]]</f>
        <v>699</v>
      </c>
      <c r="S720">
        <f>IF(Orders[[#This Row],[Actual Delivery Date]]="","",Orders[[#This Row],[Actual Delivery Date]]-Orders[[#This Row],[Order Date]])</f>
        <v>9</v>
      </c>
      <c r="T720" t="str">
        <f>IF(Orders[[#This Row],[Actual Delivery Date]]="","Pending",IF(Orders[[#This Row],[Actual Delivery Date]]&lt;=Orders[[#This Row],[Expected Delivery Date]],"On Time","Late"))</f>
        <v>Late</v>
      </c>
      <c r="U720" t="str">
        <f>TEXT(Orders[[#This Row],[Order Date]],"mmm")</f>
        <v>Mar</v>
      </c>
      <c r="V720" s="8">
        <f>DATE(YEAR(Orders[[#This Row],[Order Date]]),MONTH(Orders[[#This Row],[Order Date]]),1)</f>
        <v>46082</v>
      </c>
      <c r="W720" s="5">
        <f>IF(Orders[[#This Row],[Order Status]]="Cancelled",Orders[[#This Row],[Net Sales]],0)</f>
        <v>699</v>
      </c>
    </row>
    <row r="721" spans="1:23" x14ac:dyDescent="0.3">
      <c r="A721" t="s">
        <v>1340</v>
      </c>
      <c r="B721" s="7">
        <v>46115</v>
      </c>
      <c r="C721" t="s">
        <v>106</v>
      </c>
      <c r="D721" t="s">
        <v>855</v>
      </c>
      <c r="E721" t="s">
        <v>79</v>
      </c>
      <c r="F721" t="s">
        <v>80</v>
      </c>
      <c r="G721" t="s">
        <v>44</v>
      </c>
      <c r="H721" t="s">
        <v>45</v>
      </c>
      <c r="I721">
        <v>1</v>
      </c>
      <c r="J721" s="5">
        <v>1799</v>
      </c>
      <c r="K721" s="2">
        <v>0.15</v>
      </c>
      <c r="L721" t="s">
        <v>46</v>
      </c>
      <c r="M721" t="s">
        <v>47</v>
      </c>
      <c r="N721" s="1">
        <v>46118</v>
      </c>
      <c r="O721" s="1"/>
      <c r="P721" s="5">
        <f>Orders[[#This Row],[Quantity]]*Orders[[#This Row],[Unit Price]]</f>
        <v>1799</v>
      </c>
      <c r="Q721" s="5">
        <f>Orders[[#This Row],[Gross Sales]]*Orders[[#This Row],[Discount %]]</f>
        <v>269.84999999999997</v>
      </c>
      <c r="R721" s="5">
        <f>Orders[[#This Row],[Gross Sales]]-Orders[[#This Row],[Discount Amount]]</f>
        <v>1529.15</v>
      </c>
      <c r="S721" t="str">
        <f>IF(Orders[[#This Row],[Actual Delivery Date]]="","",Orders[[#This Row],[Actual Delivery Date]]-Orders[[#This Row],[Order Date]])</f>
        <v/>
      </c>
      <c r="T721" t="str">
        <f>IF(Orders[[#This Row],[Actual Delivery Date]]="","Pending",IF(Orders[[#This Row],[Actual Delivery Date]]&lt;=Orders[[#This Row],[Expected Delivery Date]],"On Time","Late"))</f>
        <v>Pending</v>
      </c>
      <c r="U721" t="str">
        <f>TEXT(Orders[[#This Row],[Order Date]],"mmm")</f>
        <v>Apr</v>
      </c>
      <c r="V721" s="8">
        <f>DATE(YEAR(Orders[[#This Row],[Order Date]]),MONTH(Orders[[#This Row],[Order Date]]),1)</f>
        <v>46113</v>
      </c>
      <c r="W721" s="5">
        <f>IF(Orders[[#This Row],[Order Status]]="Cancelled",Orders[[#This Row],[Net Sales]],0)</f>
        <v>0</v>
      </c>
    </row>
    <row r="722" spans="1:23" x14ac:dyDescent="0.3">
      <c r="A722" t="s">
        <v>1341</v>
      </c>
      <c r="B722" s="7">
        <v>46224</v>
      </c>
      <c r="C722" t="s">
        <v>971</v>
      </c>
      <c r="D722" t="s">
        <v>239</v>
      </c>
      <c r="E722" t="s">
        <v>18</v>
      </c>
      <c r="F722" t="s">
        <v>95</v>
      </c>
      <c r="G722" t="s">
        <v>147</v>
      </c>
      <c r="H722" t="s">
        <v>58</v>
      </c>
      <c r="I722">
        <v>2</v>
      </c>
      <c r="J722" s="5">
        <v>399</v>
      </c>
      <c r="K722" s="2">
        <v>0.2</v>
      </c>
      <c r="L722" t="s">
        <v>22</v>
      </c>
      <c r="M722" t="s">
        <v>23</v>
      </c>
      <c r="N722" s="1">
        <v>46226</v>
      </c>
      <c r="O722" s="1">
        <v>46225</v>
      </c>
      <c r="P722" s="5">
        <f>Orders[[#This Row],[Quantity]]*Orders[[#This Row],[Unit Price]]</f>
        <v>798</v>
      </c>
      <c r="Q722" s="5">
        <f>Orders[[#This Row],[Gross Sales]]*Orders[[#This Row],[Discount %]]</f>
        <v>159.60000000000002</v>
      </c>
      <c r="R722" s="5">
        <f>Orders[[#This Row],[Gross Sales]]-Orders[[#This Row],[Discount Amount]]</f>
        <v>638.4</v>
      </c>
      <c r="S722">
        <f>IF(Orders[[#This Row],[Actual Delivery Date]]="","",Orders[[#This Row],[Actual Delivery Date]]-Orders[[#This Row],[Order Date]])</f>
        <v>1</v>
      </c>
      <c r="T722" t="str">
        <f>IF(Orders[[#This Row],[Actual Delivery Date]]="","Pending",IF(Orders[[#This Row],[Actual Delivery Date]]&lt;=Orders[[#This Row],[Expected Delivery Date]],"On Time","Late"))</f>
        <v>On Time</v>
      </c>
      <c r="U722" t="str">
        <f>TEXT(Orders[[#This Row],[Order Date]],"mmm")</f>
        <v>Jul</v>
      </c>
      <c r="V722" s="8">
        <f>DATE(YEAR(Orders[[#This Row],[Order Date]]),MONTH(Orders[[#This Row],[Order Date]]),1)</f>
        <v>46204</v>
      </c>
      <c r="W722" s="5">
        <f>IF(Orders[[#This Row],[Order Status]]="Cancelled",Orders[[#This Row],[Net Sales]],0)</f>
        <v>0</v>
      </c>
    </row>
    <row r="723" spans="1:23" x14ac:dyDescent="0.3">
      <c r="A723" t="s">
        <v>1342</v>
      </c>
      <c r="B723" s="7">
        <v>46251</v>
      </c>
      <c r="C723" t="s">
        <v>1343</v>
      </c>
      <c r="D723" t="s">
        <v>330</v>
      </c>
      <c r="E723" t="s">
        <v>27</v>
      </c>
      <c r="F723" t="s">
        <v>56</v>
      </c>
      <c r="G723" t="s">
        <v>44</v>
      </c>
      <c r="H723" t="s">
        <v>45</v>
      </c>
      <c r="I723">
        <v>3</v>
      </c>
      <c r="J723" s="5">
        <v>1799</v>
      </c>
      <c r="K723" s="2">
        <v>0</v>
      </c>
      <c r="L723" t="s">
        <v>39</v>
      </c>
      <c r="M723" t="s">
        <v>23</v>
      </c>
      <c r="N723" s="1">
        <v>46257</v>
      </c>
      <c r="O723" s="1">
        <v>46253</v>
      </c>
      <c r="P723" s="5">
        <f>Orders[[#This Row],[Quantity]]*Orders[[#This Row],[Unit Price]]</f>
        <v>5397</v>
      </c>
      <c r="Q723" s="5">
        <f>Orders[[#This Row],[Gross Sales]]*Orders[[#This Row],[Discount %]]</f>
        <v>0</v>
      </c>
      <c r="R723" s="5">
        <f>Orders[[#This Row],[Gross Sales]]-Orders[[#This Row],[Discount Amount]]</f>
        <v>5397</v>
      </c>
      <c r="S723">
        <f>IF(Orders[[#This Row],[Actual Delivery Date]]="","",Orders[[#This Row],[Actual Delivery Date]]-Orders[[#This Row],[Order Date]])</f>
        <v>2</v>
      </c>
      <c r="T723" t="str">
        <f>IF(Orders[[#This Row],[Actual Delivery Date]]="","Pending",IF(Orders[[#This Row],[Actual Delivery Date]]&lt;=Orders[[#This Row],[Expected Delivery Date]],"On Time","Late"))</f>
        <v>On Time</v>
      </c>
      <c r="U723" t="str">
        <f>TEXT(Orders[[#This Row],[Order Date]],"mmm")</f>
        <v>Aug</v>
      </c>
      <c r="V723" s="8">
        <f>DATE(YEAR(Orders[[#This Row],[Order Date]]),MONTH(Orders[[#This Row],[Order Date]]),1)</f>
        <v>46235</v>
      </c>
      <c r="W723" s="5">
        <f>IF(Orders[[#This Row],[Order Status]]="Cancelled",Orders[[#This Row],[Net Sales]],0)</f>
        <v>0</v>
      </c>
    </row>
    <row r="724" spans="1:23" x14ac:dyDescent="0.3">
      <c r="A724" t="s">
        <v>1344</v>
      </c>
      <c r="B724" s="7">
        <v>46282</v>
      </c>
      <c r="C724" t="s">
        <v>1043</v>
      </c>
      <c r="D724" t="s">
        <v>453</v>
      </c>
      <c r="E724" t="s">
        <v>35</v>
      </c>
      <c r="F724" t="s">
        <v>135</v>
      </c>
      <c r="G724" t="s">
        <v>75</v>
      </c>
      <c r="H724" t="s">
        <v>45</v>
      </c>
      <c r="I724">
        <v>1</v>
      </c>
      <c r="J724" s="5">
        <v>799</v>
      </c>
      <c r="K724" s="2">
        <v>0.2</v>
      </c>
      <c r="L724" t="s">
        <v>31</v>
      </c>
      <c r="M724" t="s">
        <v>23</v>
      </c>
      <c r="N724" s="1">
        <v>46289</v>
      </c>
      <c r="O724" s="1">
        <v>46285</v>
      </c>
      <c r="P724" s="5">
        <f>Orders[[#This Row],[Quantity]]*Orders[[#This Row],[Unit Price]]</f>
        <v>799</v>
      </c>
      <c r="Q724" s="5">
        <f>Orders[[#This Row],[Gross Sales]]*Orders[[#This Row],[Discount %]]</f>
        <v>159.80000000000001</v>
      </c>
      <c r="R724" s="5">
        <f>Orders[[#This Row],[Gross Sales]]-Orders[[#This Row],[Discount Amount]]</f>
        <v>639.20000000000005</v>
      </c>
      <c r="S724">
        <f>IF(Orders[[#This Row],[Actual Delivery Date]]="","",Orders[[#This Row],[Actual Delivery Date]]-Orders[[#This Row],[Order Date]])</f>
        <v>3</v>
      </c>
      <c r="T724" t="str">
        <f>IF(Orders[[#This Row],[Actual Delivery Date]]="","Pending",IF(Orders[[#This Row],[Actual Delivery Date]]&lt;=Orders[[#This Row],[Expected Delivery Date]],"On Time","Late"))</f>
        <v>On Time</v>
      </c>
      <c r="U724" t="str">
        <f>TEXT(Orders[[#This Row],[Order Date]],"mmm")</f>
        <v>Sep</v>
      </c>
      <c r="V724" s="8">
        <f>DATE(YEAR(Orders[[#This Row],[Order Date]]),MONTH(Orders[[#This Row],[Order Date]]),1)</f>
        <v>46266</v>
      </c>
      <c r="W724" s="5">
        <f>IF(Orders[[#This Row],[Order Status]]="Cancelled",Orders[[#This Row],[Net Sales]],0)</f>
        <v>0</v>
      </c>
    </row>
    <row r="725" spans="1:23" x14ac:dyDescent="0.3">
      <c r="A725" t="s">
        <v>1345</v>
      </c>
      <c r="B725" s="7">
        <v>46274</v>
      </c>
      <c r="C725" t="s">
        <v>769</v>
      </c>
      <c r="D725" t="s">
        <v>1331</v>
      </c>
      <c r="E725" t="s">
        <v>35</v>
      </c>
      <c r="F725" t="s">
        <v>63</v>
      </c>
      <c r="G725" t="s">
        <v>69</v>
      </c>
      <c r="H725" t="s">
        <v>38</v>
      </c>
      <c r="I725">
        <v>2</v>
      </c>
      <c r="J725" s="5">
        <v>3499</v>
      </c>
      <c r="K725" s="2">
        <v>0.2</v>
      </c>
      <c r="L725" t="s">
        <v>46</v>
      </c>
      <c r="M725" t="s">
        <v>47</v>
      </c>
      <c r="N725" s="1">
        <v>46280</v>
      </c>
      <c r="O725" s="1"/>
      <c r="P725" s="5">
        <f>Orders[[#This Row],[Quantity]]*Orders[[#This Row],[Unit Price]]</f>
        <v>6998</v>
      </c>
      <c r="Q725" s="5">
        <f>Orders[[#This Row],[Gross Sales]]*Orders[[#This Row],[Discount %]]</f>
        <v>1399.6000000000001</v>
      </c>
      <c r="R725" s="5">
        <f>Orders[[#This Row],[Gross Sales]]-Orders[[#This Row],[Discount Amount]]</f>
        <v>5598.4</v>
      </c>
      <c r="S725" t="str">
        <f>IF(Orders[[#This Row],[Actual Delivery Date]]="","",Orders[[#This Row],[Actual Delivery Date]]-Orders[[#This Row],[Order Date]])</f>
        <v/>
      </c>
      <c r="T725" t="str">
        <f>IF(Orders[[#This Row],[Actual Delivery Date]]="","Pending",IF(Orders[[#This Row],[Actual Delivery Date]]&lt;=Orders[[#This Row],[Expected Delivery Date]],"On Time","Late"))</f>
        <v>Pending</v>
      </c>
      <c r="U725" t="str">
        <f>TEXT(Orders[[#This Row],[Order Date]],"mmm")</f>
        <v>Sep</v>
      </c>
      <c r="V725" s="8">
        <f>DATE(YEAR(Orders[[#This Row],[Order Date]]),MONTH(Orders[[#This Row],[Order Date]]),1)</f>
        <v>46266</v>
      </c>
      <c r="W725" s="5">
        <f>IF(Orders[[#This Row],[Order Status]]="Cancelled",Orders[[#This Row],[Net Sales]],0)</f>
        <v>0</v>
      </c>
    </row>
    <row r="726" spans="1:23" x14ac:dyDescent="0.3">
      <c r="A726" t="s">
        <v>1346</v>
      </c>
      <c r="B726" s="7">
        <v>46119</v>
      </c>
      <c r="C726" t="s">
        <v>1347</v>
      </c>
      <c r="D726" t="s">
        <v>588</v>
      </c>
      <c r="E726" t="s">
        <v>18</v>
      </c>
      <c r="F726" t="s">
        <v>19</v>
      </c>
      <c r="G726" t="s">
        <v>104</v>
      </c>
      <c r="H726" t="s">
        <v>38</v>
      </c>
      <c r="I726">
        <v>1</v>
      </c>
      <c r="J726" s="5">
        <v>999</v>
      </c>
      <c r="K726" s="2">
        <v>0.05</v>
      </c>
      <c r="L726" t="s">
        <v>31</v>
      </c>
      <c r="M726" t="s">
        <v>47</v>
      </c>
      <c r="N726" s="1">
        <v>46125</v>
      </c>
      <c r="O726" s="1"/>
      <c r="P726" s="5">
        <f>Orders[[#This Row],[Quantity]]*Orders[[#This Row],[Unit Price]]</f>
        <v>999</v>
      </c>
      <c r="Q726" s="5">
        <f>Orders[[#This Row],[Gross Sales]]*Orders[[#This Row],[Discount %]]</f>
        <v>49.95</v>
      </c>
      <c r="R726" s="5">
        <f>Orders[[#This Row],[Gross Sales]]-Orders[[#This Row],[Discount Amount]]</f>
        <v>949.05</v>
      </c>
      <c r="S726" t="str">
        <f>IF(Orders[[#This Row],[Actual Delivery Date]]="","",Orders[[#This Row],[Actual Delivery Date]]-Orders[[#This Row],[Order Date]])</f>
        <v/>
      </c>
      <c r="T726" t="str">
        <f>IF(Orders[[#This Row],[Actual Delivery Date]]="","Pending",IF(Orders[[#This Row],[Actual Delivery Date]]&lt;=Orders[[#This Row],[Expected Delivery Date]],"On Time","Late"))</f>
        <v>Pending</v>
      </c>
      <c r="U726" t="str">
        <f>TEXT(Orders[[#This Row],[Order Date]],"mmm")</f>
        <v>Apr</v>
      </c>
      <c r="V726" s="8">
        <f>DATE(YEAR(Orders[[#This Row],[Order Date]]),MONTH(Orders[[#This Row],[Order Date]]),1)</f>
        <v>46113</v>
      </c>
      <c r="W726" s="5">
        <f>IF(Orders[[#This Row],[Order Status]]="Cancelled",Orders[[#This Row],[Net Sales]],0)</f>
        <v>0</v>
      </c>
    </row>
    <row r="727" spans="1:23" x14ac:dyDescent="0.3">
      <c r="A727" t="s">
        <v>1348</v>
      </c>
      <c r="B727" s="7">
        <v>46061</v>
      </c>
      <c r="C727" t="s">
        <v>327</v>
      </c>
      <c r="D727" t="s">
        <v>246</v>
      </c>
      <c r="E727" t="s">
        <v>35</v>
      </c>
      <c r="F727" t="s">
        <v>68</v>
      </c>
      <c r="G727" t="s">
        <v>100</v>
      </c>
      <c r="H727" t="s">
        <v>30</v>
      </c>
      <c r="I727">
        <v>2</v>
      </c>
      <c r="J727" s="5">
        <v>2499</v>
      </c>
      <c r="K727" s="2">
        <v>0.1</v>
      </c>
      <c r="L727" t="s">
        <v>70</v>
      </c>
      <c r="M727" t="s">
        <v>59</v>
      </c>
      <c r="N727" s="1">
        <v>46064</v>
      </c>
      <c r="O727" s="1">
        <v>46062</v>
      </c>
      <c r="P727" s="5">
        <f>Orders[[#This Row],[Quantity]]*Orders[[#This Row],[Unit Price]]</f>
        <v>4998</v>
      </c>
      <c r="Q727" s="5">
        <f>Orders[[#This Row],[Gross Sales]]*Orders[[#This Row],[Discount %]]</f>
        <v>499.8</v>
      </c>
      <c r="R727" s="5">
        <f>Orders[[#This Row],[Gross Sales]]-Orders[[#This Row],[Discount Amount]]</f>
        <v>4498.2</v>
      </c>
      <c r="S727">
        <f>IF(Orders[[#This Row],[Actual Delivery Date]]="","",Orders[[#This Row],[Actual Delivery Date]]-Orders[[#This Row],[Order Date]])</f>
        <v>1</v>
      </c>
      <c r="T727" t="str">
        <f>IF(Orders[[#This Row],[Actual Delivery Date]]="","Pending",IF(Orders[[#This Row],[Actual Delivery Date]]&lt;=Orders[[#This Row],[Expected Delivery Date]],"On Time","Late"))</f>
        <v>On Time</v>
      </c>
      <c r="U727" t="str">
        <f>TEXT(Orders[[#This Row],[Order Date]],"mmm")</f>
        <v>Feb</v>
      </c>
      <c r="V727" s="8">
        <f>DATE(YEAR(Orders[[#This Row],[Order Date]]),MONTH(Orders[[#This Row],[Order Date]]),1)</f>
        <v>46054</v>
      </c>
      <c r="W727" s="5">
        <f>IF(Orders[[#This Row],[Order Status]]="Cancelled",Orders[[#This Row],[Net Sales]],0)</f>
        <v>4498.2</v>
      </c>
    </row>
    <row r="728" spans="1:23" x14ac:dyDescent="0.3">
      <c r="A728" t="s">
        <v>1349</v>
      </c>
      <c r="B728" s="7">
        <v>46347</v>
      </c>
      <c r="C728" t="s">
        <v>769</v>
      </c>
      <c r="D728" t="s">
        <v>702</v>
      </c>
      <c r="E728" t="s">
        <v>27</v>
      </c>
      <c r="F728" t="s">
        <v>56</v>
      </c>
      <c r="G728" t="s">
        <v>153</v>
      </c>
      <c r="H728" t="s">
        <v>45</v>
      </c>
      <c r="I728">
        <v>2</v>
      </c>
      <c r="J728" s="5">
        <v>1999</v>
      </c>
      <c r="K728" s="2">
        <v>0.05</v>
      </c>
      <c r="L728" t="s">
        <v>46</v>
      </c>
      <c r="M728" t="s">
        <v>47</v>
      </c>
      <c r="N728" s="1">
        <v>46354</v>
      </c>
      <c r="O728" s="1"/>
      <c r="P728" s="5">
        <f>Orders[[#This Row],[Quantity]]*Orders[[#This Row],[Unit Price]]</f>
        <v>3998</v>
      </c>
      <c r="Q728" s="5">
        <f>Orders[[#This Row],[Gross Sales]]*Orders[[#This Row],[Discount %]]</f>
        <v>199.9</v>
      </c>
      <c r="R728" s="5">
        <f>Orders[[#This Row],[Gross Sales]]-Orders[[#This Row],[Discount Amount]]</f>
        <v>3798.1</v>
      </c>
      <c r="S728" t="str">
        <f>IF(Orders[[#This Row],[Actual Delivery Date]]="","",Orders[[#This Row],[Actual Delivery Date]]-Orders[[#This Row],[Order Date]])</f>
        <v/>
      </c>
      <c r="T728" t="str">
        <f>IF(Orders[[#This Row],[Actual Delivery Date]]="","Pending",IF(Orders[[#This Row],[Actual Delivery Date]]&lt;=Orders[[#This Row],[Expected Delivery Date]],"On Time","Late"))</f>
        <v>Pending</v>
      </c>
      <c r="U728" t="str">
        <f>TEXT(Orders[[#This Row],[Order Date]],"mmm")</f>
        <v>Nov</v>
      </c>
      <c r="V728" s="8">
        <f>DATE(YEAR(Orders[[#This Row],[Order Date]]),MONTH(Orders[[#This Row],[Order Date]]),1)</f>
        <v>46327</v>
      </c>
      <c r="W728" s="5">
        <f>IF(Orders[[#This Row],[Order Status]]="Cancelled",Orders[[#This Row],[Net Sales]],0)</f>
        <v>0</v>
      </c>
    </row>
    <row r="729" spans="1:23" x14ac:dyDescent="0.3">
      <c r="A729" t="s">
        <v>1350</v>
      </c>
      <c r="B729" s="7">
        <v>46217</v>
      </c>
      <c r="C729" t="s">
        <v>1351</v>
      </c>
      <c r="D729" t="s">
        <v>641</v>
      </c>
      <c r="E729" t="s">
        <v>79</v>
      </c>
      <c r="F729" t="s">
        <v>108</v>
      </c>
      <c r="G729" t="s">
        <v>218</v>
      </c>
      <c r="H729" t="s">
        <v>21</v>
      </c>
      <c r="I729">
        <v>1</v>
      </c>
      <c r="J729" s="5">
        <v>2999</v>
      </c>
      <c r="K729" s="2">
        <v>0.2</v>
      </c>
      <c r="L729" t="s">
        <v>31</v>
      </c>
      <c r="M729" t="s">
        <v>23</v>
      </c>
      <c r="N729" s="1">
        <v>46221</v>
      </c>
      <c r="O729" s="1">
        <v>46218</v>
      </c>
      <c r="P729" s="5">
        <f>Orders[[#This Row],[Quantity]]*Orders[[#This Row],[Unit Price]]</f>
        <v>2999</v>
      </c>
      <c r="Q729" s="5">
        <f>Orders[[#This Row],[Gross Sales]]*Orders[[#This Row],[Discount %]]</f>
        <v>599.80000000000007</v>
      </c>
      <c r="R729" s="5">
        <f>Orders[[#This Row],[Gross Sales]]-Orders[[#This Row],[Discount Amount]]</f>
        <v>2399.1999999999998</v>
      </c>
      <c r="S729">
        <f>IF(Orders[[#This Row],[Actual Delivery Date]]="","",Orders[[#This Row],[Actual Delivery Date]]-Orders[[#This Row],[Order Date]])</f>
        <v>1</v>
      </c>
      <c r="T729" t="str">
        <f>IF(Orders[[#This Row],[Actual Delivery Date]]="","Pending",IF(Orders[[#This Row],[Actual Delivery Date]]&lt;=Orders[[#This Row],[Expected Delivery Date]],"On Time","Late"))</f>
        <v>On Time</v>
      </c>
      <c r="U729" t="str">
        <f>TEXT(Orders[[#This Row],[Order Date]],"mmm")</f>
        <v>Jul</v>
      </c>
      <c r="V729" s="8">
        <f>DATE(YEAR(Orders[[#This Row],[Order Date]]),MONTH(Orders[[#This Row],[Order Date]]),1)</f>
        <v>46204</v>
      </c>
      <c r="W729" s="5">
        <f>IF(Orders[[#This Row],[Order Status]]="Cancelled",Orders[[#This Row],[Net Sales]],0)</f>
        <v>0</v>
      </c>
    </row>
    <row r="730" spans="1:23" x14ac:dyDescent="0.3">
      <c r="A730" t="s">
        <v>1352</v>
      </c>
      <c r="B730" s="7">
        <v>46193</v>
      </c>
      <c r="C730" t="s">
        <v>1205</v>
      </c>
      <c r="D730" t="s">
        <v>781</v>
      </c>
      <c r="E730" t="s">
        <v>18</v>
      </c>
      <c r="F730" t="s">
        <v>121</v>
      </c>
      <c r="G730" t="s">
        <v>153</v>
      </c>
      <c r="H730" t="s">
        <v>45</v>
      </c>
      <c r="I730">
        <v>3</v>
      </c>
      <c r="J730" s="5">
        <v>1999</v>
      </c>
      <c r="K730" s="2">
        <v>0.05</v>
      </c>
      <c r="L730" t="s">
        <v>31</v>
      </c>
      <c r="M730" t="s">
        <v>23</v>
      </c>
      <c r="N730" s="1">
        <v>46195</v>
      </c>
      <c r="O730" s="1">
        <v>46194</v>
      </c>
      <c r="P730" s="5">
        <f>Orders[[#This Row],[Quantity]]*Orders[[#This Row],[Unit Price]]</f>
        <v>5997</v>
      </c>
      <c r="Q730" s="5">
        <f>Orders[[#This Row],[Gross Sales]]*Orders[[#This Row],[Discount %]]</f>
        <v>299.85000000000002</v>
      </c>
      <c r="R730" s="5">
        <f>Orders[[#This Row],[Gross Sales]]-Orders[[#This Row],[Discount Amount]]</f>
        <v>5697.15</v>
      </c>
      <c r="S730">
        <f>IF(Orders[[#This Row],[Actual Delivery Date]]="","",Orders[[#This Row],[Actual Delivery Date]]-Orders[[#This Row],[Order Date]])</f>
        <v>1</v>
      </c>
      <c r="T730" t="str">
        <f>IF(Orders[[#This Row],[Actual Delivery Date]]="","Pending",IF(Orders[[#This Row],[Actual Delivery Date]]&lt;=Orders[[#This Row],[Expected Delivery Date]],"On Time","Late"))</f>
        <v>On Time</v>
      </c>
      <c r="U730" t="str">
        <f>TEXT(Orders[[#This Row],[Order Date]],"mmm")</f>
        <v>Jun</v>
      </c>
      <c r="V730" s="8">
        <f>DATE(YEAR(Orders[[#This Row],[Order Date]]),MONTH(Orders[[#This Row],[Order Date]]),1)</f>
        <v>46174</v>
      </c>
      <c r="W730" s="5">
        <f>IF(Orders[[#This Row],[Order Status]]="Cancelled",Orders[[#This Row],[Net Sales]],0)</f>
        <v>0</v>
      </c>
    </row>
    <row r="731" spans="1:23" x14ac:dyDescent="0.3">
      <c r="A731" t="s">
        <v>1353</v>
      </c>
      <c r="B731" s="7">
        <v>46324</v>
      </c>
      <c r="C731" t="s">
        <v>686</v>
      </c>
      <c r="D731" t="s">
        <v>231</v>
      </c>
      <c r="E731" t="s">
        <v>18</v>
      </c>
      <c r="F731" t="s">
        <v>95</v>
      </c>
      <c r="G731" t="s">
        <v>91</v>
      </c>
      <c r="H731" t="s">
        <v>30</v>
      </c>
      <c r="I731">
        <v>3</v>
      </c>
      <c r="J731" s="5">
        <v>3299</v>
      </c>
      <c r="K731" s="2">
        <v>0.15</v>
      </c>
      <c r="L731" t="s">
        <v>39</v>
      </c>
      <c r="M731" t="s">
        <v>47</v>
      </c>
      <c r="N731" s="1">
        <v>46328</v>
      </c>
      <c r="O731" s="1"/>
      <c r="P731" s="5">
        <f>Orders[[#This Row],[Quantity]]*Orders[[#This Row],[Unit Price]]</f>
        <v>9897</v>
      </c>
      <c r="Q731" s="5">
        <f>Orders[[#This Row],[Gross Sales]]*Orders[[#This Row],[Discount %]]</f>
        <v>1484.55</v>
      </c>
      <c r="R731" s="5">
        <f>Orders[[#This Row],[Gross Sales]]-Orders[[#This Row],[Discount Amount]]</f>
        <v>8412.4500000000007</v>
      </c>
      <c r="S731" t="str">
        <f>IF(Orders[[#This Row],[Actual Delivery Date]]="","",Orders[[#This Row],[Actual Delivery Date]]-Orders[[#This Row],[Order Date]])</f>
        <v/>
      </c>
      <c r="T731" t="str">
        <f>IF(Orders[[#This Row],[Actual Delivery Date]]="","Pending",IF(Orders[[#This Row],[Actual Delivery Date]]&lt;=Orders[[#This Row],[Expected Delivery Date]],"On Time","Late"))</f>
        <v>Pending</v>
      </c>
      <c r="U731" t="str">
        <f>TEXT(Orders[[#This Row],[Order Date]],"mmm")</f>
        <v>Oct</v>
      </c>
      <c r="V731" s="8">
        <f>DATE(YEAR(Orders[[#This Row],[Order Date]]),MONTH(Orders[[#This Row],[Order Date]]),1)</f>
        <v>46296</v>
      </c>
      <c r="W731" s="5">
        <f>IF(Orders[[#This Row],[Order Status]]="Cancelled",Orders[[#This Row],[Net Sales]],0)</f>
        <v>0</v>
      </c>
    </row>
    <row r="732" spans="1:23" x14ac:dyDescent="0.3">
      <c r="A732" t="s">
        <v>1354</v>
      </c>
      <c r="B732" s="7">
        <v>46185</v>
      </c>
      <c r="C732" t="s">
        <v>999</v>
      </c>
      <c r="D732" t="s">
        <v>1083</v>
      </c>
      <c r="E732" t="s">
        <v>35</v>
      </c>
      <c r="F732" t="s">
        <v>135</v>
      </c>
      <c r="G732" t="s">
        <v>52</v>
      </c>
      <c r="H732" t="s">
        <v>45</v>
      </c>
      <c r="I732">
        <v>4</v>
      </c>
      <c r="J732" s="5">
        <v>1299</v>
      </c>
      <c r="K732" s="2">
        <v>0.15</v>
      </c>
      <c r="L732" t="s">
        <v>31</v>
      </c>
      <c r="M732" t="s">
        <v>23</v>
      </c>
      <c r="N732" s="1">
        <v>46192</v>
      </c>
      <c r="O732" s="1">
        <v>46192</v>
      </c>
      <c r="P732" s="5">
        <f>Orders[[#This Row],[Quantity]]*Orders[[#This Row],[Unit Price]]</f>
        <v>5196</v>
      </c>
      <c r="Q732" s="5">
        <f>Orders[[#This Row],[Gross Sales]]*Orders[[#This Row],[Discount %]]</f>
        <v>779.4</v>
      </c>
      <c r="R732" s="5">
        <f>Orders[[#This Row],[Gross Sales]]-Orders[[#This Row],[Discount Amount]]</f>
        <v>4416.6000000000004</v>
      </c>
      <c r="S732">
        <f>IF(Orders[[#This Row],[Actual Delivery Date]]="","",Orders[[#This Row],[Actual Delivery Date]]-Orders[[#This Row],[Order Date]])</f>
        <v>7</v>
      </c>
      <c r="T732" t="str">
        <f>IF(Orders[[#This Row],[Actual Delivery Date]]="","Pending",IF(Orders[[#This Row],[Actual Delivery Date]]&lt;=Orders[[#This Row],[Expected Delivery Date]],"On Time","Late"))</f>
        <v>On Time</v>
      </c>
      <c r="U732" t="str">
        <f>TEXT(Orders[[#This Row],[Order Date]],"mmm")</f>
        <v>Jun</v>
      </c>
      <c r="V732" s="8">
        <f>DATE(YEAR(Orders[[#This Row],[Order Date]]),MONTH(Orders[[#This Row],[Order Date]]),1)</f>
        <v>46174</v>
      </c>
      <c r="W732" s="5">
        <f>IF(Orders[[#This Row],[Order Status]]="Cancelled",Orders[[#This Row],[Net Sales]],0)</f>
        <v>0</v>
      </c>
    </row>
    <row r="733" spans="1:23" x14ac:dyDescent="0.3">
      <c r="A733" t="s">
        <v>1355</v>
      </c>
      <c r="B733" s="7">
        <v>46155</v>
      </c>
      <c r="C733" t="s">
        <v>270</v>
      </c>
      <c r="D733" t="s">
        <v>263</v>
      </c>
      <c r="E733" t="s">
        <v>79</v>
      </c>
      <c r="F733" t="s">
        <v>170</v>
      </c>
      <c r="G733" t="s">
        <v>29</v>
      </c>
      <c r="H733" t="s">
        <v>30</v>
      </c>
      <c r="I733">
        <v>1</v>
      </c>
      <c r="J733" s="5">
        <v>599</v>
      </c>
      <c r="K733" s="2">
        <v>0.2</v>
      </c>
      <c r="L733" t="s">
        <v>31</v>
      </c>
      <c r="M733" t="s">
        <v>59</v>
      </c>
      <c r="N733" s="1">
        <v>46158</v>
      </c>
      <c r="O733" s="1">
        <v>46158</v>
      </c>
      <c r="P733" s="5">
        <f>Orders[[#This Row],[Quantity]]*Orders[[#This Row],[Unit Price]]</f>
        <v>599</v>
      </c>
      <c r="Q733" s="5">
        <f>Orders[[#This Row],[Gross Sales]]*Orders[[#This Row],[Discount %]]</f>
        <v>119.80000000000001</v>
      </c>
      <c r="R733" s="5">
        <f>Orders[[#This Row],[Gross Sales]]-Orders[[#This Row],[Discount Amount]]</f>
        <v>479.2</v>
      </c>
      <c r="S733">
        <f>IF(Orders[[#This Row],[Actual Delivery Date]]="","",Orders[[#This Row],[Actual Delivery Date]]-Orders[[#This Row],[Order Date]])</f>
        <v>3</v>
      </c>
      <c r="T733" t="str">
        <f>IF(Orders[[#This Row],[Actual Delivery Date]]="","Pending",IF(Orders[[#This Row],[Actual Delivery Date]]&lt;=Orders[[#This Row],[Expected Delivery Date]],"On Time","Late"))</f>
        <v>On Time</v>
      </c>
      <c r="U733" t="str">
        <f>TEXT(Orders[[#This Row],[Order Date]],"mmm")</f>
        <v>May</v>
      </c>
      <c r="V733" s="8">
        <f>DATE(YEAR(Orders[[#This Row],[Order Date]]),MONTH(Orders[[#This Row],[Order Date]]),1)</f>
        <v>46143</v>
      </c>
      <c r="W733" s="5">
        <f>IF(Orders[[#This Row],[Order Status]]="Cancelled",Orders[[#This Row],[Net Sales]],0)</f>
        <v>479.2</v>
      </c>
    </row>
    <row r="734" spans="1:23" x14ac:dyDescent="0.3">
      <c r="A734" t="s">
        <v>1356</v>
      </c>
      <c r="B734" s="7">
        <v>46384</v>
      </c>
      <c r="C734" t="s">
        <v>798</v>
      </c>
      <c r="D734" t="s">
        <v>1206</v>
      </c>
      <c r="E734" t="s">
        <v>35</v>
      </c>
      <c r="F734" t="s">
        <v>68</v>
      </c>
      <c r="G734" t="s">
        <v>100</v>
      </c>
      <c r="H734" t="s">
        <v>30</v>
      </c>
      <c r="I734">
        <v>2</v>
      </c>
      <c r="J734" s="5">
        <v>2499</v>
      </c>
      <c r="K734" s="2">
        <v>0.15</v>
      </c>
      <c r="L734" t="s">
        <v>46</v>
      </c>
      <c r="M734" t="s">
        <v>82</v>
      </c>
      <c r="N734" s="1">
        <v>46389</v>
      </c>
      <c r="O734" s="1">
        <v>46387</v>
      </c>
      <c r="P734" s="5">
        <f>Orders[[#This Row],[Quantity]]*Orders[[#This Row],[Unit Price]]</f>
        <v>4998</v>
      </c>
      <c r="Q734" s="5">
        <f>Orders[[#This Row],[Gross Sales]]*Orders[[#This Row],[Discount %]]</f>
        <v>749.69999999999993</v>
      </c>
      <c r="R734" s="5">
        <f>Orders[[#This Row],[Gross Sales]]-Orders[[#This Row],[Discount Amount]]</f>
        <v>4248.3</v>
      </c>
      <c r="S734">
        <f>IF(Orders[[#This Row],[Actual Delivery Date]]="","",Orders[[#This Row],[Actual Delivery Date]]-Orders[[#This Row],[Order Date]])</f>
        <v>3</v>
      </c>
      <c r="T734" t="str">
        <f>IF(Orders[[#This Row],[Actual Delivery Date]]="","Pending",IF(Orders[[#This Row],[Actual Delivery Date]]&lt;=Orders[[#This Row],[Expected Delivery Date]],"On Time","Late"))</f>
        <v>On Time</v>
      </c>
      <c r="U734" t="str">
        <f>TEXT(Orders[[#This Row],[Order Date]],"mmm")</f>
        <v>Dec</v>
      </c>
      <c r="V734" s="8">
        <f>DATE(YEAR(Orders[[#This Row],[Order Date]]),MONTH(Orders[[#This Row],[Order Date]]),1)</f>
        <v>46357</v>
      </c>
      <c r="W734" s="5">
        <f>IF(Orders[[#This Row],[Order Status]]="Cancelled",Orders[[#This Row],[Net Sales]],0)</f>
        <v>0</v>
      </c>
    </row>
    <row r="735" spans="1:23" x14ac:dyDescent="0.3">
      <c r="A735" t="s">
        <v>1357</v>
      </c>
      <c r="B735" s="7">
        <v>46231</v>
      </c>
      <c r="C735" t="s">
        <v>1118</v>
      </c>
      <c r="D735" t="s">
        <v>841</v>
      </c>
      <c r="E735" t="s">
        <v>27</v>
      </c>
      <c r="F735" t="s">
        <v>51</v>
      </c>
      <c r="G735" t="s">
        <v>153</v>
      </c>
      <c r="H735" t="s">
        <v>45</v>
      </c>
      <c r="I735">
        <v>3</v>
      </c>
      <c r="J735" s="5">
        <v>1999</v>
      </c>
      <c r="K735" s="2">
        <v>0</v>
      </c>
      <c r="L735" t="s">
        <v>39</v>
      </c>
      <c r="M735" t="s">
        <v>23</v>
      </c>
      <c r="N735" s="1">
        <v>46238</v>
      </c>
      <c r="O735" s="1">
        <v>46232</v>
      </c>
      <c r="P735" s="5">
        <f>Orders[[#This Row],[Quantity]]*Orders[[#This Row],[Unit Price]]</f>
        <v>5997</v>
      </c>
      <c r="Q735" s="5">
        <f>Orders[[#This Row],[Gross Sales]]*Orders[[#This Row],[Discount %]]</f>
        <v>0</v>
      </c>
      <c r="R735" s="5">
        <f>Orders[[#This Row],[Gross Sales]]-Orders[[#This Row],[Discount Amount]]</f>
        <v>5997</v>
      </c>
      <c r="S735">
        <f>IF(Orders[[#This Row],[Actual Delivery Date]]="","",Orders[[#This Row],[Actual Delivery Date]]-Orders[[#This Row],[Order Date]])</f>
        <v>1</v>
      </c>
      <c r="T735" t="str">
        <f>IF(Orders[[#This Row],[Actual Delivery Date]]="","Pending",IF(Orders[[#This Row],[Actual Delivery Date]]&lt;=Orders[[#This Row],[Expected Delivery Date]],"On Time","Late"))</f>
        <v>On Time</v>
      </c>
      <c r="U735" t="str">
        <f>TEXT(Orders[[#This Row],[Order Date]],"mmm")</f>
        <v>Jul</v>
      </c>
      <c r="V735" s="8">
        <f>DATE(YEAR(Orders[[#This Row],[Order Date]]),MONTH(Orders[[#This Row],[Order Date]]),1)</f>
        <v>46204</v>
      </c>
      <c r="W735" s="5">
        <f>IF(Orders[[#This Row],[Order Status]]="Cancelled",Orders[[#This Row],[Net Sales]],0)</f>
        <v>0</v>
      </c>
    </row>
    <row r="736" spans="1:23" x14ac:dyDescent="0.3">
      <c r="A736" t="s">
        <v>1358</v>
      </c>
      <c r="B736" s="7">
        <v>46275</v>
      </c>
      <c r="C736" t="s">
        <v>506</v>
      </c>
      <c r="D736" t="s">
        <v>438</v>
      </c>
      <c r="E736" t="s">
        <v>18</v>
      </c>
      <c r="F736" t="s">
        <v>19</v>
      </c>
      <c r="G736" t="s">
        <v>87</v>
      </c>
      <c r="H736" t="s">
        <v>21</v>
      </c>
      <c r="I736">
        <v>3</v>
      </c>
      <c r="J736" s="5">
        <v>1899</v>
      </c>
      <c r="K736" s="2">
        <v>0</v>
      </c>
      <c r="L736" t="s">
        <v>70</v>
      </c>
      <c r="M736" t="s">
        <v>59</v>
      </c>
      <c r="N736" s="1">
        <v>46281</v>
      </c>
      <c r="O736" s="1">
        <v>46283</v>
      </c>
      <c r="P736" s="5">
        <f>Orders[[#This Row],[Quantity]]*Orders[[#This Row],[Unit Price]]</f>
        <v>5697</v>
      </c>
      <c r="Q736" s="5">
        <f>Orders[[#This Row],[Gross Sales]]*Orders[[#This Row],[Discount %]]</f>
        <v>0</v>
      </c>
      <c r="R736" s="5">
        <f>Orders[[#This Row],[Gross Sales]]-Orders[[#This Row],[Discount Amount]]</f>
        <v>5697</v>
      </c>
      <c r="S736">
        <f>IF(Orders[[#This Row],[Actual Delivery Date]]="","",Orders[[#This Row],[Actual Delivery Date]]-Orders[[#This Row],[Order Date]])</f>
        <v>8</v>
      </c>
      <c r="T736" t="str">
        <f>IF(Orders[[#This Row],[Actual Delivery Date]]="","Pending",IF(Orders[[#This Row],[Actual Delivery Date]]&lt;=Orders[[#This Row],[Expected Delivery Date]],"On Time","Late"))</f>
        <v>Late</v>
      </c>
      <c r="U736" t="str">
        <f>TEXT(Orders[[#This Row],[Order Date]],"mmm")</f>
        <v>Sep</v>
      </c>
      <c r="V736" s="8">
        <f>DATE(YEAR(Orders[[#This Row],[Order Date]]),MONTH(Orders[[#This Row],[Order Date]]),1)</f>
        <v>46266</v>
      </c>
      <c r="W736" s="5">
        <f>IF(Orders[[#This Row],[Order Status]]="Cancelled",Orders[[#This Row],[Net Sales]],0)</f>
        <v>5697</v>
      </c>
    </row>
    <row r="737" spans="1:23" x14ac:dyDescent="0.3">
      <c r="A737" t="s">
        <v>1359</v>
      </c>
      <c r="B737" s="7">
        <v>46120</v>
      </c>
      <c r="C737" t="s">
        <v>129</v>
      </c>
      <c r="D737" t="s">
        <v>209</v>
      </c>
      <c r="E737" t="s">
        <v>18</v>
      </c>
      <c r="F737" t="s">
        <v>43</v>
      </c>
      <c r="G737" t="s">
        <v>44</v>
      </c>
      <c r="H737" t="s">
        <v>45</v>
      </c>
      <c r="I737">
        <v>4</v>
      </c>
      <c r="J737" s="5">
        <v>1799</v>
      </c>
      <c r="K737" s="2">
        <v>0</v>
      </c>
      <c r="L737" t="s">
        <v>70</v>
      </c>
      <c r="M737" t="s">
        <v>59</v>
      </c>
      <c r="N737" s="1">
        <v>46126</v>
      </c>
      <c r="O737" s="1">
        <v>46122</v>
      </c>
      <c r="P737" s="5">
        <f>Orders[[#This Row],[Quantity]]*Orders[[#This Row],[Unit Price]]</f>
        <v>7196</v>
      </c>
      <c r="Q737" s="5">
        <f>Orders[[#This Row],[Gross Sales]]*Orders[[#This Row],[Discount %]]</f>
        <v>0</v>
      </c>
      <c r="R737" s="5">
        <f>Orders[[#This Row],[Gross Sales]]-Orders[[#This Row],[Discount Amount]]</f>
        <v>7196</v>
      </c>
      <c r="S737">
        <f>IF(Orders[[#This Row],[Actual Delivery Date]]="","",Orders[[#This Row],[Actual Delivery Date]]-Orders[[#This Row],[Order Date]])</f>
        <v>2</v>
      </c>
      <c r="T737" t="str">
        <f>IF(Orders[[#This Row],[Actual Delivery Date]]="","Pending",IF(Orders[[#This Row],[Actual Delivery Date]]&lt;=Orders[[#This Row],[Expected Delivery Date]],"On Time","Late"))</f>
        <v>On Time</v>
      </c>
      <c r="U737" t="str">
        <f>TEXT(Orders[[#This Row],[Order Date]],"mmm")</f>
        <v>Apr</v>
      </c>
      <c r="V737" s="8">
        <f>DATE(YEAR(Orders[[#This Row],[Order Date]]),MONTH(Orders[[#This Row],[Order Date]]),1)</f>
        <v>46113</v>
      </c>
      <c r="W737" s="5">
        <f>IF(Orders[[#This Row],[Order Status]]="Cancelled",Orders[[#This Row],[Net Sales]],0)</f>
        <v>7196</v>
      </c>
    </row>
    <row r="738" spans="1:23" x14ac:dyDescent="0.3">
      <c r="A738" t="s">
        <v>1360</v>
      </c>
      <c r="B738" s="7">
        <v>46112</v>
      </c>
      <c r="C738" t="s">
        <v>435</v>
      </c>
      <c r="D738" t="s">
        <v>85</v>
      </c>
      <c r="E738" t="s">
        <v>79</v>
      </c>
      <c r="F738" t="s">
        <v>108</v>
      </c>
      <c r="G738" t="s">
        <v>29</v>
      </c>
      <c r="H738" t="s">
        <v>30</v>
      </c>
      <c r="I738">
        <v>1</v>
      </c>
      <c r="J738" s="5">
        <v>599</v>
      </c>
      <c r="K738" s="2">
        <v>0.05</v>
      </c>
      <c r="L738" t="s">
        <v>22</v>
      </c>
      <c r="M738" t="s">
        <v>23</v>
      </c>
      <c r="N738" s="1">
        <v>46114</v>
      </c>
      <c r="O738" s="1">
        <v>46114</v>
      </c>
      <c r="P738" s="5">
        <f>Orders[[#This Row],[Quantity]]*Orders[[#This Row],[Unit Price]]</f>
        <v>599</v>
      </c>
      <c r="Q738" s="5">
        <f>Orders[[#This Row],[Gross Sales]]*Orders[[#This Row],[Discount %]]</f>
        <v>29.950000000000003</v>
      </c>
      <c r="R738" s="5">
        <f>Orders[[#This Row],[Gross Sales]]-Orders[[#This Row],[Discount Amount]]</f>
        <v>569.04999999999995</v>
      </c>
      <c r="S738">
        <f>IF(Orders[[#This Row],[Actual Delivery Date]]="","",Orders[[#This Row],[Actual Delivery Date]]-Orders[[#This Row],[Order Date]])</f>
        <v>2</v>
      </c>
      <c r="T738" t="str">
        <f>IF(Orders[[#This Row],[Actual Delivery Date]]="","Pending",IF(Orders[[#This Row],[Actual Delivery Date]]&lt;=Orders[[#This Row],[Expected Delivery Date]],"On Time","Late"))</f>
        <v>On Time</v>
      </c>
      <c r="U738" t="str">
        <f>TEXT(Orders[[#This Row],[Order Date]],"mmm")</f>
        <v>Mar</v>
      </c>
      <c r="V738" s="8">
        <f>DATE(YEAR(Orders[[#This Row],[Order Date]]),MONTH(Orders[[#This Row],[Order Date]]),1)</f>
        <v>46082</v>
      </c>
      <c r="W738" s="5">
        <f>IF(Orders[[#This Row],[Order Status]]="Cancelled",Orders[[#This Row],[Net Sales]],0)</f>
        <v>0</v>
      </c>
    </row>
    <row r="739" spans="1:23" x14ac:dyDescent="0.3">
      <c r="A739" t="s">
        <v>1361</v>
      </c>
      <c r="B739" s="7">
        <v>46083</v>
      </c>
      <c r="C739" t="s">
        <v>248</v>
      </c>
      <c r="D739" t="s">
        <v>677</v>
      </c>
      <c r="E739" t="s">
        <v>18</v>
      </c>
      <c r="F739" t="s">
        <v>121</v>
      </c>
      <c r="G739" t="s">
        <v>69</v>
      </c>
      <c r="H739" t="s">
        <v>38</v>
      </c>
      <c r="I739">
        <v>1</v>
      </c>
      <c r="J739" s="5">
        <v>3499</v>
      </c>
      <c r="K739" s="2">
        <v>0.15</v>
      </c>
      <c r="L739" t="s">
        <v>46</v>
      </c>
      <c r="M739" t="s">
        <v>23</v>
      </c>
      <c r="N739" s="1">
        <v>46086</v>
      </c>
      <c r="O739" s="1">
        <v>46086</v>
      </c>
      <c r="P739" s="5">
        <f>Orders[[#This Row],[Quantity]]*Orders[[#This Row],[Unit Price]]</f>
        <v>3499</v>
      </c>
      <c r="Q739" s="5">
        <f>Orders[[#This Row],[Gross Sales]]*Orders[[#This Row],[Discount %]]</f>
        <v>524.85</v>
      </c>
      <c r="R739" s="5">
        <f>Orders[[#This Row],[Gross Sales]]-Orders[[#This Row],[Discount Amount]]</f>
        <v>2974.15</v>
      </c>
      <c r="S739">
        <f>IF(Orders[[#This Row],[Actual Delivery Date]]="","",Orders[[#This Row],[Actual Delivery Date]]-Orders[[#This Row],[Order Date]])</f>
        <v>3</v>
      </c>
      <c r="T739" t="str">
        <f>IF(Orders[[#This Row],[Actual Delivery Date]]="","Pending",IF(Orders[[#This Row],[Actual Delivery Date]]&lt;=Orders[[#This Row],[Expected Delivery Date]],"On Time","Late"))</f>
        <v>On Time</v>
      </c>
      <c r="U739" t="str">
        <f>TEXT(Orders[[#This Row],[Order Date]],"mmm")</f>
        <v>Mar</v>
      </c>
      <c r="V739" s="8">
        <f>DATE(YEAR(Orders[[#This Row],[Order Date]]),MONTH(Orders[[#This Row],[Order Date]]),1)</f>
        <v>46082</v>
      </c>
      <c r="W739" s="5">
        <f>IF(Orders[[#This Row],[Order Status]]="Cancelled",Orders[[#This Row],[Net Sales]],0)</f>
        <v>0</v>
      </c>
    </row>
    <row r="740" spans="1:23" x14ac:dyDescent="0.3">
      <c r="A740" t="s">
        <v>1362</v>
      </c>
      <c r="B740" s="7">
        <v>46260</v>
      </c>
      <c r="C740" t="s">
        <v>1203</v>
      </c>
      <c r="D740" t="s">
        <v>462</v>
      </c>
      <c r="E740" t="s">
        <v>27</v>
      </c>
      <c r="F740" t="s">
        <v>51</v>
      </c>
      <c r="G740" t="s">
        <v>81</v>
      </c>
      <c r="H740" t="s">
        <v>30</v>
      </c>
      <c r="I740">
        <v>3</v>
      </c>
      <c r="J740" s="5">
        <v>899</v>
      </c>
      <c r="K740" s="2">
        <v>0.15</v>
      </c>
      <c r="L740" t="s">
        <v>39</v>
      </c>
      <c r="M740" t="s">
        <v>23</v>
      </c>
      <c r="N740" s="1">
        <v>46262</v>
      </c>
      <c r="O740" s="1">
        <v>46262</v>
      </c>
      <c r="P740" s="5">
        <f>Orders[[#This Row],[Quantity]]*Orders[[#This Row],[Unit Price]]</f>
        <v>2697</v>
      </c>
      <c r="Q740" s="5">
        <f>Orders[[#This Row],[Gross Sales]]*Orders[[#This Row],[Discount %]]</f>
        <v>404.55</v>
      </c>
      <c r="R740" s="5">
        <f>Orders[[#This Row],[Gross Sales]]-Orders[[#This Row],[Discount Amount]]</f>
        <v>2292.4499999999998</v>
      </c>
      <c r="S740">
        <f>IF(Orders[[#This Row],[Actual Delivery Date]]="","",Orders[[#This Row],[Actual Delivery Date]]-Orders[[#This Row],[Order Date]])</f>
        <v>2</v>
      </c>
      <c r="T740" t="str">
        <f>IF(Orders[[#This Row],[Actual Delivery Date]]="","Pending",IF(Orders[[#This Row],[Actual Delivery Date]]&lt;=Orders[[#This Row],[Expected Delivery Date]],"On Time","Late"))</f>
        <v>On Time</v>
      </c>
      <c r="U740" t="str">
        <f>TEXT(Orders[[#This Row],[Order Date]],"mmm")</f>
        <v>Aug</v>
      </c>
      <c r="V740" s="8">
        <f>DATE(YEAR(Orders[[#This Row],[Order Date]]),MONTH(Orders[[#This Row],[Order Date]]),1)</f>
        <v>46235</v>
      </c>
      <c r="W740" s="5">
        <f>IF(Orders[[#This Row],[Order Status]]="Cancelled",Orders[[#This Row],[Net Sales]],0)</f>
        <v>0</v>
      </c>
    </row>
    <row r="741" spans="1:23" x14ac:dyDescent="0.3">
      <c r="A741" t="s">
        <v>1363</v>
      </c>
      <c r="B741" s="7">
        <v>46228</v>
      </c>
      <c r="C741" t="s">
        <v>84</v>
      </c>
      <c r="D741" t="s">
        <v>603</v>
      </c>
      <c r="E741" t="s">
        <v>18</v>
      </c>
      <c r="F741" t="s">
        <v>19</v>
      </c>
      <c r="G741" t="s">
        <v>20</v>
      </c>
      <c r="H741" t="s">
        <v>21</v>
      </c>
      <c r="I741">
        <v>1</v>
      </c>
      <c r="J741" s="5">
        <v>1799</v>
      </c>
      <c r="K741" s="2">
        <v>0</v>
      </c>
      <c r="L741" t="s">
        <v>70</v>
      </c>
      <c r="M741" t="s">
        <v>23</v>
      </c>
      <c r="N741" s="1">
        <v>46231</v>
      </c>
      <c r="O741" s="1">
        <v>46231</v>
      </c>
      <c r="P741" s="5">
        <f>Orders[[#This Row],[Quantity]]*Orders[[#This Row],[Unit Price]]</f>
        <v>1799</v>
      </c>
      <c r="Q741" s="5">
        <f>Orders[[#This Row],[Gross Sales]]*Orders[[#This Row],[Discount %]]</f>
        <v>0</v>
      </c>
      <c r="R741" s="5">
        <f>Orders[[#This Row],[Gross Sales]]-Orders[[#This Row],[Discount Amount]]</f>
        <v>1799</v>
      </c>
      <c r="S741">
        <f>IF(Orders[[#This Row],[Actual Delivery Date]]="","",Orders[[#This Row],[Actual Delivery Date]]-Orders[[#This Row],[Order Date]])</f>
        <v>3</v>
      </c>
      <c r="T741" t="str">
        <f>IF(Orders[[#This Row],[Actual Delivery Date]]="","Pending",IF(Orders[[#This Row],[Actual Delivery Date]]&lt;=Orders[[#This Row],[Expected Delivery Date]],"On Time","Late"))</f>
        <v>On Time</v>
      </c>
      <c r="U741" t="str">
        <f>TEXT(Orders[[#This Row],[Order Date]],"mmm")</f>
        <v>Jul</v>
      </c>
      <c r="V741" s="8">
        <f>DATE(YEAR(Orders[[#This Row],[Order Date]]),MONTH(Orders[[#This Row],[Order Date]]),1)</f>
        <v>46204</v>
      </c>
      <c r="W741" s="5">
        <f>IF(Orders[[#This Row],[Order Status]]="Cancelled",Orders[[#This Row],[Net Sales]],0)</f>
        <v>0</v>
      </c>
    </row>
    <row r="742" spans="1:23" x14ac:dyDescent="0.3">
      <c r="A742" t="s">
        <v>1364</v>
      </c>
      <c r="B742" s="7">
        <v>46359</v>
      </c>
      <c r="C742" t="s">
        <v>448</v>
      </c>
      <c r="D742" t="s">
        <v>620</v>
      </c>
      <c r="E742" t="s">
        <v>18</v>
      </c>
      <c r="F742" t="s">
        <v>43</v>
      </c>
      <c r="G742" t="s">
        <v>52</v>
      </c>
      <c r="H742" t="s">
        <v>45</v>
      </c>
      <c r="I742">
        <v>1</v>
      </c>
      <c r="J742" s="5">
        <v>1299</v>
      </c>
      <c r="K742" s="2">
        <v>0.15</v>
      </c>
      <c r="L742" t="s">
        <v>70</v>
      </c>
      <c r="M742" t="s">
        <v>23</v>
      </c>
      <c r="N742" s="1">
        <v>46363</v>
      </c>
      <c r="O742" s="1">
        <v>46361</v>
      </c>
      <c r="P742" s="5">
        <f>Orders[[#This Row],[Quantity]]*Orders[[#This Row],[Unit Price]]</f>
        <v>1299</v>
      </c>
      <c r="Q742" s="5">
        <f>Orders[[#This Row],[Gross Sales]]*Orders[[#This Row],[Discount %]]</f>
        <v>194.85</v>
      </c>
      <c r="R742" s="5">
        <f>Orders[[#This Row],[Gross Sales]]-Orders[[#This Row],[Discount Amount]]</f>
        <v>1104.1500000000001</v>
      </c>
      <c r="S742">
        <f>IF(Orders[[#This Row],[Actual Delivery Date]]="","",Orders[[#This Row],[Actual Delivery Date]]-Orders[[#This Row],[Order Date]])</f>
        <v>2</v>
      </c>
      <c r="T742" t="str">
        <f>IF(Orders[[#This Row],[Actual Delivery Date]]="","Pending",IF(Orders[[#This Row],[Actual Delivery Date]]&lt;=Orders[[#This Row],[Expected Delivery Date]],"On Time","Late"))</f>
        <v>On Time</v>
      </c>
      <c r="U742" t="str">
        <f>TEXT(Orders[[#This Row],[Order Date]],"mmm")</f>
        <v>Dec</v>
      </c>
      <c r="V742" s="8">
        <f>DATE(YEAR(Orders[[#This Row],[Order Date]]),MONTH(Orders[[#This Row],[Order Date]]),1)</f>
        <v>46357</v>
      </c>
      <c r="W742" s="5">
        <f>IF(Orders[[#This Row],[Order Status]]="Cancelled",Orders[[#This Row],[Net Sales]],0)</f>
        <v>0</v>
      </c>
    </row>
    <row r="743" spans="1:23" x14ac:dyDescent="0.3">
      <c r="A743" t="s">
        <v>1365</v>
      </c>
      <c r="B743" s="7">
        <v>46094</v>
      </c>
      <c r="C743" t="s">
        <v>987</v>
      </c>
      <c r="D743" t="s">
        <v>949</v>
      </c>
      <c r="E743" t="s">
        <v>18</v>
      </c>
      <c r="F743" t="s">
        <v>43</v>
      </c>
      <c r="G743" t="s">
        <v>180</v>
      </c>
      <c r="H743" t="s">
        <v>58</v>
      </c>
      <c r="I743">
        <v>1</v>
      </c>
      <c r="J743" s="5">
        <v>599</v>
      </c>
      <c r="K743" s="2">
        <v>0.15</v>
      </c>
      <c r="L743" t="s">
        <v>39</v>
      </c>
      <c r="M743" t="s">
        <v>23</v>
      </c>
      <c r="N743" s="1">
        <v>46101</v>
      </c>
      <c r="O743" s="1">
        <v>46096</v>
      </c>
      <c r="P743" s="5">
        <f>Orders[[#This Row],[Quantity]]*Orders[[#This Row],[Unit Price]]</f>
        <v>599</v>
      </c>
      <c r="Q743" s="5">
        <f>Orders[[#This Row],[Gross Sales]]*Orders[[#This Row],[Discount %]]</f>
        <v>89.85</v>
      </c>
      <c r="R743" s="5">
        <f>Orders[[#This Row],[Gross Sales]]-Orders[[#This Row],[Discount Amount]]</f>
        <v>509.15</v>
      </c>
      <c r="S743">
        <f>IF(Orders[[#This Row],[Actual Delivery Date]]="","",Orders[[#This Row],[Actual Delivery Date]]-Orders[[#This Row],[Order Date]])</f>
        <v>2</v>
      </c>
      <c r="T743" t="str">
        <f>IF(Orders[[#This Row],[Actual Delivery Date]]="","Pending",IF(Orders[[#This Row],[Actual Delivery Date]]&lt;=Orders[[#This Row],[Expected Delivery Date]],"On Time","Late"))</f>
        <v>On Time</v>
      </c>
      <c r="U743" t="str">
        <f>TEXT(Orders[[#This Row],[Order Date]],"mmm")</f>
        <v>Mar</v>
      </c>
      <c r="V743" s="8">
        <f>DATE(YEAR(Orders[[#This Row],[Order Date]]),MONTH(Orders[[#This Row],[Order Date]]),1)</f>
        <v>46082</v>
      </c>
      <c r="W743" s="5">
        <f>IF(Orders[[#This Row],[Order Status]]="Cancelled",Orders[[#This Row],[Net Sales]],0)</f>
        <v>0</v>
      </c>
    </row>
    <row r="744" spans="1:23" x14ac:dyDescent="0.3">
      <c r="A744" t="s">
        <v>1366</v>
      </c>
      <c r="B744" s="7">
        <v>46039</v>
      </c>
      <c r="C744" t="s">
        <v>1367</v>
      </c>
      <c r="D744" t="s">
        <v>1166</v>
      </c>
      <c r="E744" t="s">
        <v>27</v>
      </c>
      <c r="F744" t="s">
        <v>74</v>
      </c>
      <c r="G744" t="s">
        <v>118</v>
      </c>
      <c r="H744" t="s">
        <v>58</v>
      </c>
      <c r="I744">
        <v>1</v>
      </c>
      <c r="J744" s="5">
        <v>749</v>
      </c>
      <c r="K744" s="2">
        <v>0.05</v>
      </c>
      <c r="L744" t="s">
        <v>70</v>
      </c>
      <c r="M744" t="s">
        <v>59</v>
      </c>
      <c r="N744" s="1">
        <v>46043</v>
      </c>
      <c r="O744" s="1">
        <v>46043</v>
      </c>
      <c r="P744" s="5">
        <f>Orders[[#This Row],[Quantity]]*Orders[[#This Row],[Unit Price]]</f>
        <v>749</v>
      </c>
      <c r="Q744" s="5">
        <f>Orders[[#This Row],[Gross Sales]]*Orders[[#This Row],[Discount %]]</f>
        <v>37.450000000000003</v>
      </c>
      <c r="R744" s="5">
        <f>Orders[[#This Row],[Gross Sales]]-Orders[[#This Row],[Discount Amount]]</f>
        <v>711.55</v>
      </c>
      <c r="S744">
        <f>IF(Orders[[#This Row],[Actual Delivery Date]]="","",Orders[[#This Row],[Actual Delivery Date]]-Orders[[#This Row],[Order Date]])</f>
        <v>4</v>
      </c>
      <c r="T744" t="str">
        <f>IF(Orders[[#This Row],[Actual Delivery Date]]="","Pending",IF(Orders[[#This Row],[Actual Delivery Date]]&lt;=Orders[[#This Row],[Expected Delivery Date]],"On Time","Late"))</f>
        <v>On Time</v>
      </c>
      <c r="U744" t="str">
        <f>TEXT(Orders[[#This Row],[Order Date]],"mmm")</f>
        <v>Jan</v>
      </c>
      <c r="V744" s="8">
        <f>DATE(YEAR(Orders[[#This Row],[Order Date]]),MONTH(Orders[[#This Row],[Order Date]]),1)</f>
        <v>46023</v>
      </c>
      <c r="W744" s="5">
        <f>IF(Orders[[#This Row],[Order Status]]="Cancelled",Orders[[#This Row],[Net Sales]],0)</f>
        <v>711.55</v>
      </c>
    </row>
    <row r="745" spans="1:23" x14ac:dyDescent="0.3">
      <c r="A745" t="s">
        <v>1368</v>
      </c>
      <c r="B745" s="7">
        <v>46222</v>
      </c>
      <c r="C745" t="s">
        <v>315</v>
      </c>
      <c r="D745" t="s">
        <v>1369</v>
      </c>
      <c r="E745" t="s">
        <v>27</v>
      </c>
      <c r="F745" t="s">
        <v>51</v>
      </c>
      <c r="G745" t="s">
        <v>228</v>
      </c>
      <c r="H745" t="s">
        <v>58</v>
      </c>
      <c r="I745">
        <v>1</v>
      </c>
      <c r="J745" s="5">
        <v>1499</v>
      </c>
      <c r="K745" s="2">
        <v>0</v>
      </c>
      <c r="L745" t="s">
        <v>39</v>
      </c>
      <c r="M745" t="s">
        <v>23</v>
      </c>
      <c r="N745" s="1">
        <v>46225</v>
      </c>
      <c r="O745" s="1">
        <v>46223</v>
      </c>
      <c r="P745" s="5">
        <f>Orders[[#This Row],[Quantity]]*Orders[[#This Row],[Unit Price]]</f>
        <v>1499</v>
      </c>
      <c r="Q745" s="5">
        <f>Orders[[#This Row],[Gross Sales]]*Orders[[#This Row],[Discount %]]</f>
        <v>0</v>
      </c>
      <c r="R745" s="5">
        <f>Orders[[#This Row],[Gross Sales]]-Orders[[#This Row],[Discount Amount]]</f>
        <v>1499</v>
      </c>
      <c r="S745">
        <f>IF(Orders[[#This Row],[Actual Delivery Date]]="","",Orders[[#This Row],[Actual Delivery Date]]-Orders[[#This Row],[Order Date]])</f>
        <v>1</v>
      </c>
      <c r="T745" t="str">
        <f>IF(Orders[[#This Row],[Actual Delivery Date]]="","Pending",IF(Orders[[#This Row],[Actual Delivery Date]]&lt;=Orders[[#This Row],[Expected Delivery Date]],"On Time","Late"))</f>
        <v>On Time</v>
      </c>
      <c r="U745" t="str">
        <f>TEXT(Orders[[#This Row],[Order Date]],"mmm")</f>
        <v>Jul</v>
      </c>
      <c r="V745" s="8">
        <f>DATE(YEAR(Orders[[#This Row],[Order Date]]),MONTH(Orders[[#This Row],[Order Date]]),1)</f>
        <v>46204</v>
      </c>
      <c r="W745" s="5">
        <f>IF(Orders[[#This Row],[Order Status]]="Cancelled",Orders[[#This Row],[Net Sales]],0)</f>
        <v>0</v>
      </c>
    </row>
    <row r="746" spans="1:23" x14ac:dyDescent="0.3">
      <c r="A746" t="s">
        <v>1370</v>
      </c>
      <c r="B746" s="7">
        <v>46245</v>
      </c>
      <c r="C746" t="s">
        <v>769</v>
      </c>
      <c r="D746" t="s">
        <v>1371</v>
      </c>
      <c r="E746" t="s">
        <v>35</v>
      </c>
      <c r="F746" t="s">
        <v>63</v>
      </c>
      <c r="G746" t="s">
        <v>81</v>
      </c>
      <c r="H746" t="s">
        <v>30</v>
      </c>
      <c r="I746">
        <v>2</v>
      </c>
      <c r="J746" s="5">
        <v>899</v>
      </c>
      <c r="K746" s="2">
        <v>0.1</v>
      </c>
      <c r="L746" t="s">
        <v>70</v>
      </c>
      <c r="M746" t="s">
        <v>23</v>
      </c>
      <c r="N746" s="1">
        <v>46250</v>
      </c>
      <c r="O746" s="1">
        <v>46247</v>
      </c>
      <c r="P746" s="5">
        <f>Orders[[#This Row],[Quantity]]*Orders[[#This Row],[Unit Price]]</f>
        <v>1798</v>
      </c>
      <c r="Q746" s="5">
        <f>Orders[[#This Row],[Gross Sales]]*Orders[[#This Row],[Discount %]]</f>
        <v>179.8</v>
      </c>
      <c r="R746" s="5">
        <f>Orders[[#This Row],[Gross Sales]]-Orders[[#This Row],[Discount Amount]]</f>
        <v>1618.2</v>
      </c>
      <c r="S746">
        <f>IF(Orders[[#This Row],[Actual Delivery Date]]="","",Orders[[#This Row],[Actual Delivery Date]]-Orders[[#This Row],[Order Date]])</f>
        <v>2</v>
      </c>
      <c r="T746" t="str">
        <f>IF(Orders[[#This Row],[Actual Delivery Date]]="","Pending",IF(Orders[[#This Row],[Actual Delivery Date]]&lt;=Orders[[#This Row],[Expected Delivery Date]],"On Time","Late"))</f>
        <v>On Time</v>
      </c>
      <c r="U746" t="str">
        <f>TEXT(Orders[[#This Row],[Order Date]],"mmm")</f>
        <v>Aug</v>
      </c>
      <c r="V746" s="8">
        <f>DATE(YEAR(Orders[[#This Row],[Order Date]]),MONTH(Orders[[#This Row],[Order Date]]),1)</f>
        <v>46235</v>
      </c>
      <c r="W746" s="5">
        <f>IF(Orders[[#This Row],[Order Status]]="Cancelled",Orders[[#This Row],[Net Sales]],0)</f>
        <v>0</v>
      </c>
    </row>
    <row r="747" spans="1:23" x14ac:dyDescent="0.3">
      <c r="A747" t="s">
        <v>1372</v>
      </c>
      <c r="B747" s="7">
        <v>46381</v>
      </c>
      <c r="C747" t="s">
        <v>853</v>
      </c>
      <c r="D747" t="s">
        <v>408</v>
      </c>
      <c r="E747" t="s">
        <v>27</v>
      </c>
      <c r="F747" t="s">
        <v>51</v>
      </c>
      <c r="G747" t="s">
        <v>153</v>
      </c>
      <c r="H747" t="s">
        <v>45</v>
      </c>
      <c r="I747">
        <v>1</v>
      </c>
      <c r="J747" s="5">
        <v>1999</v>
      </c>
      <c r="K747" s="2">
        <v>0.15</v>
      </c>
      <c r="L747" t="s">
        <v>31</v>
      </c>
      <c r="M747" t="s">
        <v>23</v>
      </c>
      <c r="N747" s="1">
        <v>46388</v>
      </c>
      <c r="O747" s="1">
        <v>46382</v>
      </c>
      <c r="P747" s="5">
        <f>Orders[[#This Row],[Quantity]]*Orders[[#This Row],[Unit Price]]</f>
        <v>1999</v>
      </c>
      <c r="Q747" s="5">
        <f>Orders[[#This Row],[Gross Sales]]*Orders[[#This Row],[Discount %]]</f>
        <v>299.84999999999997</v>
      </c>
      <c r="R747" s="5">
        <f>Orders[[#This Row],[Gross Sales]]-Orders[[#This Row],[Discount Amount]]</f>
        <v>1699.15</v>
      </c>
      <c r="S747">
        <f>IF(Orders[[#This Row],[Actual Delivery Date]]="","",Orders[[#This Row],[Actual Delivery Date]]-Orders[[#This Row],[Order Date]])</f>
        <v>1</v>
      </c>
      <c r="T747" t="str">
        <f>IF(Orders[[#This Row],[Actual Delivery Date]]="","Pending",IF(Orders[[#This Row],[Actual Delivery Date]]&lt;=Orders[[#This Row],[Expected Delivery Date]],"On Time","Late"))</f>
        <v>On Time</v>
      </c>
      <c r="U747" t="str">
        <f>TEXT(Orders[[#This Row],[Order Date]],"mmm")</f>
        <v>Dec</v>
      </c>
      <c r="V747" s="8">
        <f>DATE(YEAR(Orders[[#This Row],[Order Date]]),MONTH(Orders[[#This Row],[Order Date]]),1)</f>
        <v>46357</v>
      </c>
      <c r="W747" s="5">
        <f>IF(Orders[[#This Row],[Order Status]]="Cancelled",Orders[[#This Row],[Net Sales]],0)</f>
        <v>0</v>
      </c>
    </row>
    <row r="748" spans="1:23" x14ac:dyDescent="0.3">
      <c r="A748" t="s">
        <v>1373</v>
      </c>
      <c r="B748" s="7">
        <v>46090</v>
      </c>
      <c r="C748" t="s">
        <v>736</v>
      </c>
      <c r="D748" t="s">
        <v>1369</v>
      </c>
      <c r="E748" t="s">
        <v>27</v>
      </c>
      <c r="F748" t="s">
        <v>56</v>
      </c>
      <c r="G748" t="s">
        <v>104</v>
      </c>
      <c r="H748" t="s">
        <v>38</v>
      </c>
      <c r="I748">
        <v>1</v>
      </c>
      <c r="J748" s="5">
        <v>999</v>
      </c>
      <c r="K748" s="2">
        <v>0.1</v>
      </c>
      <c r="L748" t="s">
        <v>31</v>
      </c>
      <c r="M748" t="s">
        <v>23</v>
      </c>
      <c r="N748" s="1">
        <v>46095</v>
      </c>
      <c r="O748" s="1">
        <v>46092</v>
      </c>
      <c r="P748" s="5">
        <f>Orders[[#This Row],[Quantity]]*Orders[[#This Row],[Unit Price]]</f>
        <v>999</v>
      </c>
      <c r="Q748" s="5">
        <f>Orders[[#This Row],[Gross Sales]]*Orders[[#This Row],[Discount %]]</f>
        <v>99.9</v>
      </c>
      <c r="R748" s="5">
        <f>Orders[[#This Row],[Gross Sales]]-Orders[[#This Row],[Discount Amount]]</f>
        <v>899.1</v>
      </c>
      <c r="S748">
        <f>IF(Orders[[#This Row],[Actual Delivery Date]]="","",Orders[[#This Row],[Actual Delivery Date]]-Orders[[#This Row],[Order Date]])</f>
        <v>2</v>
      </c>
      <c r="T748" t="str">
        <f>IF(Orders[[#This Row],[Actual Delivery Date]]="","Pending",IF(Orders[[#This Row],[Actual Delivery Date]]&lt;=Orders[[#This Row],[Expected Delivery Date]],"On Time","Late"))</f>
        <v>On Time</v>
      </c>
      <c r="U748" t="str">
        <f>TEXT(Orders[[#This Row],[Order Date]],"mmm")</f>
        <v>Mar</v>
      </c>
      <c r="V748" s="8">
        <f>DATE(YEAR(Orders[[#This Row],[Order Date]]),MONTH(Orders[[#This Row],[Order Date]]),1)</f>
        <v>46082</v>
      </c>
      <c r="W748" s="5">
        <f>IF(Orders[[#This Row],[Order Status]]="Cancelled",Orders[[#This Row],[Net Sales]],0)</f>
        <v>0</v>
      </c>
    </row>
    <row r="749" spans="1:23" x14ac:dyDescent="0.3">
      <c r="A749" t="s">
        <v>1374</v>
      </c>
      <c r="B749" s="7">
        <v>46381</v>
      </c>
      <c r="C749" t="s">
        <v>178</v>
      </c>
      <c r="D749" t="s">
        <v>1369</v>
      </c>
      <c r="E749" t="s">
        <v>79</v>
      </c>
      <c r="F749" t="s">
        <v>170</v>
      </c>
      <c r="G749" t="s">
        <v>91</v>
      </c>
      <c r="H749" t="s">
        <v>30</v>
      </c>
      <c r="I749">
        <v>2</v>
      </c>
      <c r="J749" s="5">
        <v>3299</v>
      </c>
      <c r="K749" s="2">
        <v>0.05</v>
      </c>
      <c r="L749" t="s">
        <v>31</v>
      </c>
      <c r="M749" t="s">
        <v>23</v>
      </c>
      <c r="N749" s="1">
        <v>46386</v>
      </c>
      <c r="O749" s="1">
        <v>46386</v>
      </c>
      <c r="P749" s="5">
        <f>Orders[[#This Row],[Quantity]]*Orders[[#This Row],[Unit Price]]</f>
        <v>6598</v>
      </c>
      <c r="Q749" s="5">
        <f>Orders[[#This Row],[Gross Sales]]*Orders[[#This Row],[Discount %]]</f>
        <v>329.90000000000003</v>
      </c>
      <c r="R749" s="5">
        <f>Orders[[#This Row],[Gross Sales]]-Orders[[#This Row],[Discount Amount]]</f>
        <v>6268.1</v>
      </c>
      <c r="S749">
        <f>IF(Orders[[#This Row],[Actual Delivery Date]]="","",Orders[[#This Row],[Actual Delivery Date]]-Orders[[#This Row],[Order Date]])</f>
        <v>5</v>
      </c>
      <c r="T749" t="str">
        <f>IF(Orders[[#This Row],[Actual Delivery Date]]="","Pending",IF(Orders[[#This Row],[Actual Delivery Date]]&lt;=Orders[[#This Row],[Expected Delivery Date]],"On Time","Late"))</f>
        <v>On Time</v>
      </c>
      <c r="U749" t="str">
        <f>TEXT(Orders[[#This Row],[Order Date]],"mmm")</f>
        <v>Dec</v>
      </c>
      <c r="V749" s="8">
        <f>DATE(YEAR(Orders[[#This Row],[Order Date]]),MONTH(Orders[[#This Row],[Order Date]]),1)</f>
        <v>46357</v>
      </c>
      <c r="W749" s="5">
        <f>IF(Orders[[#This Row],[Order Status]]="Cancelled",Orders[[#This Row],[Net Sales]],0)</f>
        <v>0</v>
      </c>
    </row>
    <row r="750" spans="1:23" x14ac:dyDescent="0.3">
      <c r="A750" t="s">
        <v>1375</v>
      </c>
      <c r="B750" s="7">
        <v>46166</v>
      </c>
      <c r="C750" t="s">
        <v>1020</v>
      </c>
      <c r="D750" t="s">
        <v>626</v>
      </c>
      <c r="E750" t="s">
        <v>35</v>
      </c>
      <c r="F750" t="s">
        <v>135</v>
      </c>
      <c r="G750" t="s">
        <v>186</v>
      </c>
      <c r="H750" t="s">
        <v>21</v>
      </c>
      <c r="I750">
        <v>4</v>
      </c>
      <c r="J750" s="5">
        <v>1999</v>
      </c>
      <c r="K750" s="2">
        <v>0.15</v>
      </c>
      <c r="L750" t="s">
        <v>31</v>
      </c>
      <c r="M750" t="s">
        <v>23</v>
      </c>
      <c r="N750" s="1">
        <v>46168</v>
      </c>
      <c r="O750" s="1">
        <v>46167</v>
      </c>
      <c r="P750" s="5">
        <f>Orders[[#This Row],[Quantity]]*Orders[[#This Row],[Unit Price]]</f>
        <v>7996</v>
      </c>
      <c r="Q750" s="5">
        <f>Orders[[#This Row],[Gross Sales]]*Orders[[#This Row],[Discount %]]</f>
        <v>1199.3999999999999</v>
      </c>
      <c r="R750" s="5">
        <f>Orders[[#This Row],[Gross Sales]]-Orders[[#This Row],[Discount Amount]]</f>
        <v>6796.6</v>
      </c>
      <c r="S750">
        <f>IF(Orders[[#This Row],[Actual Delivery Date]]="","",Orders[[#This Row],[Actual Delivery Date]]-Orders[[#This Row],[Order Date]])</f>
        <v>1</v>
      </c>
      <c r="T750" t="str">
        <f>IF(Orders[[#This Row],[Actual Delivery Date]]="","Pending",IF(Orders[[#This Row],[Actual Delivery Date]]&lt;=Orders[[#This Row],[Expected Delivery Date]],"On Time","Late"))</f>
        <v>On Time</v>
      </c>
      <c r="U750" t="str">
        <f>TEXT(Orders[[#This Row],[Order Date]],"mmm")</f>
        <v>May</v>
      </c>
      <c r="V750" s="8">
        <f>DATE(YEAR(Orders[[#This Row],[Order Date]]),MONTH(Orders[[#This Row],[Order Date]]),1)</f>
        <v>46143</v>
      </c>
      <c r="W750" s="5">
        <f>IF(Orders[[#This Row],[Order Status]]="Cancelled",Orders[[#This Row],[Net Sales]],0)</f>
        <v>0</v>
      </c>
    </row>
    <row r="751" spans="1:23" x14ac:dyDescent="0.3">
      <c r="A751" t="s">
        <v>1376</v>
      </c>
      <c r="B751" s="7">
        <v>46333</v>
      </c>
      <c r="C751" t="s">
        <v>863</v>
      </c>
      <c r="D751" t="s">
        <v>1377</v>
      </c>
      <c r="E751" t="s">
        <v>27</v>
      </c>
      <c r="F751" t="s">
        <v>51</v>
      </c>
      <c r="G751" t="s">
        <v>118</v>
      </c>
      <c r="H751" t="s">
        <v>58</v>
      </c>
      <c r="I751">
        <v>1</v>
      </c>
      <c r="J751" s="5">
        <v>749</v>
      </c>
      <c r="K751" s="2">
        <v>0.05</v>
      </c>
      <c r="L751" t="s">
        <v>46</v>
      </c>
      <c r="M751" t="s">
        <v>23</v>
      </c>
      <c r="N751" s="1">
        <v>46337</v>
      </c>
      <c r="O751" s="1">
        <v>46334</v>
      </c>
      <c r="P751" s="5">
        <f>Orders[[#This Row],[Quantity]]*Orders[[#This Row],[Unit Price]]</f>
        <v>749</v>
      </c>
      <c r="Q751" s="5">
        <f>Orders[[#This Row],[Gross Sales]]*Orders[[#This Row],[Discount %]]</f>
        <v>37.450000000000003</v>
      </c>
      <c r="R751" s="5">
        <f>Orders[[#This Row],[Gross Sales]]-Orders[[#This Row],[Discount Amount]]</f>
        <v>711.55</v>
      </c>
      <c r="S751">
        <f>IF(Orders[[#This Row],[Actual Delivery Date]]="","",Orders[[#This Row],[Actual Delivery Date]]-Orders[[#This Row],[Order Date]])</f>
        <v>1</v>
      </c>
      <c r="T751" t="str">
        <f>IF(Orders[[#This Row],[Actual Delivery Date]]="","Pending",IF(Orders[[#This Row],[Actual Delivery Date]]&lt;=Orders[[#This Row],[Expected Delivery Date]],"On Time","Late"))</f>
        <v>On Time</v>
      </c>
      <c r="U751" t="str">
        <f>TEXT(Orders[[#This Row],[Order Date]],"mmm")</f>
        <v>Nov</v>
      </c>
      <c r="V751" s="8">
        <f>DATE(YEAR(Orders[[#This Row],[Order Date]]),MONTH(Orders[[#This Row],[Order Date]]),1)</f>
        <v>46327</v>
      </c>
      <c r="W751" s="5">
        <f>IF(Orders[[#This Row],[Order Status]]="Cancelled",Orders[[#This Row],[Net Sales]],0)</f>
        <v>0</v>
      </c>
    </row>
    <row r="752" spans="1:23" x14ac:dyDescent="0.3">
      <c r="A752" t="s">
        <v>1378</v>
      </c>
      <c r="B752" s="7">
        <v>46324</v>
      </c>
      <c r="C752" t="s">
        <v>1343</v>
      </c>
      <c r="D752" t="s">
        <v>442</v>
      </c>
      <c r="E752" t="s">
        <v>27</v>
      </c>
      <c r="F752" t="s">
        <v>51</v>
      </c>
      <c r="G752" t="s">
        <v>186</v>
      </c>
      <c r="H752" t="s">
        <v>21</v>
      </c>
      <c r="I752">
        <v>2</v>
      </c>
      <c r="J752" s="5">
        <v>1999</v>
      </c>
      <c r="K752" s="2">
        <v>0.1</v>
      </c>
      <c r="L752" t="s">
        <v>31</v>
      </c>
      <c r="M752" t="s">
        <v>59</v>
      </c>
      <c r="N752" s="1">
        <v>46328</v>
      </c>
      <c r="O752" s="1">
        <v>46328</v>
      </c>
      <c r="P752" s="5">
        <f>Orders[[#This Row],[Quantity]]*Orders[[#This Row],[Unit Price]]</f>
        <v>3998</v>
      </c>
      <c r="Q752" s="5">
        <f>Orders[[#This Row],[Gross Sales]]*Orders[[#This Row],[Discount %]]</f>
        <v>399.8</v>
      </c>
      <c r="R752" s="5">
        <f>Orders[[#This Row],[Gross Sales]]-Orders[[#This Row],[Discount Amount]]</f>
        <v>3598.2</v>
      </c>
      <c r="S752">
        <f>IF(Orders[[#This Row],[Actual Delivery Date]]="","",Orders[[#This Row],[Actual Delivery Date]]-Orders[[#This Row],[Order Date]])</f>
        <v>4</v>
      </c>
      <c r="T752" t="str">
        <f>IF(Orders[[#This Row],[Actual Delivery Date]]="","Pending",IF(Orders[[#This Row],[Actual Delivery Date]]&lt;=Orders[[#This Row],[Expected Delivery Date]],"On Time","Late"))</f>
        <v>On Time</v>
      </c>
      <c r="U752" t="str">
        <f>TEXT(Orders[[#This Row],[Order Date]],"mmm")</f>
        <v>Oct</v>
      </c>
      <c r="V752" s="8">
        <f>DATE(YEAR(Orders[[#This Row],[Order Date]]),MONTH(Orders[[#This Row],[Order Date]]),1)</f>
        <v>46296</v>
      </c>
      <c r="W752" s="5">
        <f>IF(Orders[[#This Row],[Order Status]]="Cancelled",Orders[[#This Row],[Net Sales]],0)</f>
        <v>3598.2</v>
      </c>
    </row>
    <row r="753" spans="1:23" x14ac:dyDescent="0.3">
      <c r="A753" t="s">
        <v>1379</v>
      </c>
      <c r="B753" s="7">
        <v>46358</v>
      </c>
      <c r="C753" t="s">
        <v>1380</v>
      </c>
      <c r="D753" t="s">
        <v>403</v>
      </c>
      <c r="E753" t="s">
        <v>27</v>
      </c>
      <c r="F753" t="s">
        <v>28</v>
      </c>
      <c r="G753" t="s">
        <v>44</v>
      </c>
      <c r="H753" t="s">
        <v>45</v>
      </c>
      <c r="I753">
        <v>3</v>
      </c>
      <c r="J753" s="5">
        <v>1799</v>
      </c>
      <c r="K753" s="2">
        <v>0.05</v>
      </c>
      <c r="L753" t="s">
        <v>70</v>
      </c>
      <c r="M753" t="s">
        <v>23</v>
      </c>
      <c r="N753" s="1">
        <v>46360</v>
      </c>
      <c r="O753" s="1">
        <v>46363</v>
      </c>
      <c r="P753" s="5">
        <f>Orders[[#This Row],[Quantity]]*Orders[[#This Row],[Unit Price]]</f>
        <v>5397</v>
      </c>
      <c r="Q753" s="5">
        <f>Orders[[#This Row],[Gross Sales]]*Orders[[#This Row],[Discount %]]</f>
        <v>269.85000000000002</v>
      </c>
      <c r="R753" s="5">
        <f>Orders[[#This Row],[Gross Sales]]-Orders[[#This Row],[Discount Amount]]</f>
        <v>5127.1499999999996</v>
      </c>
      <c r="S753">
        <f>IF(Orders[[#This Row],[Actual Delivery Date]]="","",Orders[[#This Row],[Actual Delivery Date]]-Orders[[#This Row],[Order Date]])</f>
        <v>5</v>
      </c>
      <c r="T753" t="str">
        <f>IF(Orders[[#This Row],[Actual Delivery Date]]="","Pending",IF(Orders[[#This Row],[Actual Delivery Date]]&lt;=Orders[[#This Row],[Expected Delivery Date]],"On Time","Late"))</f>
        <v>Late</v>
      </c>
      <c r="U753" t="str">
        <f>TEXT(Orders[[#This Row],[Order Date]],"mmm")</f>
        <v>Dec</v>
      </c>
      <c r="V753" s="8">
        <f>DATE(YEAR(Orders[[#This Row],[Order Date]]),MONTH(Orders[[#This Row],[Order Date]]),1)</f>
        <v>46357</v>
      </c>
      <c r="W753" s="5">
        <f>IF(Orders[[#This Row],[Order Status]]="Cancelled",Orders[[#This Row],[Net Sales]],0)</f>
        <v>0</v>
      </c>
    </row>
    <row r="754" spans="1:23" x14ac:dyDescent="0.3">
      <c r="A754" t="s">
        <v>1381</v>
      </c>
      <c r="B754" s="7">
        <v>46121</v>
      </c>
      <c r="C754" t="s">
        <v>1382</v>
      </c>
      <c r="D754" t="s">
        <v>120</v>
      </c>
      <c r="E754" t="s">
        <v>27</v>
      </c>
      <c r="F754" t="s">
        <v>56</v>
      </c>
      <c r="G754" t="s">
        <v>52</v>
      </c>
      <c r="H754" t="s">
        <v>45</v>
      </c>
      <c r="I754">
        <v>1</v>
      </c>
      <c r="J754" s="5">
        <v>1299</v>
      </c>
      <c r="K754" s="2">
        <v>0.1</v>
      </c>
      <c r="L754" t="s">
        <v>22</v>
      </c>
      <c r="M754" t="s">
        <v>23</v>
      </c>
      <c r="N754" s="1">
        <v>46125</v>
      </c>
      <c r="O754" s="1">
        <v>46122</v>
      </c>
      <c r="P754" s="5">
        <f>Orders[[#This Row],[Quantity]]*Orders[[#This Row],[Unit Price]]</f>
        <v>1299</v>
      </c>
      <c r="Q754" s="5">
        <f>Orders[[#This Row],[Gross Sales]]*Orders[[#This Row],[Discount %]]</f>
        <v>129.9</v>
      </c>
      <c r="R754" s="5">
        <f>Orders[[#This Row],[Gross Sales]]-Orders[[#This Row],[Discount Amount]]</f>
        <v>1169.0999999999999</v>
      </c>
      <c r="S754">
        <f>IF(Orders[[#This Row],[Actual Delivery Date]]="","",Orders[[#This Row],[Actual Delivery Date]]-Orders[[#This Row],[Order Date]])</f>
        <v>1</v>
      </c>
      <c r="T754" t="str">
        <f>IF(Orders[[#This Row],[Actual Delivery Date]]="","Pending",IF(Orders[[#This Row],[Actual Delivery Date]]&lt;=Orders[[#This Row],[Expected Delivery Date]],"On Time","Late"))</f>
        <v>On Time</v>
      </c>
      <c r="U754" t="str">
        <f>TEXT(Orders[[#This Row],[Order Date]],"mmm")</f>
        <v>Apr</v>
      </c>
      <c r="V754" s="8">
        <f>DATE(YEAR(Orders[[#This Row],[Order Date]]),MONTH(Orders[[#This Row],[Order Date]]),1)</f>
        <v>46113</v>
      </c>
      <c r="W754" s="5">
        <f>IF(Orders[[#This Row],[Order Status]]="Cancelled",Orders[[#This Row],[Net Sales]],0)</f>
        <v>0</v>
      </c>
    </row>
    <row r="755" spans="1:23" x14ac:dyDescent="0.3">
      <c r="A755" t="s">
        <v>1383</v>
      </c>
      <c r="B755" s="7">
        <v>46034</v>
      </c>
      <c r="C755" t="s">
        <v>1384</v>
      </c>
      <c r="D755" t="s">
        <v>532</v>
      </c>
      <c r="E755" t="s">
        <v>79</v>
      </c>
      <c r="F755" t="s">
        <v>170</v>
      </c>
      <c r="G755" t="s">
        <v>206</v>
      </c>
      <c r="H755" t="s">
        <v>30</v>
      </c>
      <c r="I755">
        <v>1</v>
      </c>
      <c r="J755" s="5">
        <v>1199</v>
      </c>
      <c r="K755" s="2">
        <v>0.1</v>
      </c>
      <c r="L755" t="s">
        <v>31</v>
      </c>
      <c r="M755" t="s">
        <v>23</v>
      </c>
      <c r="N755" s="1">
        <v>46036</v>
      </c>
      <c r="O755" s="1">
        <v>46037</v>
      </c>
      <c r="P755" s="5">
        <f>Orders[[#This Row],[Quantity]]*Orders[[#This Row],[Unit Price]]</f>
        <v>1199</v>
      </c>
      <c r="Q755" s="5">
        <f>Orders[[#This Row],[Gross Sales]]*Orders[[#This Row],[Discount %]]</f>
        <v>119.9</v>
      </c>
      <c r="R755" s="5">
        <f>Orders[[#This Row],[Gross Sales]]-Orders[[#This Row],[Discount Amount]]</f>
        <v>1079.0999999999999</v>
      </c>
      <c r="S755">
        <f>IF(Orders[[#This Row],[Actual Delivery Date]]="","",Orders[[#This Row],[Actual Delivery Date]]-Orders[[#This Row],[Order Date]])</f>
        <v>3</v>
      </c>
      <c r="T755" t="str">
        <f>IF(Orders[[#This Row],[Actual Delivery Date]]="","Pending",IF(Orders[[#This Row],[Actual Delivery Date]]&lt;=Orders[[#This Row],[Expected Delivery Date]],"On Time","Late"))</f>
        <v>Late</v>
      </c>
      <c r="U755" t="str">
        <f>TEXT(Orders[[#This Row],[Order Date]],"mmm")</f>
        <v>Jan</v>
      </c>
      <c r="V755" s="8">
        <f>DATE(YEAR(Orders[[#This Row],[Order Date]]),MONTH(Orders[[#This Row],[Order Date]]),1)</f>
        <v>46023</v>
      </c>
      <c r="W755" s="5">
        <f>IF(Orders[[#This Row],[Order Status]]="Cancelled",Orders[[#This Row],[Net Sales]],0)</f>
        <v>0</v>
      </c>
    </row>
    <row r="756" spans="1:23" x14ac:dyDescent="0.3">
      <c r="A756" t="s">
        <v>1385</v>
      </c>
      <c r="B756" s="7">
        <v>46283</v>
      </c>
      <c r="C756" t="s">
        <v>704</v>
      </c>
      <c r="D756" t="s">
        <v>941</v>
      </c>
      <c r="E756" t="s">
        <v>79</v>
      </c>
      <c r="F756" t="s">
        <v>86</v>
      </c>
      <c r="G756" t="s">
        <v>96</v>
      </c>
      <c r="H756" t="s">
        <v>38</v>
      </c>
      <c r="I756">
        <v>1</v>
      </c>
      <c r="J756" s="5">
        <v>1599</v>
      </c>
      <c r="K756" s="2">
        <v>0.15</v>
      </c>
      <c r="L756" t="s">
        <v>70</v>
      </c>
      <c r="M756" t="s">
        <v>47</v>
      </c>
      <c r="N756" s="1">
        <v>46287</v>
      </c>
      <c r="O756" s="1"/>
      <c r="P756" s="5">
        <f>Orders[[#This Row],[Quantity]]*Orders[[#This Row],[Unit Price]]</f>
        <v>1599</v>
      </c>
      <c r="Q756" s="5">
        <f>Orders[[#This Row],[Gross Sales]]*Orders[[#This Row],[Discount %]]</f>
        <v>239.85</v>
      </c>
      <c r="R756" s="5">
        <f>Orders[[#This Row],[Gross Sales]]-Orders[[#This Row],[Discount Amount]]</f>
        <v>1359.15</v>
      </c>
      <c r="S756" t="str">
        <f>IF(Orders[[#This Row],[Actual Delivery Date]]="","",Orders[[#This Row],[Actual Delivery Date]]-Orders[[#This Row],[Order Date]])</f>
        <v/>
      </c>
      <c r="T756" t="str">
        <f>IF(Orders[[#This Row],[Actual Delivery Date]]="","Pending",IF(Orders[[#This Row],[Actual Delivery Date]]&lt;=Orders[[#This Row],[Expected Delivery Date]],"On Time","Late"))</f>
        <v>Pending</v>
      </c>
      <c r="U756" t="str">
        <f>TEXT(Orders[[#This Row],[Order Date]],"mmm")</f>
        <v>Sep</v>
      </c>
      <c r="V756" s="8">
        <f>DATE(YEAR(Orders[[#This Row],[Order Date]]),MONTH(Orders[[#This Row],[Order Date]]),1)</f>
        <v>46266</v>
      </c>
      <c r="W756" s="5">
        <f>IF(Orders[[#This Row],[Order Status]]="Cancelled",Orders[[#This Row],[Net Sales]],0)</f>
        <v>0</v>
      </c>
    </row>
    <row r="757" spans="1:23" x14ac:dyDescent="0.3">
      <c r="A757" t="s">
        <v>1386</v>
      </c>
      <c r="B757" s="7">
        <v>46326</v>
      </c>
      <c r="C757" t="s">
        <v>230</v>
      </c>
      <c r="D757" t="s">
        <v>1387</v>
      </c>
      <c r="E757" t="s">
        <v>18</v>
      </c>
      <c r="F757" t="s">
        <v>95</v>
      </c>
      <c r="G757" t="s">
        <v>29</v>
      </c>
      <c r="H757" t="s">
        <v>30</v>
      </c>
      <c r="I757">
        <v>2</v>
      </c>
      <c r="J757" s="5">
        <v>599</v>
      </c>
      <c r="K757" s="2">
        <v>0.2</v>
      </c>
      <c r="L757" t="s">
        <v>70</v>
      </c>
      <c r="M757" t="s">
        <v>47</v>
      </c>
      <c r="N757" s="1">
        <v>46333</v>
      </c>
      <c r="O757" s="1"/>
      <c r="P757" s="5">
        <f>Orders[[#This Row],[Quantity]]*Orders[[#This Row],[Unit Price]]</f>
        <v>1198</v>
      </c>
      <c r="Q757" s="5">
        <f>Orders[[#This Row],[Gross Sales]]*Orders[[#This Row],[Discount %]]</f>
        <v>239.60000000000002</v>
      </c>
      <c r="R757" s="5">
        <f>Orders[[#This Row],[Gross Sales]]-Orders[[#This Row],[Discount Amount]]</f>
        <v>958.4</v>
      </c>
      <c r="S757" t="str">
        <f>IF(Orders[[#This Row],[Actual Delivery Date]]="","",Orders[[#This Row],[Actual Delivery Date]]-Orders[[#This Row],[Order Date]])</f>
        <v/>
      </c>
      <c r="T757" t="str">
        <f>IF(Orders[[#This Row],[Actual Delivery Date]]="","Pending",IF(Orders[[#This Row],[Actual Delivery Date]]&lt;=Orders[[#This Row],[Expected Delivery Date]],"On Time","Late"))</f>
        <v>Pending</v>
      </c>
      <c r="U757" t="str">
        <f>TEXT(Orders[[#This Row],[Order Date]],"mmm")</f>
        <v>Oct</v>
      </c>
      <c r="V757" s="8">
        <f>DATE(YEAR(Orders[[#This Row],[Order Date]]),MONTH(Orders[[#This Row],[Order Date]]),1)</f>
        <v>46296</v>
      </c>
      <c r="W757" s="5">
        <f>IF(Orders[[#This Row],[Order Status]]="Cancelled",Orders[[#This Row],[Net Sales]],0)</f>
        <v>0</v>
      </c>
    </row>
    <row r="758" spans="1:23" x14ac:dyDescent="0.3">
      <c r="A758" t="s">
        <v>1388</v>
      </c>
      <c r="B758" s="7">
        <v>46305</v>
      </c>
      <c r="C758" t="s">
        <v>867</v>
      </c>
      <c r="D758" t="s">
        <v>949</v>
      </c>
      <c r="E758" t="s">
        <v>35</v>
      </c>
      <c r="F758" t="s">
        <v>68</v>
      </c>
      <c r="G758" t="s">
        <v>186</v>
      </c>
      <c r="H758" t="s">
        <v>21</v>
      </c>
      <c r="I758">
        <v>1</v>
      </c>
      <c r="J758" s="5">
        <v>1999</v>
      </c>
      <c r="K758" s="2">
        <v>0.05</v>
      </c>
      <c r="L758" t="s">
        <v>39</v>
      </c>
      <c r="M758" t="s">
        <v>47</v>
      </c>
      <c r="N758" s="1">
        <v>46308</v>
      </c>
      <c r="O758" s="1"/>
      <c r="P758" s="5">
        <f>Orders[[#This Row],[Quantity]]*Orders[[#This Row],[Unit Price]]</f>
        <v>1999</v>
      </c>
      <c r="Q758" s="5">
        <f>Orders[[#This Row],[Gross Sales]]*Orders[[#This Row],[Discount %]]</f>
        <v>99.95</v>
      </c>
      <c r="R758" s="5">
        <f>Orders[[#This Row],[Gross Sales]]-Orders[[#This Row],[Discount Amount]]</f>
        <v>1899.05</v>
      </c>
      <c r="S758" t="str">
        <f>IF(Orders[[#This Row],[Actual Delivery Date]]="","",Orders[[#This Row],[Actual Delivery Date]]-Orders[[#This Row],[Order Date]])</f>
        <v/>
      </c>
      <c r="T758" t="str">
        <f>IF(Orders[[#This Row],[Actual Delivery Date]]="","Pending",IF(Orders[[#This Row],[Actual Delivery Date]]&lt;=Orders[[#This Row],[Expected Delivery Date]],"On Time","Late"))</f>
        <v>Pending</v>
      </c>
      <c r="U758" t="str">
        <f>TEXT(Orders[[#This Row],[Order Date]],"mmm")</f>
        <v>Oct</v>
      </c>
      <c r="V758" s="8">
        <f>DATE(YEAR(Orders[[#This Row],[Order Date]]),MONTH(Orders[[#This Row],[Order Date]]),1)</f>
        <v>46296</v>
      </c>
      <c r="W758" s="5">
        <f>IF(Orders[[#This Row],[Order Status]]="Cancelled",Orders[[#This Row],[Net Sales]],0)</f>
        <v>0</v>
      </c>
    </row>
    <row r="759" spans="1:23" x14ac:dyDescent="0.3">
      <c r="A759" t="s">
        <v>1389</v>
      </c>
      <c r="B759" s="7">
        <v>46049</v>
      </c>
      <c r="C759" t="s">
        <v>394</v>
      </c>
      <c r="D759" t="s">
        <v>669</v>
      </c>
      <c r="E759" t="s">
        <v>27</v>
      </c>
      <c r="F759" t="s">
        <v>51</v>
      </c>
      <c r="G759" t="s">
        <v>131</v>
      </c>
      <c r="H759" t="s">
        <v>38</v>
      </c>
      <c r="I759">
        <v>2</v>
      </c>
      <c r="J759" s="5">
        <v>899</v>
      </c>
      <c r="K759" s="2">
        <v>0.05</v>
      </c>
      <c r="L759" t="s">
        <v>31</v>
      </c>
      <c r="M759" t="s">
        <v>47</v>
      </c>
      <c r="N759" s="1">
        <v>46051</v>
      </c>
      <c r="O759" s="1"/>
      <c r="P759" s="5">
        <f>Orders[[#This Row],[Quantity]]*Orders[[#This Row],[Unit Price]]</f>
        <v>1798</v>
      </c>
      <c r="Q759" s="5">
        <f>Orders[[#This Row],[Gross Sales]]*Orders[[#This Row],[Discount %]]</f>
        <v>89.9</v>
      </c>
      <c r="R759" s="5">
        <f>Orders[[#This Row],[Gross Sales]]-Orders[[#This Row],[Discount Amount]]</f>
        <v>1708.1</v>
      </c>
      <c r="S759" t="str">
        <f>IF(Orders[[#This Row],[Actual Delivery Date]]="","",Orders[[#This Row],[Actual Delivery Date]]-Orders[[#This Row],[Order Date]])</f>
        <v/>
      </c>
      <c r="T759" t="str">
        <f>IF(Orders[[#This Row],[Actual Delivery Date]]="","Pending",IF(Orders[[#This Row],[Actual Delivery Date]]&lt;=Orders[[#This Row],[Expected Delivery Date]],"On Time","Late"))</f>
        <v>Pending</v>
      </c>
      <c r="U759" t="str">
        <f>TEXT(Orders[[#This Row],[Order Date]],"mmm")</f>
        <v>Jan</v>
      </c>
      <c r="V759" s="8">
        <f>DATE(YEAR(Orders[[#This Row],[Order Date]]),MONTH(Orders[[#This Row],[Order Date]]),1)</f>
        <v>46023</v>
      </c>
      <c r="W759" s="5">
        <f>IF(Orders[[#This Row],[Order Status]]="Cancelled",Orders[[#This Row],[Net Sales]],0)</f>
        <v>0</v>
      </c>
    </row>
    <row r="760" spans="1:23" x14ac:dyDescent="0.3">
      <c r="A760" t="s">
        <v>1390</v>
      </c>
      <c r="B760" s="7">
        <v>46158</v>
      </c>
      <c r="C760" t="s">
        <v>990</v>
      </c>
      <c r="D760" t="s">
        <v>67</v>
      </c>
      <c r="E760" t="s">
        <v>35</v>
      </c>
      <c r="F760" t="s">
        <v>36</v>
      </c>
      <c r="G760" t="s">
        <v>44</v>
      </c>
      <c r="H760" t="s">
        <v>45</v>
      </c>
      <c r="I760">
        <v>2</v>
      </c>
      <c r="J760" s="5">
        <v>1799</v>
      </c>
      <c r="K760" s="2">
        <v>0.15</v>
      </c>
      <c r="L760" t="s">
        <v>22</v>
      </c>
      <c r="M760" t="s">
        <v>23</v>
      </c>
      <c r="N760" s="1">
        <v>46162</v>
      </c>
      <c r="O760" s="1">
        <v>46163</v>
      </c>
      <c r="P760" s="5">
        <f>Orders[[#This Row],[Quantity]]*Orders[[#This Row],[Unit Price]]</f>
        <v>3598</v>
      </c>
      <c r="Q760" s="5">
        <f>Orders[[#This Row],[Gross Sales]]*Orders[[#This Row],[Discount %]]</f>
        <v>539.69999999999993</v>
      </c>
      <c r="R760" s="5">
        <f>Orders[[#This Row],[Gross Sales]]-Orders[[#This Row],[Discount Amount]]</f>
        <v>3058.3</v>
      </c>
      <c r="S760">
        <f>IF(Orders[[#This Row],[Actual Delivery Date]]="","",Orders[[#This Row],[Actual Delivery Date]]-Orders[[#This Row],[Order Date]])</f>
        <v>5</v>
      </c>
      <c r="T760" t="str">
        <f>IF(Orders[[#This Row],[Actual Delivery Date]]="","Pending",IF(Orders[[#This Row],[Actual Delivery Date]]&lt;=Orders[[#This Row],[Expected Delivery Date]],"On Time","Late"))</f>
        <v>Late</v>
      </c>
      <c r="U760" t="str">
        <f>TEXT(Orders[[#This Row],[Order Date]],"mmm")</f>
        <v>May</v>
      </c>
      <c r="V760" s="8">
        <f>DATE(YEAR(Orders[[#This Row],[Order Date]]),MONTH(Orders[[#This Row],[Order Date]]),1)</f>
        <v>46143</v>
      </c>
      <c r="W760" s="5">
        <f>IF(Orders[[#This Row],[Order Status]]="Cancelled",Orders[[#This Row],[Net Sales]],0)</f>
        <v>0</v>
      </c>
    </row>
    <row r="761" spans="1:23" x14ac:dyDescent="0.3">
      <c r="A761" t="s">
        <v>1391</v>
      </c>
      <c r="B761" s="7">
        <v>46298</v>
      </c>
      <c r="C761" t="s">
        <v>1156</v>
      </c>
      <c r="D761" t="s">
        <v>1083</v>
      </c>
      <c r="E761" t="s">
        <v>35</v>
      </c>
      <c r="F761" t="s">
        <v>68</v>
      </c>
      <c r="G761" t="s">
        <v>64</v>
      </c>
      <c r="H761" t="s">
        <v>21</v>
      </c>
      <c r="I761">
        <v>2</v>
      </c>
      <c r="J761" s="5">
        <v>699</v>
      </c>
      <c r="K761" s="2">
        <v>0.2</v>
      </c>
      <c r="L761" t="s">
        <v>39</v>
      </c>
      <c r="M761" t="s">
        <v>59</v>
      </c>
      <c r="N761" s="1">
        <v>46305</v>
      </c>
      <c r="O761" s="1">
        <v>46304</v>
      </c>
      <c r="P761" s="5">
        <f>Orders[[#This Row],[Quantity]]*Orders[[#This Row],[Unit Price]]</f>
        <v>1398</v>
      </c>
      <c r="Q761" s="5">
        <f>Orders[[#This Row],[Gross Sales]]*Orders[[#This Row],[Discount %]]</f>
        <v>279.60000000000002</v>
      </c>
      <c r="R761" s="5">
        <f>Orders[[#This Row],[Gross Sales]]-Orders[[#This Row],[Discount Amount]]</f>
        <v>1118.4000000000001</v>
      </c>
      <c r="S761">
        <f>IF(Orders[[#This Row],[Actual Delivery Date]]="","",Orders[[#This Row],[Actual Delivery Date]]-Orders[[#This Row],[Order Date]])</f>
        <v>6</v>
      </c>
      <c r="T761" t="str">
        <f>IF(Orders[[#This Row],[Actual Delivery Date]]="","Pending",IF(Orders[[#This Row],[Actual Delivery Date]]&lt;=Orders[[#This Row],[Expected Delivery Date]],"On Time","Late"))</f>
        <v>On Time</v>
      </c>
      <c r="U761" t="str">
        <f>TEXT(Orders[[#This Row],[Order Date]],"mmm")</f>
        <v>Oct</v>
      </c>
      <c r="V761" s="8">
        <f>DATE(YEAR(Orders[[#This Row],[Order Date]]),MONTH(Orders[[#This Row],[Order Date]]),1)</f>
        <v>46296</v>
      </c>
      <c r="W761" s="5">
        <f>IF(Orders[[#This Row],[Order Status]]="Cancelled",Orders[[#This Row],[Net Sales]],0)</f>
        <v>1118.4000000000001</v>
      </c>
    </row>
    <row r="762" spans="1:23" x14ac:dyDescent="0.3">
      <c r="A762" t="s">
        <v>1392</v>
      </c>
      <c r="B762" s="7">
        <v>46160</v>
      </c>
      <c r="C762" t="s">
        <v>1142</v>
      </c>
      <c r="D762" t="s">
        <v>687</v>
      </c>
      <c r="E762" t="s">
        <v>27</v>
      </c>
      <c r="F762" t="s">
        <v>74</v>
      </c>
      <c r="G762" t="s">
        <v>131</v>
      </c>
      <c r="H762" t="s">
        <v>38</v>
      </c>
      <c r="I762">
        <v>1</v>
      </c>
      <c r="J762" s="5">
        <v>899</v>
      </c>
      <c r="K762" s="2">
        <v>0.15</v>
      </c>
      <c r="L762" t="s">
        <v>31</v>
      </c>
      <c r="M762" t="s">
        <v>23</v>
      </c>
      <c r="N762" s="1">
        <v>46163</v>
      </c>
      <c r="O762" s="1">
        <v>46162</v>
      </c>
      <c r="P762" s="5">
        <f>Orders[[#This Row],[Quantity]]*Orders[[#This Row],[Unit Price]]</f>
        <v>899</v>
      </c>
      <c r="Q762" s="5">
        <f>Orders[[#This Row],[Gross Sales]]*Orders[[#This Row],[Discount %]]</f>
        <v>134.85</v>
      </c>
      <c r="R762" s="5">
        <f>Orders[[#This Row],[Gross Sales]]-Orders[[#This Row],[Discount Amount]]</f>
        <v>764.15</v>
      </c>
      <c r="S762">
        <f>IF(Orders[[#This Row],[Actual Delivery Date]]="","",Orders[[#This Row],[Actual Delivery Date]]-Orders[[#This Row],[Order Date]])</f>
        <v>2</v>
      </c>
      <c r="T762" t="str">
        <f>IF(Orders[[#This Row],[Actual Delivery Date]]="","Pending",IF(Orders[[#This Row],[Actual Delivery Date]]&lt;=Orders[[#This Row],[Expected Delivery Date]],"On Time","Late"))</f>
        <v>On Time</v>
      </c>
      <c r="U762" t="str">
        <f>TEXT(Orders[[#This Row],[Order Date]],"mmm")</f>
        <v>May</v>
      </c>
      <c r="V762" s="8">
        <f>DATE(YEAR(Orders[[#This Row],[Order Date]]),MONTH(Orders[[#This Row],[Order Date]]),1)</f>
        <v>46143</v>
      </c>
      <c r="W762" s="5">
        <f>IF(Orders[[#This Row],[Order Status]]="Cancelled",Orders[[#This Row],[Net Sales]],0)</f>
        <v>0</v>
      </c>
    </row>
    <row r="763" spans="1:23" x14ac:dyDescent="0.3">
      <c r="A763" t="s">
        <v>1393</v>
      </c>
      <c r="B763" s="7">
        <v>46258</v>
      </c>
      <c r="C763" t="s">
        <v>285</v>
      </c>
      <c r="D763" t="s">
        <v>231</v>
      </c>
      <c r="E763" t="s">
        <v>79</v>
      </c>
      <c r="F763" t="s">
        <v>86</v>
      </c>
      <c r="G763" t="s">
        <v>180</v>
      </c>
      <c r="H763" t="s">
        <v>58</v>
      </c>
      <c r="I763">
        <v>1</v>
      </c>
      <c r="J763" s="5">
        <v>599</v>
      </c>
      <c r="K763" s="2">
        <v>0.05</v>
      </c>
      <c r="L763" t="s">
        <v>31</v>
      </c>
      <c r="M763" t="s">
        <v>47</v>
      </c>
      <c r="N763" s="1">
        <v>46263</v>
      </c>
      <c r="O763" s="1"/>
      <c r="P763" s="5">
        <f>Orders[[#This Row],[Quantity]]*Orders[[#This Row],[Unit Price]]</f>
        <v>599</v>
      </c>
      <c r="Q763" s="5">
        <f>Orders[[#This Row],[Gross Sales]]*Orders[[#This Row],[Discount %]]</f>
        <v>29.950000000000003</v>
      </c>
      <c r="R763" s="5">
        <f>Orders[[#This Row],[Gross Sales]]-Orders[[#This Row],[Discount Amount]]</f>
        <v>569.04999999999995</v>
      </c>
      <c r="S763" t="str">
        <f>IF(Orders[[#This Row],[Actual Delivery Date]]="","",Orders[[#This Row],[Actual Delivery Date]]-Orders[[#This Row],[Order Date]])</f>
        <v/>
      </c>
      <c r="T763" t="str">
        <f>IF(Orders[[#This Row],[Actual Delivery Date]]="","Pending",IF(Orders[[#This Row],[Actual Delivery Date]]&lt;=Orders[[#This Row],[Expected Delivery Date]],"On Time","Late"))</f>
        <v>Pending</v>
      </c>
      <c r="U763" t="str">
        <f>TEXT(Orders[[#This Row],[Order Date]],"mmm")</f>
        <v>Aug</v>
      </c>
      <c r="V763" s="8">
        <f>DATE(YEAR(Orders[[#This Row],[Order Date]]),MONTH(Orders[[#This Row],[Order Date]]),1)</f>
        <v>46235</v>
      </c>
      <c r="W763" s="5">
        <f>IF(Orders[[#This Row],[Order Status]]="Cancelled",Orders[[#This Row],[Net Sales]],0)</f>
        <v>0</v>
      </c>
    </row>
    <row r="764" spans="1:23" x14ac:dyDescent="0.3">
      <c r="A764" t="s">
        <v>1394</v>
      </c>
      <c r="B764" s="7">
        <v>46224</v>
      </c>
      <c r="C764" t="s">
        <v>1395</v>
      </c>
      <c r="D764" t="s">
        <v>1128</v>
      </c>
      <c r="E764" t="s">
        <v>18</v>
      </c>
      <c r="F764" t="s">
        <v>121</v>
      </c>
      <c r="G764" t="s">
        <v>37</v>
      </c>
      <c r="H764" t="s">
        <v>38</v>
      </c>
      <c r="I764">
        <v>2</v>
      </c>
      <c r="J764" s="5">
        <v>699</v>
      </c>
      <c r="K764" s="2">
        <v>0.05</v>
      </c>
      <c r="L764" t="s">
        <v>39</v>
      </c>
      <c r="M764" t="s">
        <v>23</v>
      </c>
      <c r="N764" s="1">
        <v>46226</v>
      </c>
      <c r="O764" s="1">
        <v>46226</v>
      </c>
      <c r="P764" s="5">
        <f>Orders[[#This Row],[Quantity]]*Orders[[#This Row],[Unit Price]]</f>
        <v>1398</v>
      </c>
      <c r="Q764" s="5">
        <f>Orders[[#This Row],[Gross Sales]]*Orders[[#This Row],[Discount %]]</f>
        <v>69.900000000000006</v>
      </c>
      <c r="R764" s="5">
        <f>Orders[[#This Row],[Gross Sales]]-Orders[[#This Row],[Discount Amount]]</f>
        <v>1328.1</v>
      </c>
      <c r="S764">
        <f>IF(Orders[[#This Row],[Actual Delivery Date]]="","",Orders[[#This Row],[Actual Delivery Date]]-Orders[[#This Row],[Order Date]])</f>
        <v>2</v>
      </c>
      <c r="T764" t="str">
        <f>IF(Orders[[#This Row],[Actual Delivery Date]]="","Pending",IF(Orders[[#This Row],[Actual Delivery Date]]&lt;=Orders[[#This Row],[Expected Delivery Date]],"On Time","Late"))</f>
        <v>On Time</v>
      </c>
      <c r="U764" t="str">
        <f>TEXT(Orders[[#This Row],[Order Date]],"mmm")</f>
        <v>Jul</v>
      </c>
      <c r="V764" s="8">
        <f>DATE(YEAR(Orders[[#This Row],[Order Date]]),MONTH(Orders[[#This Row],[Order Date]]),1)</f>
        <v>46204</v>
      </c>
      <c r="W764" s="5">
        <f>IF(Orders[[#This Row],[Order Status]]="Cancelled",Orders[[#This Row],[Net Sales]],0)</f>
        <v>0</v>
      </c>
    </row>
    <row r="765" spans="1:23" x14ac:dyDescent="0.3">
      <c r="A765" t="s">
        <v>1396</v>
      </c>
      <c r="B765" s="7">
        <v>46216</v>
      </c>
      <c r="C765" t="s">
        <v>145</v>
      </c>
      <c r="D765" t="s">
        <v>1267</v>
      </c>
      <c r="E765" t="s">
        <v>27</v>
      </c>
      <c r="F765" t="s">
        <v>28</v>
      </c>
      <c r="G765" t="s">
        <v>81</v>
      </c>
      <c r="H765" t="s">
        <v>30</v>
      </c>
      <c r="I765">
        <v>1</v>
      </c>
      <c r="J765" s="5">
        <v>899</v>
      </c>
      <c r="K765" s="2">
        <v>0</v>
      </c>
      <c r="L765" t="s">
        <v>39</v>
      </c>
      <c r="M765" t="s">
        <v>82</v>
      </c>
      <c r="N765" s="1">
        <v>46223</v>
      </c>
      <c r="O765" s="1">
        <v>46225</v>
      </c>
      <c r="P765" s="5">
        <f>Orders[[#This Row],[Quantity]]*Orders[[#This Row],[Unit Price]]</f>
        <v>899</v>
      </c>
      <c r="Q765" s="5">
        <f>Orders[[#This Row],[Gross Sales]]*Orders[[#This Row],[Discount %]]</f>
        <v>0</v>
      </c>
      <c r="R765" s="5">
        <f>Orders[[#This Row],[Gross Sales]]-Orders[[#This Row],[Discount Amount]]</f>
        <v>899</v>
      </c>
      <c r="S765">
        <f>IF(Orders[[#This Row],[Actual Delivery Date]]="","",Orders[[#This Row],[Actual Delivery Date]]-Orders[[#This Row],[Order Date]])</f>
        <v>9</v>
      </c>
      <c r="T765" t="str">
        <f>IF(Orders[[#This Row],[Actual Delivery Date]]="","Pending",IF(Orders[[#This Row],[Actual Delivery Date]]&lt;=Orders[[#This Row],[Expected Delivery Date]],"On Time","Late"))</f>
        <v>Late</v>
      </c>
      <c r="U765" t="str">
        <f>TEXT(Orders[[#This Row],[Order Date]],"mmm")</f>
        <v>Jul</v>
      </c>
      <c r="V765" s="8">
        <f>DATE(YEAR(Orders[[#This Row],[Order Date]]),MONTH(Orders[[#This Row],[Order Date]]),1)</f>
        <v>46204</v>
      </c>
      <c r="W765" s="5">
        <f>IF(Orders[[#This Row],[Order Status]]="Cancelled",Orders[[#This Row],[Net Sales]],0)</f>
        <v>0</v>
      </c>
    </row>
    <row r="766" spans="1:23" x14ac:dyDescent="0.3">
      <c r="A766" t="s">
        <v>1397</v>
      </c>
      <c r="B766" s="7">
        <v>46027</v>
      </c>
      <c r="C766" t="s">
        <v>593</v>
      </c>
      <c r="D766" t="s">
        <v>1004</v>
      </c>
      <c r="E766" t="s">
        <v>35</v>
      </c>
      <c r="F766" t="s">
        <v>68</v>
      </c>
      <c r="G766" t="s">
        <v>81</v>
      </c>
      <c r="H766" t="s">
        <v>30</v>
      </c>
      <c r="I766">
        <v>4</v>
      </c>
      <c r="J766" s="5">
        <v>899</v>
      </c>
      <c r="K766" s="2">
        <v>0</v>
      </c>
      <c r="L766" t="s">
        <v>22</v>
      </c>
      <c r="M766" t="s">
        <v>59</v>
      </c>
      <c r="N766" s="1">
        <v>46031</v>
      </c>
      <c r="O766" s="1">
        <v>46028</v>
      </c>
      <c r="P766" s="5">
        <f>Orders[[#This Row],[Quantity]]*Orders[[#This Row],[Unit Price]]</f>
        <v>3596</v>
      </c>
      <c r="Q766" s="5">
        <f>Orders[[#This Row],[Gross Sales]]*Orders[[#This Row],[Discount %]]</f>
        <v>0</v>
      </c>
      <c r="R766" s="5">
        <f>Orders[[#This Row],[Gross Sales]]-Orders[[#This Row],[Discount Amount]]</f>
        <v>3596</v>
      </c>
      <c r="S766">
        <f>IF(Orders[[#This Row],[Actual Delivery Date]]="","",Orders[[#This Row],[Actual Delivery Date]]-Orders[[#This Row],[Order Date]])</f>
        <v>1</v>
      </c>
      <c r="T766" t="str">
        <f>IF(Orders[[#This Row],[Actual Delivery Date]]="","Pending",IF(Orders[[#This Row],[Actual Delivery Date]]&lt;=Orders[[#This Row],[Expected Delivery Date]],"On Time","Late"))</f>
        <v>On Time</v>
      </c>
      <c r="U766" t="str">
        <f>TEXT(Orders[[#This Row],[Order Date]],"mmm")</f>
        <v>Jan</v>
      </c>
      <c r="V766" s="8">
        <f>DATE(YEAR(Orders[[#This Row],[Order Date]]),MONTH(Orders[[#This Row],[Order Date]]),1)</f>
        <v>46023</v>
      </c>
      <c r="W766" s="5">
        <f>IF(Orders[[#This Row],[Order Status]]="Cancelled",Orders[[#This Row],[Net Sales]],0)</f>
        <v>3596</v>
      </c>
    </row>
    <row r="767" spans="1:23" x14ac:dyDescent="0.3">
      <c r="A767" t="s">
        <v>1398</v>
      </c>
      <c r="B767" s="7">
        <v>46192</v>
      </c>
      <c r="C767" t="s">
        <v>270</v>
      </c>
      <c r="D767" t="s">
        <v>1399</v>
      </c>
      <c r="E767" t="s">
        <v>79</v>
      </c>
      <c r="F767" t="s">
        <v>170</v>
      </c>
      <c r="G767" t="s">
        <v>131</v>
      </c>
      <c r="H767" t="s">
        <v>38</v>
      </c>
      <c r="I767">
        <v>2</v>
      </c>
      <c r="J767" s="5">
        <v>899</v>
      </c>
      <c r="K767" s="2">
        <v>0.05</v>
      </c>
      <c r="L767" t="s">
        <v>39</v>
      </c>
      <c r="M767" t="s">
        <v>47</v>
      </c>
      <c r="N767" s="1">
        <v>46199</v>
      </c>
      <c r="O767" s="1"/>
      <c r="P767" s="5">
        <f>Orders[[#This Row],[Quantity]]*Orders[[#This Row],[Unit Price]]</f>
        <v>1798</v>
      </c>
      <c r="Q767" s="5">
        <f>Orders[[#This Row],[Gross Sales]]*Orders[[#This Row],[Discount %]]</f>
        <v>89.9</v>
      </c>
      <c r="R767" s="5">
        <f>Orders[[#This Row],[Gross Sales]]-Orders[[#This Row],[Discount Amount]]</f>
        <v>1708.1</v>
      </c>
      <c r="S767" t="str">
        <f>IF(Orders[[#This Row],[Actual Delivery Date]]="","",Orders[[#This Row],[Actual Delivery Date]]-Orders[[#This Row],[Order Date]])</f>
        <v/>
      </c>
      <c r="T767" t="str">
        <f>IF(Orders[[#This Row],[Actual Delivery Date]]="","Pending",IF(Orders[[#This Row],[Actual Delivery Date]]&lt;=Orders[[#This Row],[Expected Delivery Date]],"On Time","Late"))</f>
        <v>Pending</v>
      </c>
      <c r="U767" t="str">
        <f>TEXT(Orders[[#This Row],[Order Date]],"mmm")</f>
        <v>Jun</v>
      </c>
      <c r="V767" s="8">
        <f>DATE(YEAR(Orders[[#This Row],[Order Date]]),MONTH(Orders[[#This Row],[Order Date]]),1)</f>
        <v>46174</v>
      </c>
      <c r="W767" s="5">
        <f>IF(Orders[[#This Row],[Order Status]]="Cancelled",Orders[[#This Row],[Net Sales]],0)</f>
        <v>0</v>
      </c>
    </row>
    <row r="768" spans="1:23" x14ac:dyDescent="0.3">
      <c r="A768" t="s">
        <v>1400</v>
      </c>
      <c r="B768" s="7">
        <v>46301</v>
      </c>
      <c r="C768" t="s">
        <v>936</v>
      </c>
      <c r="D768" t="s">
        <v>500</v>
      </c>
      <c r="E768" t="s">
        <v>18</v>
      </c>
      <c r="F768" t="s">
        <v>19</v>
      </c>
      <c r="G768" t="s">
        <v>75</v>
      </c>
      <c r="H768" t="s">
        <v>45</v>
      </c>
      <c r="I768">
        <v>1</v>
      </c>
      <c r="J768" s="5">
        <v>799</v>
      </c>
      <c r="K768" s="2">
        <v>0.2</v>
      </c>
      <c r="L768" t="s">
        <v>70</v>
      </c>
      <c r="M768" t="s">
        <v>23</v>
      </c>
      <c r="N768" s="1">
        <v>46303</v>
      </c>
      <c r="O768" s="1">
        <v>46304</v>
      </c>
      <c r="P768" s="5">
        <f>Orders[[#This Row],[Quantity]]*Orders[[#This Row],[Unit Price]]</f>
        <v>799</v>
      </c>
      <c r="Q768" s="5">
        <f>Orders[[#This Row],[Gross Sales]]*Orders[[#This Row],[Discount %]]</f>
        <v>159.80000000000001</v>
      </c>
      <c r="R768" s="5">
        <f>Orders[[#This Row],[Gross Sales]]-Orders[[#This Row],[Discount Amount]]</f>
        <v>639.20000000000005</v>
      </c>
      <c r="S768">
        <f>IF(Orders[[#This Row],[Actual Delivery Date]]="","",Orders[[#This Row],[Actual Delivery Date]]-Orders[[#This Row],[Order Date]])</f>
        <v>3</v>
      </c>
      <c r="T768" t="str">
        <f>IF(Orders[[#This Row],[Actual Delivery Date]]="","Pending",IF(Orders[[#This Row],[Actual Delivery Date]]&lt;=Orders[[#This Row],[Expected Delivery Date]],"On Time","Late"))</f>
        <v>Late</v>
      </c>
      <c r="U768" t="str">
        <f>TEXT(Orders[[#This Row],[Order Date]],"mmm")</f>
        <v>Oct</v>
      </c>
      <c r="V768" s="8">
        <f>DATE(YEAR(Orders[[#This Row],[Order Date]]),MONTH(Orders[[#This Row],[Order Date]]),1)</f>
        <v>46296</v>
      </c>
      <c r="W768" s="5">
        <f>IF(Orders[[#This Row],[Order Status]]="Cancelled",Orders[[#This Row],[Net Sales]],0)</f>
        <v>0</v>
      </c>
    </row>
    <row r="769" spans="1:23" x14ac:dyDescent="0.3">
      <c r="A769" t="s">
        <v>1401</v>
      </c>
      <c r="B769" s="7">
        <v>46138</v>
      </c>
      <c r="C769" t="s">
        <v>354</v>
      </c>
      <c r="D769" t="s">
        <v>231</v>
      </c>
      <c r="E769" t="s">
        <v>79</v>
      </c>
      <c r="F769" t="s">
        <v>108</v>
      </c>
      <c r="G769" t="s">
        <v>186</v>
      </c>
      <c r="H769" t="s">
        <v>21</v>
      </c>
      <c r="I769">
        <v>4</v>
      </c>
      <c r="J769" s="5">
        <v>1999</v>
      </c>
      <c r="K769" s="2">
        <v>0.15</v>
      </c>
      <c r="L769" t="s">
        <v>39</v>
      </c>
      <c r="M769" t="s">
        <v>23</v>
      </c>
      <c r="N769" s="1">
        <v>46141</v>
      </c>
      <c r="O769" s="1">
        <v>46143</v>
      </c>
      <c r="P769" s="5">
        <f>Orders[[#This Row],[Quantity]]*Orders[[#This Row],[Unit Price]]</f>
        <v>7996</v>
      </c>
      <c r="Q769" s="5">
        <f>Orders[[#This Row],[Gross Sales]]*Orders[[#This Row],[Discount %]]</f>
        <v>1199.3999999999999</v>
      </c>
      <c r="R769" s="5">
        <f>Orders[[#This Row],[Gross Sales]]-Orders[[#This Row],[Discount Amount]]</f>
        <v>6796.6</v>
      </c>
      <c r="S769">
        <f>IF(Orders[[#This Row],[Actual Delivery Date]]="","",Orders[[#This Row],[Actual Delivery Date]]-Orders[[#This Row],[Order Date]])</f>
        <v>5</v>
      </c>
      <c r="T769" t="str">
        <f>IF(Orders[[#This Row],[Actual Delivery Date]]="","Pending",IF(Orders[[#This Row],[Actual Delivery Date]]&lt;=Orders[[#This Row],[Expected Delivery Date]],"On Time","Late"))</f>
        <v>Late</v>
      </c>
      <c r="U769" t="str">
        <f>TEXT(Orders[[#This Row],[Order Date]],"mmm")</f>
        <v>Apr</v>
      </c>
      <c r="V769" s="8">
        <f>DATE(YEAR(Orders[[#This Row],[Order Date]]),MONTH(Orders[[#This Row],[Order Date]]),1)</f>
        <v>46113</v>
      </c>
      <c r="W769" s="5">
        <f>IF(Orders[[#This Row],[Order Status]]="Cancelled",Orders[[#This Row],[Net Sales]],0)</f>
        <v>0</v>
      </c>
    </row>
    <row r="770" spans="1:23" x14ac:dyDescent="0.3">
      <c r="A770" t="s">
        <v>1402</v>
      </c>
      <c r="B770" s="7">
        <v>46083</v>
      </c>
      <c r="C770" t="s">
        <v>151</v>
      </c>
      <c r="D770" t="s">
        <v>565</v>
      </c>
      <c r="E770" t="s">
        <v>35</v>
      </c>
      <c r="F770" t="s">
        <v>135</v>
      </c>
      <c r="G770" t="s">
        <v>91</v>
      </c>
      <c r="H770" t="s">
        <v>30</v>
      </c>
      <c r="I770">
        <v>1</v>
      </c>
      <c r="J770" s="5">
        <v>3299</v>
      </c>
      <c r="K770" s="2">
        <v>0</v>
      </c>
      <c r="L770" t="s">
        <v>39</v>
      </c>
      <c r="M770" t="s">
        <v>47</v>
      </c>
      <c r="N770" s="1">
        <v>46086</v>
      </c>
      <c r="O770" s="1"/>
      <c r="P770" s="5">
        <f>Orders[[#This Row],[Quantity]]*Orders[[#This Row],[Unit Price]]</f>
        <v>3299</v>
      </c>
      <c r="Q770" s="5">
        <f>Orders[[#This Row],[Gross Sales]]*Orders[[#This Row],[Discount %]]</f>
        <v>0</v>
      </c>
      <c r="R770" s="5">
        <f>Orders[[#This Row],[Gross Sales]]-Orders[[#This Row],[Discount Amount]]</f>
        <v>3299</v>
      </c>
      <c r="S770" t="str">
        <f>IF(Orders[[#This Row],[Actual Delivery Date]]="","",Orders[[#This Row],[Actual Delivery Date]]-Orders[[#This Row],[Order Date]])</f>
        <v/>
      </c>
      <c r="T770" t="str">
        <f>IF(Orders[[#This Row],[Actual Delivery Date]]="","Pending",IF(Orders[[#This Row],[Actual Delivery Date]]&lt;=Orders[[#This Row],[Expected Delivery Date]],"On Time","Late"))</f>
        <v>Pending</v>
      </c>
      <c r="U770" t="str">
        <f>TEXT(Orders[[#This Row],[Order Date]],"mmm")</f>
        <v>Mar</v>
      </c>
      <c r="V770" s="8">
        <f>DATE(YEAR(Orders[[#This Row],[Order Date]]),MONTH(Orders[[#This Row],[Order Date]]),1)</f>
        <v>46082</v>
      </c>
      <c r="W770" s="5">
        <f>IF(Orders[[#This Row],[Order Status]]="Cancelled",Orders[[#This Row],[Net Sales]],0)</f>
        <v>0</v>
      </c>
    </row>
    <row r="771" spans="1:23" x14ac:dyDescent="0.3">
      <c r="A771" t="s">
        <v>1403</v>
      </c>
      <c r="B771" s="7">
        <v>46364</v>
      </c>
      <c r="C771" t="s">
        <v>1142</v>
      </c>
      <c r="D771" t="s">
        <v>134</v>
      </c>
      <c r="E771" t="s">
        <v>35</v>
      </c>
      <c r="F771" t="s">
        <v>68</v>
      </c>
      <c r="G771" t="s">
        <v>180</v>
      </c>
      <c r="H771" t="s">
        <v>58</v>
      </c>
      <c r="I771">
        <v>2</v>
      </c>
      <c r="J771" s="5">
        <v>599</v>
      </c>
      <c r="K771" s="2">
        <v>0.2</v>
      </c>
      <c r="L771" t="s">
        <v>46</v>
      </c>
      <c r="M771" t="s">
        <v>23</v>
      </c>
      <c r="N771" s="1">
        <v>46366</v>
      </c>
      <c r="O771" s="1">
        <v>46366</v>
      </c>
      <c r="P771" s="5">
        <f>Orders[[#This Row],[Quantity]]*Orders[[#This Row],[Unit Price]]</f>
        <v>1198</v>
      </c>
      <c r="Q771" s="5">
        <f>Orders[[#This Row],[Gross Sales]]*Orders[[#This Row],[Discount %]]</f>
        <v>239.60000000000002</v>
      </c>
      <c r="R771" s="5">
        <f>Orders[[#This Row],[Gross Sales]]-Orders[[#This Row],[Discount Amount]]</f>
        <v>958.4</v>
      </c>
      <c r="S771">
        <f>IF(Orders[[#This Row],[Actual Delivery Date]]="","",Orders[[#This Row],[Actual Delivery Date]]-Orders[[#This Row],[Order Date]])</f>
        <v>2</v>
      </c>
      <c r="T771" t="str">
        <f>IF(Orders[[#This Row],[Actual Delivery Date]]="","Pending",IF(Orders[[#This Row],[Actual Delivery Date]]&lt;=Orders[[#This Row],[Expected Delivery Date]],"On Time","Late"))</f>
        <v>On Time</v>
      </c>
      <c r="U771" t="str">
        <f>TEXT(Orders[[#This Row],[Order Date]],"mmm")</f>
        <v>Dec</v>
      </c>
      <c r="V771" s="8">
        <f>DATE(YEAR(Orders[[#This Row],[Order Date]]),MONTH(Orders[[#This Row],[Order Date]]),1)</f>
        <v>46357</v>
      </c>
      <c r="W771" s="5">
        <f>IF(Orders[[#This Row],[Order Status]]="Cancelled",Orders[[#This Row],[Net Sales]],0)</f>
        <v>0</v>
      </c>
    </row>
    <row r="772" spans="1:23" x14ac:dyDescent="0.3">
      <c r="A772" t="s">
        <v>1404</v>
      </c>
      <c r="B772" s="7">
        <v>46186</v>
      </c>
      <c r="C772" t="s">
        <v>416</v>
      </c>
      <c r="D772" t="s">
        <v>355</v>
      </c>
      <c r="E772" t="s">
        <v>18</v>
      </c>
      <c r="F772" t="s">
        <v>19</v>
      </c>
      <c r="G772" t="s">
        <v>37</v>
      </c>
      <c r="H772" t="s">
        <v>38</v>
      </c>
      <c r="I772">
        <v>1</v>
      </c>
      <c r="J772" s="5">
        <v>699</v>
      </c>
      <c r="K772" s="2">
        <v>0.15</v>
      </c>
      <c r="L772" t="s">
        <v>70</v>
      </c>
      <c r="M772" t="s">
        <v>82</v>
      </c>
      <c r="N772" s="1">
        <v>46188</v>
      </c>
      <c r="O772" s="1">
        <v>46188</v>
      </c>
      <c r="P772" s="5">
        <f>Orders[[#This Row],[Quantity]]*Orders[[#This Row],[Unit Price]]</f>
        <v>699</v>
      </c>
      <c r="Q772" s="5">
        <f>Orders[[#This Row],[Gross Sales]]*Orders[[#This Row],[Discount %]]</f>
        <v>104.85</v>
      </c>
      <c r="R772" s="5">
        <f>Orders[[#This Row],[Gross Sales]]-Orders[[#This Row],[Discount Amount]]</f>
        <v>594.15</v>
      </c>
      <c r="S772">
        <f>IF(Orders[[#This Row],[Actual Delivery Date]]="","",Orders[[#This Row],[Actual Delivery Date]]-Orders[[#This Row],[Order Date]])</f>
        <v>2</v>
      </c>
      <c r="T772" t="str">
        <f>IF(Orders[[#This Row],[Actual Delivery Date]]="","Pending",IF(Orders[[#This Row],[Actual Delivery Date]]&lt;=Orders[[#This Row],[Expected Delivery Date]],"On Time","Late"))</f>
        <v>On Time</v>
      </c>
      <c r="U772" t="str">
        <f>TEXT(Orders[[#This Row],[Order Date]],"mmm")</f>
        <v>Jun</v>
      </c>
      <c r="V772" s="8">
        <f>DATE(YEAR(Orders[[#This Row],[Order Date]]),MONTH(Orders[[#This Row],[Order Date]]),1)</f>
        <v>46174</v>
      </c>
      <c r="W772" s="5">
        <f>IF(Orders[[#This Row],[Order Status]]="Cancelled",Orders[[#This Row],[Net Sales]],0)</f>
        <v>0</v>
      </c>
    </row>
    <row r="773" spans="1:23" x14ac:dyDescent="0.3">
      <c r="A773" t="s">
        <v>1405</v>
      </c>
      <c r="B773" s="7">
        <v>46220</v>
      </c>
      <c r="C773" t="s">
        <v>600</v>
      </c>
      <c r="D773" t="s">
        <v>513</v>
      </c>
      <c r="E773" t="s">
        <v>18</v>
      </c>
      <c r="F773" t="s">
        <v>121</v>
      </c>
      <c r="G773" t="s">
        <v>37</v>
      </c>
      <c r="H773" t="s">
        <v>38</v>
      </c>
      <c r="I773">
        <v>1</v>
      </c>
      <c r="J773" s="5">
        <v>699</v>
      </c>
      <c r="K773" s="2">
        <v>0.15</v>
      </c>
      <c r="L773" t="s">
        <v>70</v>
      </c>
      <c r="M773" t="s">
        <v>23</v>
      </c>
      <c r="N773" s="1">
        <v>46227</v>
      </c>
      <c r="O773" s="1">
        <v>46230</v>
      </c>
      <c r="P773" s="5">
        <f>Orders[[#This Row],[Quantity]]*Orders[[#This Row],[Unit Price]]</f>
        <v>699</v>
      </c>
      <c r="Q773" s="5">
        <f>Orders[[#This Row],[Gross Sales]]*Orders[[#This Row],[Discount %]]</f>
        <v>104.85</v>
      </c>
      <c r="R773" s="5">
        <f>Orders[[#This Row],[Gross Sales]]-Orders[[#This Row],[Discount Amount]]</f>
        <v>594.15</v>
      </c>
      <c r="S773">
        <f>IF(Orders[[#This Row],[Actual Delivery Date]]="","",Orders[[#This Row],[Actual Delivery Date]]-Orders[[#This Row],[Order Date]])</f>
        <v>10</v>
      </c>
      <c r="T773" t="str">
        <f>IF(Orders[[#This Row],[Actual Delivery Date]]="","Pending",IF(Orders[[#This Row],[Actual Delivery Date]]&lt;=Orders[[#This Row],[Expected Delivery Date]],"On Time","Late"))</f>
        <v>Late</v>
      </c>
      <c r="U773" t="str">
        <f>TEXT(Orders[[#This Row],[Order Date]],"mmm")</f>
        <v>Jul</v>
      </c>
      <c r="V773" s="8">
        <f>DATE(YEAR(Orders[[#This Row],[Order Date]]),MONTH(Orders[[#This Row],[Order Date]]),1)</f>
        <v>46204</v>
      </c>
      <c r="W773" s="5">
        <f>IF(Orders[[#This Row],[Order Status]]="Cancelled",Orders[[#This Row],[Net Sales]],0)</f>
        <v>0</v>
      </c>
    </row>
    <row r="774" spans="1:23" x14ac:dyDescent="0.3">
      <c r="A774" t="s">
        <v>1406</v>
      </c>
      <c r="B774" s="7">
        <v>46298</v>
      </c>
      <c r="C774" t="s">
        <v>491</v>
      </c>
      <c r="D774" t="s">
        <v>662</v>
      </c>
      <c r="E774" t="s">
        <v>79</v>
      </c>
      <c r="F774" t="s">
        <v>170</v>
      </c>
      <c r="G774" t="s">
        <v>100</v>
      </c>
      <c r="H774" t="s">
        <v>30</v>
      </c>
      <c r="I774">
        <v>2</v>
      </c>
      <c r="J774" s="5">
        <v>2499</v>
      </c>
      <c r="K774" s="2">
        <v>0.2</v>
      </c>
      <c r="L774" t="s">
        <v>22</v>
      </c>
      <c r="M774" t="s">
        <v>82</v>
      </c>
      <c r="N774" s="1">
        <v>46301</v>
      </c>
      <c r="O774" s="1">
        <v>46301</v>
      </c>
      <c r="P774" s="5">
        <f>Orders[[#This Row],[Quantity]]*Orders[[#This Row],[Unit Price]]</f>
        <v>4998</v>
      </c>
      <c r="Q774" s="5">
        <f>Orders[[#This Row],[Gross Sales]]*Orders[[#This Row],[Discount %]]</f>
        <v>999.6</v>
      </c>
      <c r="R774" s="5">
        <f>Orders[[#This Row],[Gross Sales]]-Orders[[#This Row],[Discount Amount]]</f>
        <v>3998.4</v>
      </c>
      <c r="S774">
        <f>IF(Orders[[#This Row],[Actual Delivery Date]]="","",Orders[[#This Row],[Actual Delivery Date]]-Orders[[#This Row],[Order Date]])</f>
        <v>3</v>
      </c>
      <c r="T774" t="str">
        <f>IF(Orders[[#This Row],[Actual Delivery Date]]="","Pending",IF(Orders[[#This Row],[Actual Delivery Date]]&lt;=Orders[[#This Row],[Expected Delivery Date]],"On Time","Late"))</f>
        <v>On Time</v>
      </c>
      <c r="U774" t="str">
        <f>TEXT(Orders[[#This Row],[Order Date]],"mmm")</f>
        <v>Oct</v>
      </c>
      <c r="V774" s="8">
        <f>DATE(YEAR(Orders[[#This Row],[Order Date]]),MONTH(Orders[[#This Row],[Order Date]]),1)</f>
        <v>46296</v>
      </c>
      <c r="W774" s="5">
        <f>IF(Orders[[#This Row],[Order Status]]="Cancelled",Orders[[#This Row],[Net Sales]],0)</f>
        <v>0</v>
      </c>
    </row>
    <row r="775" spans="1:23" x14ac:dyDescent="0.3">
      <c r="A775" t="s">
        <v>1407</v>
      </c>
      <c r="B775" s="7">
        <v>46024</v>
      </c>
      <c r="C775" t="s">
        <v>1264</v>
      </c>
      <c r="D775" t="s">
        <v>899</v>
      </c>
      <c r="E775" t="s">
        <v>27</v>
      </c>
      <c r="F775" t="s">
        <v>28</v>
      </c>
      <c r="G775" t="s">
        <v>131</v>
      </c>
      <c r="H775" t="s">
        <v>38</v>
      </c>
      <c r="I775">
        <v>1</v>
      </c>
      <c r="J775" s="5">
        <v>899</v>
      </c>
      <c r="K775" s="2">
        <v>0</v>
      </c>
      <c r="L775" t="s">
        <v>46</v>
      </c>
      <c r="M775" t="s">
        <v>47</v>
      </c>
      <c r="N775" s="1">
        <v>46029</v>
      </c>
      <c r="O775" s="1"/>
      <c r="P775" s="5">
        <f>Orders[[#This Row],[Quantity]]*Orders[[#This Row],[Unit Price]]</f>
        <v>899</v>
      </c>
      <c r="Q775" s="5">
        <f>Orders[[#This Row],[Gross Sales]]*Orders[[#This Row],[Discount %]]</f>
        <v>0</v>
      </c>
      <c r="R775" s="5">
        <f>Orders[[#This Row],[Gross Sales]]-Orders[[#This Row],[Discount Amount]]</f>
        <v>899</v>
      </c>
      <c r="S775" t="str">
        <f>IF(Orders[[#This Row],[Actual Delivery Date]]="","",Orders[[#This Row],[Actual Delivery Date]]-Orders[[#This Row],[Order Date]])</f>
        <v/>
      </c>
      <c r="T775" t="str">
        <f>IF(Orders[[#This Row],[Actual Delivery Date]]="","Pending",IF(Orders[[#This Row],[Actual Delivery Date]]&lt;=Orders[[#This Row],[Expected Delivery Date]],"On Time","Late"))</f>
        <v>Pending</v>
      </c>
      <c r="U775" t="str">
        <f>TEXT(Orders[[#This Row],[Order Date]],"mmm")</f>
        <v>Jan</v>
      </c>
      <c r="V775" s="8">
        <f>DATE(YEAR(Orders[[#This Row],[Order Date]]),MONTH(Orders[[#This Row],[Order Date]]),1)</f>
        <v>46023</v>
      </c>
      <c r="W775" s="5">
        <f>IF(Orders[[#This Row],[Order Status]]="Cancelled",Orders[[#This Row],[Net Sales]],0)</f>
        <v>0</v>
      </c>
    </row>
    <row r="776" spans="1:23" x14ac:dyDescent="0.3">
      <c r="A776" t="s">
        <v>1408</v>
      </c>
      <c r="B776" s="7">
        <v>46173</v>
      </c>
      <c r="C776" t="s">
        <v>600</v>
      </c>
      <c r="D776" t="s">
        <v>239</v>
      </c>
      <c r="E776" t="s">
        <v>18</v>
      </c>
      <c r="F776" t="s">
        <v>121</v>
      </c>
      <c r="G776" t="s">
        <v>20</v>
      </c>
      <c r="H776" t="s">
        <v>21</v>
      </c>
      <c r="I776">
        <v>2</v>
      </c>
      <c r="J776" s="5">
        <v>1799</v>
      </c>
      <c r="K776" s="2">
        <v>0.2</v>
      </c>
      <c r="L776" t="s">
        <v>70</v>
      </c>
      <c r="M776" t="s">
        <v>23</v>
      </c>
      <c r="N776" s="1">
        <v>46176</v>
      </c>
      <c r="O776" s="1">
        <v>46174</v>
      </c>
      <c r="P776" s="5">
        <f>Orders[[#This Row],[Quantity]]*Orders[[#This Row],[Unit Price]]</f>
        <v>3598</v>
      </c>
      <c r="Q776" s="5">
        <f>Orders[[#This Row],[Gross Sales]]*Orders[[#This Row],[Discount %]]</f>
        <v>719.6</v>
      </c>
      <c r="R776" s="5">
        <f>Orders[[#This Row],[Gross Sales]]-Orders[[#This Row],[Discount Amount]]</f>
        <v>2878.4</v>
      </c>
      <c r="S776">
        <f>IF(Orders[[#This Row],[Actual Delivery Date]]="","",Orders[[#This Row],[Actual Delivery Date]]-Orders[[#This Row],[Order Date]])</f>
        <v>1</v>
      </c>
      <c r="T776" t="str">
        <f>IF(Orders[[#This Row],[Actual Delivery Date]]="","Pending",IF(Orders[[#This Row],[Actual Delivery Date]]&lt;=Orders[[#This Row],[Expected Delivery Date]],"On Time","Late"))</f>
        <v>On Time</v>
      </c>
      <c r="U776" t="str">
        <f>TEXT(Orders[[#This Row],[Order Date]],"mmm")</f>
        <v>May</v>
      </c>
      <c r="V776" s="8">
        <f>DATE(YEAR(Orders[[#This Row],[Order Date]]),MONTH(Orders[[#This Row],[Order Date]]),1)</f>
        <v>46143</v>
      </c>
      <c r="W776" s="5">
        <f>IF(Orders[[#This Row],[Order Status]]="Cancelled",Orders[[#This Row],[Net Sales]],0)</f>
        <v>0</v>
      </c>
    </row>
    <row r="777" spans="1:23" x14ac:dyDescent="0.3">
      <c r="A777" t="s">
        <v>1409</v>
      </c>
      <c r="B777" s="7">
        <v>46213</v>
      </c>
      <c r="C777" t="s">
        <v>437</v>
      </c>
      <c r="D777" t="s">
        <v>687</v>
      </c>
      <c r="E777" t="s">
        <v>27</v>
      </c>
      <c r="F777" t="s">
        <v>74</v>
      </c>
      <c r="G777" t="s">
        <v>160</v>
      </c>
      <c r="H777" t="s">
        <v>45</v>
      </c>
      <c r="I777">
        <v>1</v>
      </c>
      <c r="J777" s="5">
        <v>1499</v>
      </c>
      <c r="K777" s="2">
        <v>0</v>
      </c>
      <c r="L777" t="s">
        <v>22</v>
      </c>
      <c r="M777" t="s">
        <v>23</v>
      </c>
      <c r="N777" s="1">
        <v>46218</v>
      </c>
      <c r="O777" s="1">
        <v>46215</v>
      </c>
      <c r="P777" s="5">
        <f>Orders[[#This Row],[Quantity]]*Orders[[#This Row],[Unit Price]]</f>
        <v>1499</v>
      </c>
      <c r="Q777" s="5">
        <f>Orders[[#This Row],[Gross Sales]]*Orders[[#This Row],[Discount %]]</f>
        <v>0</v>
      </c>
      <c r="R777" s="5">
        <f>Orders[[#This Row],[Gross Sales]]-Orders[[#This Row],[Discount Amount]]</f>
        <v>1499</v>
      </c>
      <c r="S777">
        <f>IF(Orders[[#This Row],[Actual Delivery Date]]="","",Orders[[#This Row],[Actual Delivery Date]]-Orders[[#This Row],[Order Date]])</f>
        <v>2</v>
      </c>
      <c r="T777" t="str">
        <f>IF(Orders[[#This Row],[Actual Delivery Date]]="","Pending",IF(Orders[[#This Row],[Actual Delivery Date]]&lt;=Orders[[#This Row],[Expected Delivery Date]],"On Time","Late"))</f>
        <v>On Time</v>
      </c>
      <c r="U777" t="str">
        <f>TEXT(Orders[[#This Row],[Order Date]],"mmm")</f>
        <v>Jul</v>
      </c>
      <c r="V777" s="8">
        <f>DATE(YEAR(Orders[[#This Row],[Order Date]]),MONTH(Orders[[#This Row],[Order Date]]),1)</f>
        <v>46204</v>
      </c>
      <c r="W777" s="5">
        <f>IF(Orders[[#This Row],[Order Status]]="Cancelled",Orders[[#This Row],[Net Sales]],0)</f>
        <v>0</v>
      </c>
    </row>
    <row r="778" spans="1:23" x14ac:dyDescent="0.3">
      <c r="A778" t="s">
        <v>1410</v>
      </c>
      <c r="B778" s="7">
        <v>46062</v>
      </c>
      <c r="C778" t="s">
        <v>129</v>
      </c>
      <c r="D778" t="s">
        <v>713</v>
      </c>
      <c r="E778" t="s">
        <v>35</v>
      </c>
      <c r="F778" t="s">
        <v>68</v>
      </c>
      <c r="G778" t="s">
        <v>52</v>
      </c>
      <c r="H778" t="s">
        <v>45</v>
      </c>
      <c r="I778">
        <v>1</v>
      </c>
      <c r="J778" s="5">
        <v>1299</v>
      </c>
      <c r="K778" s="2">
        <v>0.15</v>
      </c>
      <c r="L778" t="s">
        <v>31</v>
      </c>
      <c r="M778" t="s">
        <v>82</v>
      </c>
      <c r="N778" s="1">
        <v>46065</v>
      </c>
      <c r="O778" s="1">
        <v>46063</v>
      </c>
      <c r="P778" s="5">
        <f>Orders[[#This Row],[Quantity]]*Orders[[#This Row],[Unit Price]]</f>
        <v>1299</v>
      </c>
      <c r="Q778" s="5">
        <f>Orders[[#This Row],[Gross Sales]]*Orders[[#This Row],[Discount %]]</f>
        <v>194.85</v>
      </c>
      <c r="R778" s="5">
        <f>Orders[[#This Row],[Gross Sales]]-Orders[[#This Row],[Discount Amount]]</f>
        <v>1104.1500000000001</v>
      </c>
      <c r="S778">
        <f>IF(Orders[[#This Row],[Actual Delivery Date]]="","",Orders[[#This Row],[Actual Delivery Date]]-Orders[[#This Row],[Order Date]])</f>
        <v>1</v>
      </c>
      <c r="T778" t="str">
        <f>IF(Orders[[#This Row],[Actual Delivery Date]]="","Pending",IF(Orders[[#This Row],[Actual Delivery Date]]&lt;=Orders[[#This Row],[Expected Delivery Date]],"On Time","Late"))</f>
        <v>On Time</v>
      </c>
      <c r="U778" t="str">
        <f>TEXT(Orders[[#This Row],[Order Date]],"mmm")</f>
        <v>Feb</v>
      </c>
      <c r="V778" s="8">
        <f>DATE(YEAR(Orders[[#This Row],[Order Date]]),MONTH(Orders[[#This Row],[Order Date]]),1)</f>
        <v>46054</v>
      </c>
      <c r="W778" s="5">
        <f>IF(Orders[[#This Row],[Order Status]]="Cancelled",Orders[[#This Row],[Net Sales]],0)</f>
        <v>0</v>
      </c>
    </row>
    <row r="779" spans="1:23" x14ac:dyDescent="0.3">
      <c r="A779" t="s">
        <v>1411</v>
      </c>
      <c r="B779" s="7">
        <v>46353</v>
      </c>
      <c r="C779" t="s">
        <v>698</v>
      </c>
      <c r="D779" t="s">
        <v>723</v>
      </c>
      <c r="E779" t="s">
        <v>79</v>
      </c>
      <c r="F779" t="s">
        <v>170</v>
      </c>
      <c r="G779" t="s">
        <v>218</v>
      </c>
      <c r="H779" t="s">
        <v>21</v>
      </c>
      <c r="I779">
        <v>2</v>
      </c>
      <c r="J779" s="5">
        <v>2999</v>
      </c>
      <c r="K779" s="2">
        <v>0.1</v>
      </c>
      <c r="L779" t="s">
        <v>39</v>
      </c>
      <c r="M779" t="s">
        <v>23</v>
      </c>
      <c r="N779" s="1">
        <v>46355</v>
      </c>
      <c r="O779" s="1">
        <v>46356</v>
      </c>
      <c r="P779" s="5">
        <f>Orders[[#This Row],[Quantity]]*Orders[[#This Row],[Unit Price]]</f>
        <v>5998</v>
      </c>
      <c r="Q779" s="5">
        <f>Orders[[#This Row],[Gross Sales]]*Orders[[#This Row],[Discount %]]</f>
        <v>599.80000000000007</v>
      </c>
      <c r="R779" s="5">
        <f>Orders[[#This Row],[Gross Sales]]-Orders[[#This Row],[Discount Amount]]</f>
        <v>5398.2</v>
      </c>
      <c r="S779">
        <f>IF(Orders[[#This Row],[Actual Delivery Date]]="","",Orders[[#This Row],[Actual Delivery Date]]-Orders[[#This Row],[Order Date]])</f>
        <v>3</v>
      </c>
      <c r="T779" t="str">
        <f>IF(Orders[[#This Row],[Actual Delivery Date]]="","Pending",IF(Orders[[#This Row],[Actual Delivery Date]]&lt;=Orders[[#This Row],[Expected Delivery Date]],"On Time","Late"))</f>
        <v>Late</v>
      </c>
      <c r="U779" t="str">
        <f>TEXT(Orders[[#This Row],[Order Date]],"mmm")</f>
        <v>Nov</v>
      </c>
      <c r="V779" s="8">
        <f>DATE(YEAR(Orders[[#This Row],[Order Date]]),MONTH(Orders[[#This Row],[Order Date]]),1)</f>
        <v>46327</v>
      </c>
      <c r="W779" s="5">
        <f>IF(Orders[[#This Row],[Order Status]]="Cancelled",Orders[[#This Row],[Net Sales]],0)</f>
        <v>0</v>
      </c>
    </row>
    <row r="780" spans="1:23" x14ac:dyDescent="0.3">
      <c r="A780" t="s">
        <v>1412</v>
      </c>
      <c r="B780" s="7">
        <v>46371</v>
      </c>
      <c r="C780" t="s">
        <v>936</v>
      </c>
      <c r="D780" t="s">
        <v>26</v>
      </c>
      <c r="E780" t="s">
        <v>27</v>
      </c>
      <c r="F780" t="s">
        <v>28</v>
      </c>
      <c r="G780" t="s">
        <v>57</v>
      </c>
      <c r="H780" t="s">
        <v>58</v>
      </c>
      <c r="I780">
        <v>4</v>
      </c>
      <c r="J780" s="5">
        <v>499</v>
      </c>
      <c r="K780" s="2">
        <v>0.15</v>
      </c>
      <c r="L780" t="s">
        <v>22</v>
      </c>
      <c r="M780" t="s">
        <v>59</v>
      </c>
      <c r="N780" s="1">
        <v>46375</v>
      </c>
      <c r="O780" s="1">
        <v>46378</v>
      </c>
      <c r="P780" s="5">
        <f>Orders[[#This Row],[Quantity]]*Orders[[#This Row],[Unit Price]]</f>
        <v>1996</v>
      </c>
      <c r="Q780" s="5">
        <f>Orders[[#This Row],[Gross Sales]]*Orders[[#This Row],[Discount %]]</f>
        <v>299.39999999999998</v>
      </c>
      <c r="R780" s="5">
        <f>Orders[[#This Row],[Gross Sales]]-Orders[[#This Row],[Discount Amount]]</f>
        <v>1696.6</v>
      </c>
      <c r="S780">
        <f>IF(Orders[[#This Row],[Actual Delivery Date]]="","",Orders[[#This Row],[Actual Delivery Date]]-Orders[[#This Row],[Order Date]])</f>
        <v>7</v>
      </c>
      <c r="T780" t="str">
        <f>IF(Orders[[#This Row],[Actual Delivery Date]]="","Pending",IF(Orders[[#This Row],[Actual Delivery Date]]&lt;=Orders[[#This Row],[Expected Delivery Date]],"On Time","Late"))</f>
        <v>Late</v>
      </c>
      <c r="U780" t="str">
        <f>TEXT(Orders[[#This Row],[Order Date]],"mmm")</f>
        <v>Dec</v>
      </c>
      <c r="V780" s="8">
        <f>DATE(YEAR(Orders[[#This Row],[Order Date]]),MONTH(Orders[[#This Row],[Order Date]]),1)</f>
        <v>46357</v>
      </c>
      <c r="W780" s="5">
        <f>IF(Orders[[#This Row],[Order Status]]="Cancelled",Orders[[#This Row],[Net Sales]],0)</f>
        <v>1696.6</v>
      </c>
    </row>
    <row r="781" spans="1:23" x14ac:dyDescent="0.3">
      <c r="A781" t="s">
        <v>1413</v>
      </c>
      <c r="B781" s="7">
        <v>46216</v>
      </c>
      <c r="C781" t="s">
        <v>515</v>
      </c>
      <c r="D781" t="s">
        <v>1414</v>
      </c>
      <c r="E781" t="s">
        <v>27</v>
      </c>
      <c r="F781" t="s">
        <v>51</v>
      </c>
      <c r="G781" t="s">
        <v>44</v>
      </c>
      <c r="H781" t="s">
        <v>45</v>
      </c>
      <c r="I781">
        <v>5</v>
      </c>
      <c r="J781" s="5">
        <v>1799</v>
      </c>
      <c r="K781" s="2">
        <v>0.05</v>
      </c>
      <c r="L781" t="s">
        <v>31</v>
      </c>
      <c r="M781" t="s">
        <v>23</v>
      </c>
      <c r="N781" s="1">
        <v>46222</v>
      </c>
      <c r="O781" s="1">
        <v>46220</v>
      </c>
      <c r="P781" s="5">
        <f>Orders[[#This Row],[Quantity]]*Orders[[#This Row],[Unit Price]]</f>
        <v>8995</v>
      </c>
      <c r="Q781" s="5">
        <f>Orders[[#This Row],[Gross Sales]]*Orders[[#This Row],[Discount %]]</f>
        <v>449.75</v>
      </c>
      <c r="R781" s="5">
        <f>Orders[[#This Row],[Gross Sales]]-Orders[[#This Row],[Discount Amount]]</f>
        <v>8545.25</v>
      </c>
      <c r="S781">
        <f>IF(Orders[[#This Row],[Actual Delivery Date]]="","",Orders[[#This Row],[Actual Delivery Date]]-Orders[[#This Row],[Order Date]])</f>
        <v>4</v>
      </c>
      <c r="T781" t="str">
        <f>IF(Orders[[#This Row],[Actual Delivery Date]]="","Pending",IF(Orders[[#This Row],[Actual Delivery Date]]&lt;=Orders[[#This Row],[Expected Delivery Date]],"On Time","Late"))</f>
        <v>On Time</v>
      </c>
      <c r="U781" t="str">
        <f>TEXT(Orders[[#This Row],[Order Date]],"mmm")</f>
        <v>Jul</v>
      </c>
      <c r="V781" s="8">
        <f>DATE(YEAR(Orders[[#This Row],[Order Date]]),MONTH(Orders[[#This Row],[Order Date]]),1)</f>
        <v>46204</v>
      </c>
      <c r="W781" s="5">
        <f>IF(Orders[[#This Row],[Order Status]]="Cancelled",Orders[[#This Row],[Net Sales]],0)</f>
        <v>0</v>
      </c>
    </row>
    <row r="782" spans="1:23" x14ac:dyDescent="0.3">
      <c r="A782" t="s">
        <v>1415</v>
      </c>
      <c r="B782" s="7">
        <v>46357</v>
      </c>
      <c r="C782" t="s">
        <v>858</v>
      </c>
      <c r="D782" t="s">
        <v>318</v>
      </c>
      <c r="E782" t="s">
        <v>18</v>
      </c>
      <c r="F782" t="s">
        <v>43</v>
      </c>
      <c r="G782" t="s">
        <v>118</v>
      </c>
      <c r="H782" t="s">
        <v>58</v>
      </c>
      <c r="I782">
        <v>2</v>
      </c>
      <c r="J782" s="5">
        <v>749</v>
      </c>
      <c r="K782" s="2">
        <v>0.15</v>
      </c>
      <c r="L782" t="s">
        <v>31</v>
      </c>
      <c r="M782" t="s">
        <v>23</v>
      </c>
      <c r="N782" s="1">
        <v>46361</v>
      </c>
      <c r="O782" s="1">
        <v>46359</v>
      </c>
      <c r="P782" s="5">
        <f>Orders[[#This Row],[Quantity]]*Orders[[#This Row],[Unit Price]]</f>
        <v>1498</v>
      </c>
      <c r="Q782" s="5">
        <f>Orders[[#This Row],[Gross Sales]]*Orders[[#This Row],[Discount %]]</f>
        <v>224.7</v>
      </c>
      <c r="R782" s="5">
        <f>Orders[[#This Row],[Gross Sales]]-Orders[[#This Row],[Discount Amount]]</f>
        <v>1273.3</v>
      </c>
      <c r="S782">
        <f>IF(Orders[[#This Row],[Actual Delivery Date]]="","",Orders[[#This Row],[Actual Delivery Date]]-Orders[[#This Row],[Order Date]])</f>
        <v>2</v>
      </c>
      <c r="T782" t="str">
        <f>IF(Orders[[#This Row],[Actual Delivery Date]]="","Pending",IF(Orders[[#This Row],[Actual Delivery Date]]&lt;=Orders[[#This Row],[Expected Delivery Date]],"On Time","Late"))</f>
        <v>On Time</v>
      </c>
      <c r="U782" t="str">
        <f>TEXT(Orders[[#This Row],[Order Date]],"mmm")</f>
        <v>Dec</v>
      </c>
      <c r="V782" s="8">
        <f>DATE(YEAR(Orders[[#This Row],[Order Date]]),MONTH(Orders[[#This Row],[Order Date]]),1)</f>
        <v>46357</v>
      </c>
      <c r="W782" s="5">
        <f>IF(Orders[[#This Row],[Order Status]]="Cancelled",Orders[[#This Row],[Net Sales]],0)</f>
        <v>0</v>
      </c>
    </row>
    <row r="783" spans="1:23" x14ac:dyDescent="0.3">
      <c r="A783" t="s">
        <v>1416</v>
      </c>
      <c r="B783" s="7">
        <v>46194</v>
      </c>
      <c r="C783" t="s">
        <v>976</v>
      </c>
      <c r="D783" t="s">
        <v>816</v>
      </c>
      <c r="E783" t="s">
        <v>18</v>
      </c>
      <c r="F783" t="s">
        <v>19</v>
      </c>
      <c r="G783" t="s">
        <v>87</v>
      </c>
      <c r="H783" t="s">
        <v>21</v>
      </c>
      <c r="I783">
        <v>1</v>
      </c>
      <c r="J783" s="5">
        <v>1899</v>
      </c>
      <c r="K783" s="2">
        <v>0.1</v>
      </c>
      <c r="L783" t="s">
        <v>31</v>
      </c>
      <c r="M783" t="s">
        <v>47</v>
      </c>
      <c r="N783" s="1">
        <v>46196</v>
      </c>
      <c r="O783" s="1"/>
      <c r="P783" s="5">
        <f>Orders[[#This Row],[Quantity]]*Orders[[#This Row],[Unit Price]]</f>
        <v>1899</v>
      </c>
      <c r="Q783" s="5">
        <f>Orders[[#This Row],[Gross Sales]]*Orders[[#This Row],[Discount %]]</f>
        <v>189.9</v>
      </c>
      <c r="R783" s="5">
        <f>Orders[[#This Row],[Gross Sales]]-Orders[[#This Row],[Discount Amount]]</f>
        <v>1709.1</v>
      </c>
      <c r="S783" t="str">
        <f>IF(Orders[[#This Row],[Actual Delivery Date]]="","",Orders[[#This Row],[Actual Delivery Date]]-Orders[[#This Row],[Order Date]])</f>
        <v/>
      </c>
      <c r="T783" t="str">
        <f>IF(Orders[[#This Row],[Actual Delivery Date]]="","Pending",IF(Orders[[#This Row],[Actual Delivery Date]]&lt;=Orders[[#This Row],[Expected Delivery Date]],"On Time","Late"))</f>
        <v>Pending</v>
      </c>
      <c r="U783" t="str">
        <f>TEXT(Orders[[#This Row],[Order Date]],"mmm")</f>
        <v>Jun</v>
      </c>
      <c r="V783" s="8">
        <f>DATE(YEAR(Orders[[#This Row],[Order Date]]),MONTH(Orders[[#This Row],[Order Date]]),1)</f>
        <v>46174</v>
      </c>
      <c r="W783" s="5">
        <f>IF(Orders[[#This Row],[Order Status]]="Cancelled",Orders[[#This Row],[Net Sales]],0)</f>
        <v>0</v>
      </c>
    </row>
    <row r="784" spans="1:23" x14ac:dyDescent="0.3">
      <c r="A784" t="s">
        <v>1417</v>
      </c>
      <c r="B784" s="7">
        <v>46126</v>
      </c>
      <c r="C784" t="s">
        <v>357</v>
      </c>
      <c r="D784" t="s">
        <v>544</v>
      </c>
      <c r="E784" t="s">
        <v>18</v>
      </c>
      <c r="F784" t="s">
        <v>121</v>
      </c>
      <c r="G784" t="s">
        <v>69</v>
      </c>
      <c r="H784" t="s">
        <v>38</v>
      </c>
      <c r="I784">
        <v>2</v>
      </c>
      <c r="J784" s="5">
        <v>3499</v>
      </c>
      <c r="K784" s="2">
        <v>0</v>
      </c>
      <c r="L784" t="s">
        <v>31</v>
      </c>
      <c r="M784" t="s">
        <v>23</v>
      </c>
      <c r="N784" s="1">
        <v>46128</v>
      </c>
      <c r="O784" s="1">
        <v>46129</v>
      </c>
      <c r="P784" s="5">
        <f>Orders[[#This Row],[Quantity]]*Orders[[#This Row],[Unit Price]]</f>
        <v>6998</v>
      </c>
      <c r="Q784" s="5">
        <f>Orders[[#This Row],[Gross Sales]]*Orders[[#This Row],[Discount %]]</f>
        <v>0</v>
      </c>
      <c r="R784" s="5">
        <f>Orders[[#This Row],[Gross Sales]]-Orders[[#This Row],[Discount Amount]]</f>
        <v>6998</v>
      </c>
      <c r="S784">
        <f>IF(Orders[[#This Row],[Actual Delivery Date]]="","",Orders[[#This Row],[Actual Delivery Date]]-Orders[[#This Row],[Order Date]])</f>
        <v>3</v>
      </c>
      <c r="T784" t="str">
        <f>IF(Orders[[#This Row],[Actual Delivery Date]]="","Pending",IF(Orders[[#This Row],[Actual Delivery Date]]&lt;=Orders[[#This Row],[Expected Delivery Date]],"On Time","Late"))</f>
        <v>Late</v>
      </c>
      <c r="U784" t="str">
        <f>TEXT(Orders[[#This Row],[Order Date]],"mmm")</f>
        <v>Apr</v>
      </c>
      <c r="V784" s="8">
        <f>DATE(YEAR(Orders[[#This Row],[Order Date]]),MONTH(Orders[[#This Row],[Order Date]]),1)</f>
        <v>46113</v>
      </c>
      <c r="W784" s="5">
        <f>IF(Orders[[#This Row],[Order Status]]="Cancelled",Orders[[#This Row],[Net Sales]],0)</f>
        <v>0</v>
      </c>
    </row>
    <row r="785" spans="1:23" x14ac:dyDescent="0.3">
      <c r="A785" t="s">
        <v>1418</v>
      </c>
      <c r="B785" s="7">
        <v>46181</v>
      </c>
      <c r="C785" t="s">
        <v>990</v>
      </c>
      <c r="D785" t="s">
        <v>345</v>
      </c>
      <c r="E785" t="s">
        <v>18</v>
      </c>
      <c r="F785" t="s">
        <v>19</v>
      </c>
      <c r="G785" t="s">
        <v>64</v>
      </c>
      <c r="H785" t="s">
        <v>21</v>
      </c>
      <c r="I785">
        <v>1</v>
      </c>
      <c r="J785" s="5">
        <v>699</v>
      </c>
      <c r="K785" s="2">
        <v>0.1</v>
      </c>
      <c r="L785" t="s">
        <v>46</v>
      </c>
      <c r="M785" t="s">
        <v>23</v>
      </c>
      <c r="N785" s="1">
        <v>46187</v>
      </c>
      <c r="O785" s="1">
        <v>46185</v>
      </c>
      <c r="P785" s="5">
        <f>Orders[[#This Row],[Quantity]]*Orders[[#This Row],[Unit Price]]</f>
        <v>699</v>
      </c>
      <c r="Q785" s="5">
        <f>Orders[[#This Row],[Gross Sales]]*Orders[[#This Row],[Discount %]]</f>
        <v>69.900000000000006</v>
      </c>
      <c r="R785" s="5">
        <f>Orders[[#This Row],[Gross Sales]]-Orders[[#This Row],[Discount Amount]]</f>
        <v>629.1</v>
      </c>
      <c r="S785">
        <f>IF(Orders[[#This Row],[Actual Delivery Date]]="","",Orders[[#This Row],[Actual Delivery Date]]-Orders[[#This Row],[Order Date]])</f>
        <v>4</v>
      </c>
      <c r="T785" t="str">
        <f>IF(Orders[[#This Row],[Actual Delivery Date]]="","Pending",IF(Orders[[#This Row],[Actual Delivery Date]]&lt;=Orders[[#This Row],[Expected Delivery Date]],"On Time","Late"))</f>
        <v>On Time</v>
      </c>
      <c r="U785" t="str">
        <f>TEXT(Orders[[#This Row],[Order Date]],"mmm")</f>
        <v>Jun</v>
      </c>
      <c r="V785" s="8">
        <f>DATE(YEAR(Orders[[#This Row],[Order Date]]),MONTH(Orders[[#This Row],[Order Date]]),1)</f>
        <v>46174</v>
      </c>
      <c r="W785" s="5">
        <f>IF(Orders[[#This Row],[Order Status]]="Cancelled",Orders[[#This Row],[Net Sales]],0)</f>
        <v>0</v>
      </c>
    </row>
    <row r="786" spans="1:23" x14ac:dyDescent="0.3">
      <c r="A786" t="s">
        <v>1419</v>
      </c>
      <c r="B786" s="7">
        <v>46074</v>
      </c>
      <c r="C786" t="s">
        <v>236</v>
      </c>
      <c r="D786" t="s">
        <v>693</v>
      </c>
      <c r="E786" t="s">
        <v>18</v>
      </c>
      <c r="F786" t="s">
        <v>121</v>
      </c>
      <c r="G786" t="s">
        <v>228</v>
      </c>
      <c r="H786" t="s">
        <v>58</v>
      </c>
      <c r="I786">
        <v>2</v>
      </c>
      <c r="J786" s="5">
        <v>1499</v>
      </c>
      <c r="K786" s="2">
        <v>0.05</v>
      </c>
      <c r="L786" t="s">
        <v>39</v>
      </c>
      <c r="M786" t="s">
        <v>47</v>
      </c>
      <c r="N786" s="1">
        <v>46079</v>
      </c>
      <c r="O786" s="1"/>
      <c r="P786" s="5">
        <f>Orders[[#This Row],[Quantity]]*Orders[[#This Row],[Unit Price]]</f>
        <v>2998</v>
      </c>
      <c r="Q786" s="5">
        <f>Orders[[#This Row],[Gross Sales]]*Orders[[#This Row],[Discount %]]</f>
        <v>149.9</v>
      </c>
      <c r="R786" s="5">
        <f>Orders[[#This Row],[Gross Sales]]-Orders[[#This Row],[Discount Amount]]</f>
        <v>2848.1</v>
      </c>
      <c r="S786" t="str">
        <f>IF(Orders[[#This Row],[Actual Delivery Date]]="","",Orders[[#This Row],[Actual Delivery Date]]-Orders[[#This Row],[Order Date]])</f>
        <v/>
      </c>
      <c r="T786" t="str">
        <f>IF(Orders[[#This Row],[Actual Delivery Date]]="","Pending",IF(Orders[[#This Row],[Actual Delivery Date]]&lt;=Orders[[#This Row],[Expected Delivery Date]],"On Time","Late"))</f>
        <v>Pending</v>
      </c>
      <c r="U786" t="str">
        <f>TEXT(Orders[[#This Row],[Order Date]],"mmm")</f>
        <v>Feb</v>
      </c>
      <c r="V786" s="8">
        <f>DATE(YEAR(Orders[[#This Row],[Order Date]]),MONTH(Orders[[#This Row],[Order Date]]),1)</f>
        <v>46054</v>
      </c>
      <c r="W786" s="5">
        <f>IF(Orders[[#This Row],[Order Status]]="Cancelled",Orders[[#This Row],[Net Sales]],0)</f>
        <v>0</v>
      </c>
    </row>
    <row r="787" spans="1:23" x14ac:dyDescent="0.3">
      <c r="A787" t="s">
        <v>1420</v>
      </c>
      <c r="B787" s="7">
        <v>46063</v>
      </c>
      <c r="C787" t="s">
        <v>137</v>
      </c>
      <c r="D787" t="s">
        <v>1009</v>
      </c>
      <c r="E787" t="s">
        <v>35</v>
      </c>
      <c r="F787" t="s">
        <v>68</v>
      </c>
      <c r="G787" t="s">
        <v>96</v>
      </c>
      <c r="H787" t="s">
        <v>38</v>
      </c>
      <c r="I787">
        <v>3</v>
      </c>
      <c r="J787" s="5">
        <v>1599</v>
      </c>
      <c r="K787" s="2">
        <v>0</v>
      </c>
      <c r="L787" t="s">
        <v>31</v>
      </c>
      <c r="M787" t="s">
        <v>23</v>
      </c>
      <c r="N787" s="1">
        <v>46070</v>
      </c>
      <c r="O787" s="1">
        <v>46070</v>
      </c>
      <c r="P787" s="5">
        <f>Orders[[#This Row],[Quantity]]*Orders[[#This Row],[Unit Price]]</f>
        <v>4797</v>
      </c>
      <c r="Q787" s="5">
        <f>Orders[[#This Row],[Gross Sales]]*Orders[[#This Row],[Discount %]]</f>
        <v>0</v>
      </c>
      <c r="R787" s="5">
        <f>Orders[[#This Row],[Gross Sales]]-Orders[[#This Row],[Discount Amount]]</f>
        <v>4797</v>
      </c>
      <c r="S787">
        <f>IF(Orders[[#This Row],[Actual Delivery Date]]="","",Orders[[#This Row],[Actual Delivery Date]]-Orders[[#This Row],[Order Date]])</f>
        <v>7</v>
      </c>
      <c r="T787" t="str">
        <f>IF(Orders[[#This Row],[Actual Delivery Date]]="","Pending",IF(Orders[[#This Row],[Actual Delivery Date]]&lt;=Orders[[#This Row],[Expected Delivery Date]],"On Time","Late"))</f>
        <v>On Time</v>
      </c>
      <c r="U787" t="str">
        <f>TEXT(Orders[[#This Row],[Order Date]],"mmm")</f>
        <v>Feb</v>
      </c>
      <c r="V787" s="8">
        <f>DATE(YEAR(Orders[[#This Row],[Order Date]]),MONTH(Orders[[#This Row],[Order Date]]),1)</f>
        <v>46054</v>
      </c>
      <c r="W787" s="5">
        <f>IF(Orders[[#This Row],[Order Status]]="Cancelled",Orders[[#This Row],[Net Sales]],0)</f>
        <v>0</v>
      </c>
    </row>
    <row r="788" spans="1:23" x14ac:dyDescent="0.3">
      <c r="A788" t="s">
        <v>1421</v>
      </c>
      <c r="B788" s="7">
        <v>46171</v>
      </c>
      <c r="C788" t="s">
        <v>110</v>
      </c>
      <c r="D788" t="s">
        <v>211</v>
      </c>
      <c r="E788" t="s">
        <v>35</v>
      </c>
      <c r="F788" t="s">
        <v>63</v>
      </c>
      <c r="G788" t="s">
        <v>131</v>
      </c>
      <c r="H788" t="s">
        <v>38</v>
      </c>
      <c r="I788">
        <v>1</v>
      </c>
      <c r="J788" s="5">
        <v>899</v>
      </c>
      <c r="K788" s="2">
        <v>0.15</v>
      </c>
      <c r="L788" t="s">
        <v>39</v>
      </c>
      <c r="M788" t="s">
        <v>59</v>
      </c>
      <c r="N788" s="1">
        <v>46178</v>
      </c>
      <c r="O788" s="1">
        <v>46173</v>
      </c>
      <c r="P788" s="5">
        <f>Orders[[#This Row],[Quantity]]*Orders[[#This Row],[Unit Price]]</f>
        <v>899</v>
      </c>
      <c r="Q788" s="5">
        <f>Orders[[#This Row],[Gross Sales]]*Orders[[#This Row],[Discount %]]</f>
        <v>134.85</v>
      </c>
      <c r="R788" s="5">
        <f>Orders[[#This Row],[Gross Sales]]-Orders[[#This Row],[Discount Amount]]</f>
        <v>764.15</v>
      </c>
      <c r="S788">
        <f>IF(Orders[[#This Row],[Actual Delivery Date]]="","",Orders[[#This Row],[Actual Delivery Date]]-Orders[[#This Row],[Order Date]])</f>
        <v>2</v>
      </c>
      <c r="T788" t="str">
        <f>IF(Orders[[#This Row],[Actual Delivery Date]]="","Pending",IF(Orders[[#This Row],[Actual Delivery Date]]&lt;=Orders[[#This Row],[Expected Delivery Date]],"On Time","Late"))</f>
        <v>On Time</v>
      </c>
      <c r="U788" t="str">
        <f>TEXT(Orders[[#This Row],[Order Date]],"mmm")</f>
        <v>May</v>
      </c>
      <c r="V788" s="8">
        <f>DATE(YEAR(Orders[[#This Row],[Order Date]]),MONTH(Orders[[#This Row],[Order Date]]),1)</f>
        <v>46143</v>
      </c>
      <c r="W788" s="5">
        <f>IF(Orders[[#This Row],[Order Status]]="Cancelled",Orders[[#This Row],[Net Sales]],0)</f>
        <v>764.15</v>
      </c>
    </row>
    <row r="789" spans="1:23" x14ac:dyDescent="0.3">
      <c r="A789" t="s">
        <v>1422</v>
      </c>
      <c r="B789" s="7">
        <v>46181</v>
      </c>
      <c r="C789" t="s">
        <v>137</v>
      </c>
      <c r="D789" t="s">
        <v>120</v>
      </c>
      <c r="E789" t="s">
        <v>79</v>
      </c>
      <c r="F789" t="s">
        <v>86</v>
      </c>
      <c r="G789" t="s">
        <v>52</v>
      </c>
      <c r="H789" t="s">
        <v>45</v>
      </c>
      <c r="I789">
        <v>2</v>
      </c>
      <c r="J789" s="5">
        <v>1299</v>
      </c>
      <c r="K789" s="2">
        <v>0</v>
      </c>
      <c r="L789" t="s">
        <v>70</v>
      </c>
      <c r="M789" t="s">
        <v>23</v>
      </c>
      <c r="N789" s="1">
        <v>46186</v>
      </c>
      <c r="O789" s="1">
        <v>46184</v>
      </c>
      <c r="P789" s="5">
        <f>Orders[[#This Row],[Quantity]]*Orders[[#This Row],[Unit Price]]</f>
        <v>2598</v>
      </c>
      <c r="Q789" s="5">
        <f>Orders[[#This Row],[Gross Sales]]*Orders[[#This Row],[Discount %]]</f>
        <v>0</v>
      </c>
      <c r="R789" s="5">
        <f>Orders[[#This Row],[Gross Sales]]-Orders[[#This Row],[Discount Amount]]</f>
        <v>2598</v>
      </c>
      <c r="S789">
        <f>IF(Orders[[#This Row],[Actual Delivery Date]]="","",Orders[[#This Row],[Actual Delivery Date]]-Orders[[#This Row],[Order Date]])</f>
        <v>3</v>
      </c>
      <c r="T789" t="str">
        <f>IF(Orders[[#This Row],[Actual Delivery Date]]="","Pending",IF(Orders[[#This Row],[Actual Delivery Date]]&lt;=Orders[[#This Row],[Expected Delivery Date]],"On Time","Late"))</f>
        <v>On Time</v>
      </c>
      <c r="U789" t="str">
        <f>TEXT(Orders[[#This Row],[Order Date]],"mmm")</f>
        <v>Jun</v>
      </c>
      <c r="V789" s="8">
        <f>DATE(YEAR(Orders[[#This Row],[Order Date]]),MONTH(Orders[[#This Row],[Order Date]]),1)</f>
        <v>46174</v>
      </c>
      <c r="W789" s="5">
        <f>IF(Orders[[#This Row],[Order Status]]="Cancelled",Orders[[#This Row],[Net Sales]],0)</f>
        <v>0</v>
      </c>
    </row>
    <row r="790" spans="1:23" x14ac:dyDescent="0.3">
      <c r="A790" t="s">
        <v>1423</v>
      </c>
      <c r="B790" s="7">
        <v>46059</v>
      </c>
      <c r="C790" t="s">
        <v>1082</v>
      </c>
      <c r="D790" t="s">
        <v>159</v>
      </c>
      <c r="E790" t="s">
        <v>35</v>
      </c>
      <c r="F790" t="s">
        <v>36</v>
      </c>
      <c r="G790" t="s">
        <v>64</v>
      </c>
      <c r="H790" t="s">
        <v>21</v>
      </c>
      <c r="I790">
        <v>1</v>
      </c>
      <c r="J790" s="5">
        <v>699</v>
      </c>
      <c r="K790" s="2">
        <v>0.15</v>
      </c>
      <c r="L790" t="s">
        <v>46</v>
      </c>
      <c r="M790" t="s">
        <v>23</v>
      </c>
      <c r="N790" s="1">
        <v>46063</v>
      </c>
      <c r="O790" s="1">
        <v>46063</v>
      </c>
      <c r="P790" s="5">
        <f>Orders[[#This Row],[Quantity]]*Orders[[#This Row],[Unit Price]]</f>
        <v>699</v>
      </c>
      <c r="Q790" s="5">
        <f>Orders[[#This Row],[Gross Sales]]*Orders[[#This Row],[Discount %]]</f>
        <v>104.85</v>
      </c>
      <c r="R790" s="5">
        <f>Orders[[#This Row],[Gross Sales]]-Orders[[#This Row],[Discount Amount]]</f>
        <v>594.15</v>
      </c>
      <c r="S790">
        <f>IF(Orders[[#This Row],[Actual Delivery Date]]="","",Orders[[#This Row],[Actual Delivery Date]]-Orders[[#This Row],[Order Date]])</f>
        <v>4</v>
      </c>
      <c r="T790" t="str">
        <f>IF(Orders[[#This Row],[Actual Delivery Date]]="","Pending",IF(Orders[[#This Row],[Actual Delivery Date]]&lt;=Orders[[#This Row],[Expected Delivery Date]],"On Time","Late"))</f>
        <v>On Time</v>
      </c>
      <c r="U790" t="str">
        <f>TEXT(Orders[[#This Row],[Order Date]],"mmm")</f>
        <v>Feb</v>
      </c>
      <c r="V790" s="8">
        <f>DATE(YEAR(Orders[[#This Row],[Order Date]]),MONTH(Orders[[#This Row],[Order Date]]),1)</f>
        <v>46054</v>
      </c>
      <c r="W790" s="5">
        <f>IF(Orders[[#This Row],[Order Status]]="Cancelled",Orders[[#This Row],[Net Sales]],0)</f>
        <v>0</v>
      </c>
    </row>
    <row r="791" spans="1:23" x14ac:dyDescent="0.3">
      <c r="A791" t="s">
        <v>1424</v>
      </c>
      <c r="B791" s="7">
        <v>46228</v>
      </c>
      <c r="C791" t="s">
        <v>484</v>
      </c>
      <c r="D791" t="s">
        <v>1267</v>
      </c>
      <c r="E791" t="s">
        <v>79</v>
      </c>
      <c r="F791" t="s">
        <v>86</v>
      </c>
      <c r="G791" t="s">
        <v>186</v>
      </c>
      <c r="H791" t="s">
        <v>21</v>
      </c>
      <c r="I791">
        <v>1</v>
      </c>
      <c r="J791" s="5">
        <v>1999</v>
      </c>
      <c r="K791" s="2">
        <v>0.2</v>
      </c>
      <c r="L791" t="s">
        <v>31</v>
      </c>
      <c r="M791" t="s">
        <v>23</v>
      </c>
      <c r="N791" s="1">
        <v>46232</v>
      </c>
      <c r="O791" s="1">
        <v>46231</v>
      </c>
      <c r="P791" s="5">
        <f>Orders[[#This Row],[Quantity]]*Orders[[#This Row],[Unit Price]]</f>
        <v>1999</v>
      </c>
      <c r="Q791" s="5">
        <f>Orders[[#This Row],[Gross Sales]]*Orders[[#This Row],[Discount %]]</f>
        <v>399.8</v>
      </c>
      <c r="R791" s="5">
        <f>Orders[[#This Row],[Gross Sales]]-Orders[[#This Row],[Discount Amount]]</f>
        <v>1599.2</v>
      </c>
      <c r="S791">
        <f>IF(Orders[[#This Row],[Actual Delivery Date]]="","",Orders[[#This Row],[Actual Delivery Date]]-Orders[[#This Row],[Order Date]])</f>
        <v>3</v>
      </c>
      <c r="T791" t="str">
        <f>IF(Orders[[#This Row],[Actual Delivery Date]]="","Pending",IF(Orders[[#This Row],[Actual Delivery Date]]&lt;=Orders[[#This Row],[Expected Delivery Date]],"On Time","Late"))</f>
        <v>On Time</v>
      </c>
      <c r="U791" t="str">
        <f>TEXT(Orders[[#This Row],[Order Date]],"mmm")</f>
        <v>Jul</v>
      </c>
      <c r="V791" s="8">
        <f>DATE(YEAR(Orders[[#This Row],[Order Date]]),MONTH(Orders[[#This Row],[Order Date]]),1)</f>
        <v>46204</v>
      </c>
      <c r="W791" s="5">
        <f>IF(Orders[[#This Row],[Order Status]]="Cancelled",Orders[[#This Row],[Net Sales]],0)</f>
        <v>0</v>
      </c>
    </row>
    <row r="792" spans="1:23" x14ac:dyDescent="0.3">
      <c r="A792" t="s">
        <v>1425</v>
      </c>
      <c r="B792" s="7">
        <v>46340</v>
      </c>
      <c r="C792" t="s">
        <v>466</v>
      </c>
      <c r="D792" t="s">
        <v>205</v>
      </c>
      <c r="E792" t="s">
        <v>79</v>
      </c>
      <c r="F792" t="s">
        <v>170</v>
      </c>
      <c r="G792" t="s">
        <v>64</v>
      </c>
      <c r="H792" t="s">
        <v>21</v>
      </c>
      <c r="I792">
        <v>5</v>
      </c>
      <c r="J792" s="5">
        <v>699</v>
      </c>
      <c r="K792" s="2">
        <v>0</v>
      </c>
      <c r="L792" t="s">
        <v>31</v>
      </c>
      <c r="M792" t="s">
        <v>59</v>
      </c>
      <c r="N792" s="1">
        <v>46346</v>
      </c>
      <c r="O792" s="1">
        <v>46341</v>
      </c>
      <c r="P792" s="5">
        <f>Orders[[#This Row],[Quantity]]*Orders[[#This Row],[Unit Price]]</f>
        <v>3495</v>
      </c>
      <c r="Q792" s="5">
        <f>Orders[[#This Row],[Gross Sales]]*Orders[[#This Row],[Discount %]]</f>
        <v>0</v>
      </c>
      <c r="R792" s="5">
        <f>Orders[[#This Row],[Gross Sales]]-Orders[[#This Row],[Discount Amount]]</f>
        <v>3495</v>
      </c>
      <c r="S792">
        <f>IF(Orders[[#This Row],[Actual Delivery Date]]="","",Orders[[#This Row],[Actual Delivery Date]]-Orders[[#This Row],[Order Date]])</f>
        <v>1</v>
      </c>
      <c r="T792" t="str">
        <f>IF(Orders[[#This Row],[Actual Delivery Date]]="","Pending",IF(Orders[[#This Row],[Actual Delivery Date]]&lt;=Orders[[#This Row],[Expected Delivery Date]],"On Time","Late"))</f>
        <v>On Time</v>
      </c>
      <c r="U792" t="str">
        <f>TEXT(Orders[[#This Row],[Order Date]],"mmm")</f>
        <v>Nov</v>
      </c>
      <c r="V792" s="8">
        <f>DATE(YEAR(Orders[[#This Row],[Order Date]]),MONTH(Orders[[#This Row],[Order Date]]),1)</f>
        <v>46327</v>
      </c>
      <c r="W792" s="5">
        <f>IF(Orders[[#This Row],[Order Status]]="Cancelled",Orders[[#This Row],[Net Sales]],0)</f>
        <v>3495</v>
      </c>
    </row>
    <row r="793" spans="1:23" x14ac:dyDescent="0.3">
      <c r="A793" t="s">
        <v>1426</v>
      </c>
      <c r="B793" s="7">
        <v>46221</v>
      </c>
      <c r="C793" t="s">
        <v>320</v>
      </c>
      <c r="D793" t="s">
        <v>534</v>
      </c>
      <c r="E793" t="s">
        <v>27</v>
      </c>
      <c r="F793" t="s">
        <v>74</v>
      </c>
      <c r="G793" t="s">
        <v>52</v>
      </c>
      <c r="H793" t="s">
        <v>45</v>
      </c>
      <c r="I793">
        <v>3</v>
      </c>
      <c r="J793" s="5">
        <v>1299</v>
      </c>
      <c r="K793" s="2">
        <v>0</v>
      </c>
      <c r="L793" t="s">
        <v>46</v>
      </c>
      <c r="M793" t="s">
        <v>23</v>
      </c>
      <c r="N793" s="1">
        <v>46226</v>
      </c>
      <c r="O793" s="1">
        <v>46225</v>
      </c>
      <c r="P793" s="5">
        <f>Orders[[#This Row],[Quantity]]*Orders[[#This Row],[Unit Price]]</f>
        <v>3897</v>
      </c>
      <c r="Q793" s="5">
        <f>Orders[[#This Row],[Gross Sales]]*Orders[[#This Row],[Discount %]]</f>
        <v>0</v>
      </c>
      <c r="R793" s="5">
        <f>Orders[[#This Row],[Gross Sales]]-Orders[[#This Row],[Discount Amount]]</f>
        <v>3897</v>
      </c>
      <c r="S793">
        <f>IF(Orders[[#This Row],[Actual Delivery Date]]="","",Orders[[#This Row],[Actual Delivery Date]]-Orders[[#This Row],[Order Date]])</f>
        <v>4</v>
      </c>
      <c r="T793" t="str">
        <f>IF(Orders[[#This Row],[Actual Delivery Date]]="","Pending",IF(Orders[[#This Row],[Actual Delivery Date]]&lt;=Orders[[#This Row],[Expected Delivery Date]],"On Time","Late"))</f>
        <v>On Time</v>
      </c>
      <c r="U793" t="str">
        <f>TEXT(Orders[[#This Row],[Order Date]],"mmm")</f>
        <v>Jul</v>
      </c>
      <c r="V793" s="8">
        <f>DATE(YEAR(Orders[[#This Row],[Order Date]]),MONTH(Orders[[#This Row],[Order Date]]),1)</f>
        <v>46204</v>
      </c>
      <c r="W793" s="5">
        <f>IF(Orders[[#This Row],[Order Status]]="Cancelled",Orders[[#This Row],[Net Sales]],0)</f>
        <v>0</v>
      </c>
    </row>
    <row r="794" spans="1:23" x14ac:dyDescent="0.3">
      <c r="A794" t="s">
        <v>1427</v>
      </c>
      <c r="B794" s="7">
        <v>46125</v>
      </c>
      <c r="C794" t="s">
        <v>684</v>
      </c>
      <c r="D794" t="s">
        <v>237</v>
      </c>
      <c r="E794" t="s">
        <v>27</v>
      </c>
      <c r="F794" t="s">
        <v>28</v>
      </c>
      <c r="G794" t="s">
        <v>57</v>
      </c>
      <c r="H794" t="s">
        <v>58</v>
      </c>
      <c r="I794">
        <v>1</v>
      </c>
      <c r="J794" s="5">
        <v>499</v>
      </c>
      <c r="K794" s="2">
        <v>0</v>
      </c>
      <c r="L794" t="s">
        <v>46</v>
      </c>
      <c r="M794" t="s">
        <v>23</v>
      </c>
      <c r="N794" s="1">
        <v>46131</v>
      </c>
      <c r="O794" s="1">
        <v>46131</v>
      </c>
      <c r="P794" s="5">
        <f>Orders[[#This Row],[Quantity]]*Orders[[#This Row],[Unit Price]]</f>
        <v>499</v>
      </c>
      <c r="Q794" s="5">
        <f>Orders[[#This Row],[Gross Sales]]*Orders[[#This Row],[Discount %]]</f>
        <v>0</v>
      </c>
      <c r="R794" s="5">
        <f>Orders[[#This Row],[Gross Sales]]-Orders[[#This Row],[Discount Amount]]</f>
        <v>499</v>
      </c>
      <c r="S794">
        <f>IF(Orders[[#This Row],[Actual Delivery Date]]="","",Orders[[#This Row],[Actual Delivery Date]]-Orders[[#This Row],[Order Date]])</f>
        <v>6</v>
      </c>
      <c r="T794" t="str">
        <f>IF(Orders[[#This Row],[Actual Delivery Date]]="","Pending",IF(Orders[[#This Row],[Actual Delivery Date]]&lt;=Orders[[#This Row],[Expected Delivery Date]],"On Time","Late"))</f>
        <v>On Time</v>
      </c>
      <c r="U794" t="str">
        <f>TEXT(Orders[[#This Row],[Order Date]],"mmm")</f>
        <v>Apr</v>
      </c>
      <c r="V794" s="8">
        <f>DATE(YEAR(Orders[[#This Row],[Order Date]]),MONTH(Orders[[#This Row],[Order Date]]),1)</f>
        <v>46113</v>
      </c>
      <c r="W794" s="5">
        <f>IF(Orders[[#This Row],[Order Status]]="Cancelled",Orders[[#This Row],[Net Sales]],0)</f>
        <v>0</v>
      </c>
    </row>
    <row r="795" spans="1:23" x14ac:dyDescent="0.3">
      <c r="A795" t="s">
        <v>1428</v>
      </c>
      <c r="B795" s="7">
        <v>46102</v>
      </c>
      <c r="C795" t="s">
        <v>196</v>
      </c>
      <c r="D795" t="s">
        <v>107</v>
      </c>
      <c r="E795" t="s">
        <v>35</v>
      </c>
      <c r="F795" t="s">
        <v>63</v>
      </c>
      <c r="G795" t="s">
        <v>44</v>
      </c>
      <c r="H795" t="s">
        <v>45</v>
      </c>
      <c r="I795">
        <v>4</v>
      </c>
      <c r="J795" s="5">
        <v>1799</v>
      </c>
      <c r="K795" s="2">
        <v>0.05</v>
      </c>
      <c r="L795" t="s">
        <v>31</v>
      </c>
      <c r="M795" t="s">
        <v>23</v>
      </c>
      <c r="N795" s="1">
        <v>46108</v>
      </c>
      <c r="O795" s="1">
        <v>46107</v>
      </c>
      <c r="P795" s="5">
        <f>Orders[[#This Row],[Quantity]]*Orders[[#This Row],[Unit Price]]</f>
        <v>7196</v>
      </c>
      <c r="Q795" s="5">
        <f>Orders[[#This Row],[Gross Sales]]*Orders[[#This Row],[Discount %]]</f>
        <v>359.8</v>
      </c>
      <c r="R795" s="5">
        <f>Orders[[#This Row],[Gross Sales]]-Orders[[#This Row],[Discount Amount]]</f>
        <v>6836.2</v>
      </c>
      <c r="S795">
        <f>IF(Orders[[#This Row],[Actual Delivery Date]]="","",Orders[[#This Row],[Actual Delivery Date]]-Orders[[#This Row],[Order Date]])</f>
        <v>5</v>
      </c>
      <c r="T795" t="str">
        <f>IF(Orders[[#This Row],[Actual Delivery Date]]="","Pending",IF(Orders[[#This Row],[Actual Delivery Date]]&lt;=Orders[[#This Row],[Expected Delivery Date]],"On Time","Late"))</f>
        <v>On Time</v>
      </c>
      <c r="U795" t="str">
        <f>TEXT(Orders[[#This Row],[Order Date]],"mmm")</f>
        <v>Mar</v>
      </c>
      <c r="V795" s="8">
        <f>DATE(YEAR(Orders[[#This Row],[Order Date]]),MONTH(Orders[[#This Row],[Order Date]]),1)</f>
        <v>46082</v>
      </c>
      <c r="W795" s="5">
        <f>IF(Orders[[#This Row],[Order Status]]="Cancelled",Orders[[#This Row],[Net Sales]],0)</f>
        <v>0</v>
      </c>
    </row>
    <row r="796" spans="1:23" x14ac:dyDescent="0.3">
      <c r="A796" t="s">
        <v>1429</v>
      </c>
      <c r="B796" s="7">
        <v>46050</v>
      </c>
      <c r="C796" t="s">
        <v>298</v>
      </c>
      <c r="D796" t="s">
        <v>628</v>
      </c>
      <c r="E796" t="s">
        <v>35</v>
      </c>
      <c r="F796" t="s">
        <v>63</v>
      </c>
      <c r="G796" t="s">
        <v>180</v>
      </c>
      <c r="H796" t="s">
        <v>58</v>
      </c>
      <c r="I796">
        <v>1</v>
      </c>
      <c r="J796" s="5">
        <v>599</v>
      </c>
      <c r="K796" s="2">
        <v>0</v>
      </c>
      <c r="L796" t="s">
        <v>70</v>
      </c>
      <c r="M796" t="s">
        <v>23</v>
      </c>
      <c r="N796" s="1">
        <v>46054</v>
      </c>
      <c r="O796" s="1">
        <v>46051</v>
      </c>
      <c r="P796" s="5">
        <f>Orders[[#This Row],[Quantity]]*Orders[[#This Row],[Unit Price]]</f>
        <v>599</v>
      </c>
      <c r="Q796" s="5">
        <f>Orders[[#This Row],[Gross Sales]]*Orders[[#This Row],[Discount %]]</f>
        <v>0</v>
      </c>
      <c r="R796" s="5">
        <f>Orders[[#This Row],[Gross Sales]]-Orders[[#This Row],[Discount Amount]]</f>
        <v>599</v>
      </c>
      <c r="S796">
        <f>IF(Orders[[#This Row],[Actual Delivery Date]]="","",Orders[[#This Row],[Actual Delivery Date]]-Orders[[#This Row],[Order Date]])</f>
        <v>1</v>
      </c>
      <c r="T796" t="str">
        <f>IF(Orders[[#This Row],[Actual Delivery Date]]="","Pending",IF(Orders[[#This Row],[Actual Delivery Date]]&lt;=Orders[[#This Row],[Expected Delivery Date]],"On Time","Late"))</f>
        <v>On Time</v>
      </c>
      <c r="U796" t="str">
        <f>TEXT(Orders[[#This Row],[Order Date]],"mmm")</f>
        <v>Jan</v>
      </c>
      <c r="V796" s="8">
        <f>DATE(YEAR(Orders[[#This Row],[Order Date]]),MONTH(Orders[[#This Row],[Order Date]]),1)</f>
        <v>46023</v>
      </c>
      <c r="W796" s="5">
        <f>IF(Orders[[#This Row],[Order Status]]="Cancelled",Orders[[#This Row],[Net Sales]],0)</f>
        <v>0</v>
      </c>
    </row>
    <row r="797" spans="1:23" x14ac:dyDescent="0.3">
      <c r="A797" t="s">
        <v>1430</v>
      </c>
      <c r="B797" s="7">
        <v>46387</v>
      </c>
      <c r="C797" t="s">
        <v>794</v>
      </c>
      <c r="D797" t="s">
        <v>169</v>
      </c>
      <c r="E797" t="s">
        <v>35</v>
      </c>
      <c r="F797" t="s">
        <v>63</v>
      </c>
      <c r="G797" t="s">
        <v>153</v>
      </c>
      <c r="H797" t="s">
        <v>45</v>
      </c>
      <c r="I797">
        <v>2</v>
      </c>
      <c r="J797" s="5">
        <v>1999</v>
      </c>
      <c r="K797" s="2">
        <v>0.15</v>
      </c>
      <c r="L797" t="s">
        <v>22</v>
      </c>
      <c r="M797" t="s">
        <v>23</v>
      </c>
      <c r="N797" s="1">
        <v>46394</v>
      </c>
      <c r="O797" s="1">
        <v>46396</v>
      </c>
      <c r="P797" s="5">
        <f>Orders[[#This Row],[Quantity]]*Orders[[#This Row],[Unit Price]]</f>
        <v>3998</v>
      </c>
      <c r="Q797" s="5">
        <f>Orders[[#This Row],[Gross Sales]]*Orders[[#This Row],[Discount %]]</f>
        <v>599.69999999999993</v>
      </c>
      <c r="R797" s="5">
        <f>Orders[[#This Row],[Gross Sales]]-Orders[[#This Row],[Discount Amount]]</f>
        <v>3398.3</v>
      </c>
      <c r="S797">
        <f>IF(Orders[[#This Row],[Actual Delivery Date]]="","",Orders[[#This Row],[Actual Delivery Date]]-Orders[[#This Row],[Order Date]])</f>
        <v>9</v>
      </c>
      <c r="T797" t="str">
        <f>IF(Orders[[#This Row],[Actual Delivery Date]]="","Pending",IF(Orders[[#This Row],[Actual Delivery Date]]&lt;=Orders[[#This Row],[Expected Delivery Date]],"On Time","Late"))</f>
        <v>Late</v>
      </c>
      <c r="U797" t="str">
        <f>TEXT(Orders[[#This Row],[Order Date]],"mmm")</f>
        <v>Dec</v>
      </c>
      <c r="V797" s="8">
        <f>DATE(YEAR(Orders[[#This Row],[Order Date]]),MONTH(Orders[[#This Row],[Order Date]]),1)</f>
        <v>46357</v>
      </c>
      <c r="W797" s="5">
        <f>IF(Orders[[#This Row],[Order Status]]="Cancelled",Orders[[#This Row],[Net Sales]],0)</f>
        <v>0</v>
      </c>
    </row>
    <row r="798" spans="1:23" x14ac:dyDescent="0.3">
      <c r="A798" t="s">
        <v>1431</v>
      </c>
      <c r="B798" s="7">
        <v>46124</v>
      </c>
      <c r="C798" t="s">
        <v>1382</v>
      </c>
      <c r="D798" t="s">
        <v>462</v>
      </c>
      <c r="E798" t="s">
        <v>79</v>
      </c>
      <c r="F798" t="s">
        <v>80</v>
      </c>
      <c r="G798" t="s">
        <v>20</v>
      </c>
      <c r="H798" t="s">
        <v>21</v>
      </c>
      <c r="I798">
        <v>1</v>
      </c>
      <c r="J798" s="5">
        <v>1799</v>
      </c>
      <c r="K798" s="2">
        <v>0.15</v>
      </c>
      <c r="L798" t="s">
        <v>70</v>
      </c>
      <c r="M798" t="s">
        <v>23</v>
      </c>
      <c r="N798" s="1">
        <v>46130</v>
      </c>
      <c r="O798" s="1">
        <v>46126</v>
      </c>
      <c r="P798" s="5">
        <f>Orders[[#This Row],[Quantity]]*Orders[[#This Row],[Unit Price]]</f>
        <v>1799</v>
      </c>
      <c r="Q798" s="5">
        <f>Orders[[#This Row],[Gross Sales]]*Orders[[#This Row],[Discount %]]</f>
        <v>269.84999999999997</v>
      </c>
      <c r="R798" s="5">
        <f>Orders[[#This Row],[Gross Sales]]-Orders[[#This Row],[Discount Amount]]</f>
        <v>1529.15</v>
      </c>
      <c r="S798">
        <f>IF(Orders[[#This Row],[Actual Delivery Date]]="","",Orders[[#This Row],[Actual Delivery Date]]-Orders[[#This Row],[Order Date]])</f>
        <v>2</v>
      </c>
      <c r="T798" t="str">
        <f>IF(Orders[[#This Row],[Actual Delivery Date]]="","Pending",IF(Orders[[#This Row],[Actual Delivery Date]]&lt;=Orders[[#This Row],[Expected Delivery Date]],"On Time","Late"))</f>
        <v>On Time</v>
      </c>
      <c r="U798" t="str">
        <f>TEXT(Orders[[#This Row],[Order Date]],"mmm")</f>
        <v>Apr</v>
      </c>
      <c r="V798" s="8">
        <f>DATE(YEAR(Orders[[#This Row],[Order Date]]),MONTH(Orders[[#This Row],[Order Date]]),1)</f>
        <v>46113</v>
      </c>
      <c r="W798" s="5">
        <f>IF(Orders[[#This Row],[Order Status]]="Cancelled",Orders[[#This Row],[Net Sales]],0)</f>
        <v>0</v>
      </c>
    </row>
    <row r="799" spans="1:23" x14ac:dyDescent="0.3">
      <c r="A799" t="s">
        <v>1432</v>
      </c>
      <c r="B799" s="7">
        <v>46124</v>
      </c>
      <c r="C799" t="s">
        <v>278</v>
      </c>
      <c r="D799" t="s">
        <v>1164</v>
      </c>
      <c r="E799" t="s">
        <v>79</v>
      </c>
      <c r="F799" t="s">
        <v>86</v>
      </c>
      <c r="G799" t="s">
        <v>206</v>
      </c>
      <c r="H799" t="s">
        <v>30</v>
      </c>
      <c r="I799">
        <v>1</v>
      </c>
      <c r="J799" s="5">
        <v>1199</v>
      </c>
      <c r="K799" s="2">
        <v>0.2</v>
      </c>
      <c r="L799" t="s">
        <v>22</v>
      </c>
      <c r="M799" t="s">
        <v>23</v>
      </c>
      <c r="N799" s="1">
        <v>46128</v>
      </c>
      <c r="O799" s="1">
        <v>46127</v>
      </c>
      <c r="P799" s="5">
        <f>Orders[[#This Row],[Quantity]]*Orders[[#This Row],[Unit Price]]</f>
        <v>1199</v>
      </c>
      <c r="Q799" s="5">
        <f>Orders[[#This Row],[Gross Sales]]*Orders[[#This Row],[Discount %]]</f>
        <v>239.8</v>
      </c>
      <c r="R799" s="5">
        <f>Orders[[#This Row],[Gross Sales]]-Orders[[#This Row],[Discount Amount]]</f>
        <v>959.2</v>
      </c>
      <c r="S799">
        <f>IF(Orders[[#This Row],[Actual Delivery Date]]="","",Orders[[#This Row],[Actual Delivery Date]]-Orders[[#This Row],[Order Date]])</f>
        <v>3</v>
      </c>
      <c r="T799" t="str">
        <f>IF(Orders[[#This Row],[Actual Delivery Date]]="","Pending",IF(Orders[[#This Row],[Actual Delivery Date]]&lt;=Orders[[#This Row],[Expected Delivery Date]],"On Time","Late"))</f>
        <v>On Time</v>
      </c>
      <c r="U799" t="str">
        <f>TEXT(Orders[[#This Row],[Order Date]],"mmm")</f>
        <v>Apr</v>
      </c>
      <c r="V799" s="8">
        <f>DATE(YEAR(Orders[[#This Row],[Order Date]]),MONTH(Orders[[#This Row],[Order Date]]),1)</f>
        <v>46113</v>
      </c>
      <c r="W799" s="5">
        <f>IF(Orders[[#This Row],[Order Status]]="Cancelled",Orders[[#This Row],[Net Sales]],0)</f>
        <v>0</v>
      </c>
    </row>
    <row r="800" spans="1:23" x14ac:dyDescent="0.3">
      <c r="A800" t="s">
        <v>1433</v>
      </c>
      <c r="B800" s="7">
        <v>46081</v>
      </c>
      <c r="C800" t="s">
        <v>1434</v>
      </c>
      <c r="D800" t="s">
        <v>573</v>
      </c>
      <c r="E800" t="s">
        <v>79</v>
      </c>
      <c r="F800" t="s">
        <v>108</v>
      </c>
      <c r="G800" t="s">
        <v>118</v>
      </c>
      <c r="H800" t="s">
        <v>58</v>
      </c>
      <c r="I800">
        <v>3</v>
      </c>
      <c r="J800" s="5">
        <v>749</v>
      </c>
      <c r="K800" s="2">
        <v>0.15</v>
      </c>
      <c r="L800" t="s">
        <v>46</v>
      </c>
      <c r="M800" t="s">
        <v>47</v>
      </c>
      <c r="N800" s="1">
        <v>46088</v>
      </c>
      <c r="O800" s="1"/>
      <c r="P800" s="5">
        <f>Orders[[#This Row],[Quantity]]*Orders[[#This Row],[Unit Price]]</f>
        <v>2247</v>
      </c>
      <c r="Q800" s="5">
        <f>Orders[[#This Row],[Gross Sales]]*Orders[[#This Row],[Discount %]]</f>
        <v>337.05</v>
      </c>
      <c r="R800" s="5">
        <f>Orders[[#This Row],[Gross Sales]]-Orders[[#This Row],[Discount Amount]]</f>
        <v>1909.95</v>
      </c>
      <c r="S800" t="str">
        <f>IF(Orders[[#This Row],[Actual Delivery Date]]="","",Orders[[#This Row],[Actual Delivery Date]]-Orders[[#This Row],[Order Date]])</f>
        <v/>
      </c>
      <c r="T800" t="str">
        <f>IF(Orders[[#This Row],[Actual Delivery Date]]="","Pending",IF(Orders[[#This Row],[Actual Delivery Date]]&lt;=Orders[[#This Row],[Expected Delivery Date]],"On Time","Late"))</f>
        <v>Pending</v>
      </c>
      <c r="U800" t="str">
        <f>TEXT(Orders[[#This Row],[Order Date]],"mmm")</f>
        <v>Feb</v>
      </c>
      <c r="V800" s="8">
        <f>DATE(YEAR(Orders[[#This Row],[Order Date]]),MONTH(Orders[[#This Row],[Order Date]]),1)</f>
        <v>46054</v>
      </c>
      <c r="W800" s="5">
        <f>IF(Orders[[#This Row],[Order Status]]="Cancelled",Orders[[#This Row],[Net Sales]],0)</f>
        <v>0</v>
      </c>
    </row>
    <row r="801" spans="1:23" x14ac:dyDescent="0.3">
      <c r="A801" t="s">
        <v>1435</v>
      </c>
      <c r="B801" s="7">
        <v>46041</v>
      </c>
      <c r="C801" t="s">
        <v>1205</v>
      </c>
      <c r="D801" t="s">
        <v>325</v>
      </c>
      <c r="E801" t="s">
        <v>27</v>
      </c>
      <c r="F801" t="s">
        <v>74</v>
      </c>
      <c r="G801" t="s">
        <v>81</v>
      </c>
      <c r="H801" t="s">
        <v>30</v>
      </c>
      <c r="I801">
        <v>1</v>
      </c>
      <c r="J801" s="5">
        <v>899</v>
      </c>
      <c r="K801" s="2">
        <v>0.05</v>
      </c>
      <c r="L801" t="s">
        <v>70</v>
      </c>
      <c r="M801" t="s">
        <v>59</v>
      </c>
      <c r="N801" s="1">
        <v>46047</v>
      </c>
      <c r="O801" s="1">
        <v>46046</v>
      </c>
      <c r="P801" s="5">
        <f>Orders[[#This Row],[Quantity]]*Orders[[#This Row],[Unit Price]]</f>
        <v>899</v>
      </c>
      <c r="Q801" s="5">
        <f>Orders[[#This Row],[Gross Sales]]*Orders[[#This Row],[Discount %]]</f>
        <v>44.95</v>
      </c>
      <c r="R801" s="5">
        <f>Orders[[#This Row],[Gross Sales]]-Orders[[#This Row],[Discount Amount]]</f>
        <v>854.05</v>
      </c>
      <c r="S801">
        <f>IF(Orders[[#This Row],[Actual Delivery Date]]="","",Orders[[#This Row],[Actual Delivery Date]]-Orders[[#This Row],[Order Date]])</f>
        <v>5</v>
      </c>
      <c r="T801" t="str">
        <f>IF(Orders[[#This Row],[Actual Delivery Date]]="","Pending",IF(Orders[[#This Row],[Actual Delivery Date]]&lt;=Orders[[#This Row],[Expected Delivery Date]],"On Time","Late"))</f>
        <v>On Time</v>
      </c>
      <c r="U801" t="str">
        <f>TEXT(Orders[[#This Row],[Order Date]],"mmm")</f>
        <v>Jan</v>
      </c>
      <c r="V801" s="8">
        <f>DATE(YEAR(Orders[[#This Row],[Order Date]]),MONTH(Orders[[#This Row],[Order Date]]),1)</f>
        <v>46023</v>
      </c>
      <c r="W801" s="5">
        <f>IF(Orders[[#This Row],[Order Status]]="Cancelled",Orders[[#This Row],[Net Sales]],0)</f>
        <v>854.05</v>
      </c>
    </row>
    <row r="802" spans="1:23" x14ac:dyDescent="0.3">
      <c r="A802" t="s">
        <v>1436</v>
      </c>
      <c r="B802" s="7">
        <v>46030</v>
      </c>
      <c r="C802" t="s">
        <v>1437</v>
      </c>
      <c r="D802" t="s">
        <v>964</v>
      </c>
      <c r="E802" t="s">
        <v>35</v>
      </c>
      <c r="F802" t="s">
        <v>68</v>
      </c>
      <c r="G802" t="s">
        <v>69</v>
      </c>
      <c r="H802" t="s">
        <v>38</v>
      </c>
      <c r="I802">
        <v>1</v>
      </c>
      <c r="J802" s="5">
        <v>3499</v>
      </c>
      <c r="K802" s="2">
        <v>0.1</v>
      </c>
      <c r="L802" t="s">
        <v>39</v>
      </c>
      <c r="M802" t="s">
        <v>23</v>
      </c>
      <c r="N802" s="1">
        <v>46034</v>
      </c>
      <c r="O802" s="1">
        <v>46031</v>
      </c>
      <c r="P802" s="5">
        <f>Orders[[#This Row],[Quantity]]*Orders[[#This Row],[Unit Price]]</f>
        <v>3499</v>
      </c>
      <c r="Q802" s="5">
        <f>Orders[[#This Row],[Gross Sales]]*Orders[[#This Row],[Discount %]]</f>
        <v>349.90000000000003</v>
      </c>
      <c r="R802" s="5">
        <f>Orders[[#This Row],[Gross Sales]]-Orders[[#This Row],[Discount Amount]]</f>
        <v>3149.1</v>
      </c>
      <c r="S802">
        <f>IF(Orders[[#This Row],[Actual Delivery Date]]="","",Orders[[#This Row],[Actual Delivery Date]]-Orders[[#This Row],[Order Date]])</f>
        <v>1</v>
      </c>
      <c r="T802" t="str">
        <f>IF(Orders[[#This Row],[Actual Delivery Date]]="","Pending",IF(Orders[[#This Row],[Actual Delivery Date]]&lt;=Orders[[#This Row],[Expected Delivery Date]],"On Time","Late"))</f>
        <v>On Time</v>
      </c>
      <c r="U802" t="str">
        <f>TEXT(Orders[[#This Row],[Order Date]],"mmm")</f>
        <v>Jan</v>
      </c>
      <c r="V802" s="8">
        <f>DATE(YEAR(Orders[[#This Row],[Order Date]]),MONTH(Orders[[#This Row],[Order Date]]),1)</f>
        <v>46023</v>
      </c>
      <c r="W802" s="5">
        <f>IF(Orders[[#This Row],[Order Status]]="Cancelled",Orders[[#This Row],[Net Sales]],0)</f>
        <v>0</v>
      </c>
    </row>
    <row r="803" spans="1:23" x14ac:dyDescent="0.3">
      <c r="A803" t="s">
        <v>1438</v>
      </c>
      <c r="B803" s="7">
        <v>46300</v>
      </c>
      <c r="C803" t="s">
        <v>233</v>
      </c>
      <c r="D803" t="s">
        <v>702</v>
      </c>
      <c r="E803" t="s">
        <v>79</v>
      </c>
      <c r="F803" t="s">
        <v>170</v>
      </c>
      <c r="G803" t="s">
        <v>186</v>
      </c>
      <c r="H803" t="s">
        <v>21</v>
      </c>
      <c r="I803">
        <v>1</v>
      </c>
      <c r="J803" s="5">
        <v>1999</v>
      </c>
      <c r="K803" s="2">
        <v>0.1</v>
      </c>
      <c r="L803" t="s">
        <v>39</v>
      </c>
      <c r="M803" t="s">
        <v>23</v>
      </c>
      <c r="N803" s="1">
        <v>46305</v>
      </c>
      <c r="O803" s="1">
        <v>46302</v>
      </c>
      <c r="P803" s="5">
        <f>Orders[[#This Row],[Quantity]]*Orders[[#This Row],[Unit Price]]</f>
        <v>1999</v>
      </c>
      <c r="Q803" s="5">
        <f>Orders[[#This Row],[Gross Sales]]*Orders[[#This Row],[Discount %]]</f>
        <v>199.9</v>
      </c>
      <c r="R803" s="5">
        <f>Orders[[#This Row],[Gross Sales]]-Orders[[#This Row],[Discount Amount]]</f>
        <v>1799.1</v>
      </c>
      <c r="S803">
        <f>IF(Orders[[#This Row],[Actual Delivery Date]]="","",Orders[[#This Row],[Actual Delivery Date]]-Orders[[#This Row],[Order Date]])</f>
        <v>2</v>
      </c>
      <c r="T803" t="str">
        <f>IF(Orders[[#This Row],[Actual Delivery Date]]="","Pending",IF(Orders[[#This Row],[Actual Delivery Date]]&lt;=Orders[[#This Row],[Expected Delivery Date]],"On Time","Late"))</f>
        <v>On Time</v>
      </c>
      <c r="U803" t="str">
        <f>TEXT(Orders[[#This Row],[Order Date]],"mmm")</f>
        <v>Oct</v>
      </c>
      <c r="V803" s="8">
        <f>DATE(YEAR(Orders[[#This Row],[Order Date]]),MONTH(Orders[[#This Row],[Order Date]]),1)</f>
        <v>46296</v>
      </c>
      <c r="W803" s="5">
        <f>IF(Orders[[#This Row],[Order Status]]="Cancelled",Orders[[#This Row],[Net Sales]],0)</f>
        <v>0</v>
      </c>
    </row>
    <row r="804" spans="1:23" x14ac:dyDescent="0.3">
      <c r="A804" t="s">
        <v>1439</v>
      </c>
      <c r="B804" s="7">
        <v>46347</v>
      </c>
      <c r="C804" t="s">
        <v>427</v>
      </c>
      <c r="D804" t="s">
        <v>781</v>
      </c>
      <c r="E804" t="s">
        <v>79</v>
      </c>
      <c r="F804" t="s">
        <v>170</v>
      </c>
      <c r="G804" t="s">
        <v>218</v>
      </c>
      <c r="H804" t="s">
        <v>21</v>
      </c>
      <c r="I804">
        <v>1</v>
      </c>
      <c r="J804" s="5">
        <v>2999</v>
      </c>
      <c r="K804" s="2">
        <v>0.2</v>
      </c>
      <c r="L804" t="s">
        <v>39</v>
      </c>
      <c r="M804" t="s">
        <v>23</v>
      </c>
      <c r="N804" s="1">
        <v>46349</v>
      </c>
      <c r="O804" s="1">
        <v>46348</v>
      </c>
      <c r="P804" s="5">
        <f>Orders[[#This Row],[Quantity]]*Orders[[#This Row],[Unit Price]]</f>
        <v>2999</v>
      </c>
      <c r="Q804" s="5">
        <f>Orders[[#This Row],[Gross Sales]]*Orders[[#This Row],[Discount %]]</f>
        <v>599.80000000000007</v>
      </c>
      <c r="R804" s="5">
        <f>Orders[[#This Row],[Gross Sales]]-Orders[[#This Row],[Discount Amount]]</f>
        <v>2399.1999999999998</v>
      </c>
      <c r="S804">
        <f>IF(Orders[[#This Row],[Actual Delivery Date]]="","",Orders[[#This Row],[Actual Delivery Date]]-Orders[[#This Row],[Order Date]])</f>
        <v>1</v>
      </c>
      <c r="T804" t="str">
        <f>IF(Orders[[#This Row],[Actual Delivery Date]]="","Pending",IF(Orders[[#This Row],[Actual Delivery Date]]&lt;=Orders[[#This Row],[Expected Delivery Date]],"On Time","Late"))</f>
        <v>On Time</v>
      </c>
      <c r="U804" t="str">
        <f>TEXT(Orders[[#This Row],[Order Date]],"mmm")</f>
        <v>Nov</v>
      </c>
      <c r="V804" s="8">
        <f>DATE(YEAR(Orders[[#This Row],[Order Date]]),MONTH(Orders[[#This Row],[Order Date]]),1)</f>
        <v>46327</v>
      </c>
      <c r="W804" s="5">
        <f>IF(Orders[[#This Row],[Order Status]]="Cancelled",Orders[[#This Row],[Net Sales]],0)</f>
        <v>0</v>
      </c>
    </row>
    <row r="805" spans="1:23" x14ac:dyDescent="0.3">
      <c r="A805" t="s">
        <v>1440</v>
      </c>
      <c r="B805" s="7">
        <v>46320</v>
      </c>
      <c r="C805" t="s">
        <v>276</v>
      </c>
      <c r="D805" t="s">
        <v>237</v>
      </c>
      <c r="E805" t="s">
        <v>79</v>
      </c>
      <c r="F805" t="s">
        <v>86</v>
      </c>
      <c r="G805" t="s">
        <v>228</v>
      </c>
      <c r="H805" t="s">
        <v>58</v>
      </c>
      <c r="I805">
        <v>3</v>
      </c>
      <c r="J805" s="5">
        <v>1499</v>
      </c>
      <c r="K805" s="2">
        <v>0.1</v>
      </c>
      <c r="L805" t="s">
        <v>70</v>
      </c>
      <c r="M805" t="s">
        <v>23</v>
      </c>
      <c r="N805" s="1">
        <v>46323</v>
      </c>
      <c r="O805" s="1">
        <v>46323</v>
      </c>
      <c r="P805" s="5">
        <f>Orders[[#This Row],[Quantity]]*Orders[[#This Row],[Unit Price]]</f>
        <v>4497</v>
      </c>
      <c r="Q805" s="5">
        <f>Orders[[#This Row],[Gross Sales]]*Orders[[#This Row],[Discount %]]</f>
        <v>449.70000000000005</v>
      </c>
      <c r="R805" s="5">
        <f>Orders[[#This Row],[Gross Sales]]-Orders[[#This Row],[Discount Amount]]</f>
        <v>4047.3</v>
      </c>
      <c r="S805">
        <f>IF(Orders[[#This Row],[Actual Delivery Date]]="","",Orders[[#This Row],[Actual Delivery Date]]-Orders[[#This Row],[Order Date]])</f>
        <v>3</v>
      </c>
      <c r="T805" t="str">
        <f>IF(Orders[[#This Row],[Actual Delivery Date]]="","Pending",IF(Orders[[#This Row],[Actual Delivery Date]]&lt;=Orders[[#This Row],[Expected Delivery Date]],"On Time","Late"))</f>
        <v>On Time</v>
      </c>
      <c r="U805" t="str">
        <f>TEXT(Orders[[#This Row],[Order Date]],"mmm")</f>
        <v>Oct</v>
      </c>
      <c r="V805" s="8">
        <f>DATE(YEAR(Orders[[#This Row],[Order Date]]),MONTH(Orders[[#This Row],[Order Date]]),1)</f>
        <v>46296</v>
      </c>
      <c r="W805" s="5">
        <f>IF(Orders[[#This Row],[Order Status]]="Cancelled",Orders[[#This Row],[Net Sales]],0)</f>
        <v>0</v>
      </c>
    </row>
    <row r="806" spans="1:23" x14ac:dyDescent="0.3">
      <c r="A806" t="s">
        <v>1441</v>
      </c>
      <c r="B806" s="7">
        <v>46260</v>
      </c>
      <c r="C806" t="s">
        <v>1209</v>
      </c>
      <c r="D806" t="s">
        <v>509</v>
      </c>
      <c r="E806" t="s">
        <v>27</v>
      </c>
      <c r="F806" t="s">
        <v>74</v>
      </c>
      <c r="G806" t="s">
        <v>153</v>
      </c>
      <c r="H806" t="s">
        <v>45</v>
      </c>
      <c r="I806">
        <v>1</v>
      </c>
      <c r="J806" s="5">
        <v>1999</v>
      </c>
      <c r="K806" s="2">
        <v>0.15</v>
      </c>
      <c r="L806" t="s">
        <v>39</v>
      </c>
      <c r="M806" t="s">
        <v>23</v>
      </c>
      <c r="N806" s="1">
        <v>46263</v>
      </c>
      <c r="O806" s="1">
        <v>46262</v>
      </c>
      <c r="P806" s="5">
        <f>Orders[[#This Row],[Quantity]]*Orders[[#This Row],[Unit Price]]</f>
        <v>1999</v>
      </c>
      <c r="Q806" s="5">
        <f>Orders[[#This Row],[Gross Sales]]*Orders[[#This Row],[Discount %]]</f>
        <v>299.84999999999997</v>
      </c>
      <c r="R806" s="5">
        <f>Orders[[#This Row],[Gross Sales]]-Orders[[#This Row],[Discount Amount]]</f>
        <v>1699.15</v>
      </c>
      <c r="S806">
        <f>IF(Orders[[#This Row],[Actual Delivery Date]]="","",Orders[[#This Row],[Actual Delivery Date]]-Orders[[#This Row],[Order Date]])</f>
        <v>2</v>
      </c>
      <c r="T806" t="str">
        <f>IF(Orders[[#This Row],[Actual Delivery Date]]="","Pending",IF(Orders[[#This Row],[Actual Delivery Date]]&lt;=Orders[[#This Row],[Expected Delivery Date]],"On Time","Late"))</f>
        <v>On Time</v>
      </c>
      <c r="U806" t="str">
        <f>TEXT(Orders[[#This Row],[Order Date]],"mmm")</f>
        <v>Aug</v>
      </c>
      <c r="V806" s="8">
        <f>DATE(YEAR(Orders[[#This Row],[Order Date]]),MONTH(Orders[[#This Row],[Order Date]]),1)</f>
        <v>46235</v>
      </c>
      <c r="W806" s="5">
        <f>IF(Orders[[#This Row],[Order Status]]="Cancelled",Orders[[#This Row],[Net Sales]],0)</f>
        <v>0</v>
      </c>
    </row>
    <row r="807" spans="1:23" x14ac:dyDescent="0.3">
      <c r="A807" t="s">
        <v>1442</v>
      </c>
      <c r="B807" s="7">
        <v>46039</v>
      </c>
      <c r="C807" t="s">
        <v>280</v>
      </c>
      <c r="D807" t="s">
        <v>632</v>
      </c>
      <c r="E807" t="s">
        <v>79</v>
      </c>
      <c r="F807" t="s">
        <v>108</v>
      </c>
      <c r="G807" t="s">
        <v>160</v>
      </c>
      <c r="H807" t="s">
        <v>45</v>
      </c>
      <c r="I807">
        <v>1</v>
      </c>
      <c r="J807" s="5">
        <v>1499</v>
      </c>
      <c r="K807" s="2">
        <v>0.05</v>
      </c>
      <c r="L807" t="s">
        <v>46</v>
      </c>
      <c r="M807" t="s">
        <v>82</v>
      </c>
      <c r="N807" s="1">
        <v>46045</v>
      </c>
      <c r="O807" s="1">
        <v>46044</v>
      </c>
      <c r="P807" s="5">
        <f>Orders[[#This Row],[Quantity]]*Orders[[#This Row],[Unit Price]]</f>
        <v>1499</v>
      </c>
      <c r="Q807" s="5">
        <f>Orders[[#This Row],[Gross Sales]]*Orders[[#This Row],[Discount %]]</f>
        <v>74.95</v>
      </c>
      <c r="R807" s="5">
        <f>Orders[[#This Row],[Gross Sales]]-Orders[[#This Row],[Discount Amount]]</f>
        <v>1424.05</v>
      </c>
      <c r="S807">
        <f>IF(Orders[[#This Row],[Actual Delivery Date]]="","",Orders[[#This Row],[Actual Delivery Date]]-Orders[[#This Row],[Order Date]])</f>
        <v>5</v>
      </c>
      <c r="T807" t="str">
        <f>IF(Orders[[#This Row],[Actual Delivery Date]]="","Pending",IF(Orders[[#This Row],[Actual Delivery Date]]&lt;=Orders[[#This Row],[Expected Delivery Date]],"On Time","Late"))</f>
        <v>On Time</v>
      </c>
      <c r="U807" t="str">
        <f>TEXT(Orders[[#This Row],[Order Date]],"mmm")</f>
        <v>Jan</v>
      </c>
      <c r="V807" s="8">
        <f>DATE(YEAR(Orders[[#This Row],[Order Date]]),MONTH(Orders[[#This Row],[Order Date]]),1)</f>
        <v>46023</v>
      </c>
      <c r="W807" s="5">
        <f>IF(Orders[[#This Row],[Order Status]]="Cancelled",Orders[[#This Row],[Net Sales]],0)</f>
        <v>0</v>
      </c>
    </row>
    <row r="808" spans="1:23" x14ac:dyDescent="0.3">
      <c r="A808" t="s">
        <v>1443</v>
      </c>
      <c r="B808" s="7">
        <v>46223</v>
      </c>
      <c r="C808" t="s">
        <v>528</v>
      </c>
      <c r="D808" t="s">
        <v>569</v>
      </c>
      <c r="E808" t="s">
        <v>27</v>
      </c>
      <c r="F808" t="s">
        <v>74</v>
      </c>
      <c r="G808" t="s">
        <v>69</v>
      </c>
      <c r="H808" t="s">
        <v>38</v>
      </c>
      <c r="I808">
        <v>1</v>
      </c>
      <c r="J808" s="5">
        <v>3499</v>
      </c>
      <c r="K808" s="2">
        <v>0.15</v>
      </c>
      <c r="L808" t="s">
        <v>39</v>
      </c>
      <c r="M808" t="s">
        <v>82</v>
      </c>
      <c r="N808" s="1">
        <v>46229</v>
      </c>
      <c r="O808" s="1">
        <v>46229</v>
      </c>
      <c r="P808" s="5">
        <f>Orders[[#This Row],[Quantity]]*Orders[[#This Row],[Unit Price]]</f>
        <v>3499</v>
      </c>
      <c r="Q808" s="5">
        <f>Orders[[#This Row],[Gross Sales]]*Orders[[#This Row],[Discount %]]</f>
        <v>524.85</v>
      </c>
      <c r="R808" s="5">
        <f>Orders[[#This Row],[Gross Sales]]-Orders[[#This Row],[Discount Amount]]</f>
        <v>2974.15</v>
      </c>
      <c r="S808">
        <f>IF(Orders[[#This Row],[Actual Delivery Date]]="","",Orders[[#This Row],[Actual Delivery Date]]-Orders[[#This Row],[Order Date]])</f>
        <v>6</v>
      </c>
      <c r="T808" t="str">
        <f>IF(Orders[[#This Row],[Actual Delivery Date]]="","Pending",IF(Orders[[#This Row],[Actual Delivery Date]]&lt;=Orders[[#This Row],[Expected Delivery Date]],"On Time","Late"))</f>
        <v>On Time</v>
      </c>
      <c r="U808" t="str">
        <f>TEXT(Orders[[#This Row],[Order Date]],"mmm")</f>
        <v>Jul</v>
      </c>
      <c r="V808" s="8">
        <f>DATE(YEAR(Orders[[#This Row],[Order Date]]),MONTH(Orders[[#This Row],[Order Date]]),1)</f>
        <v>46204</v>
      </c>
      <c r="W808" s="5">
        <f>IF(Orders[[#This Row],[Order Status]]="Cancelled",Orders[[#This Row],[Net Sales]],0)</f>
        <v>0</v>
      </c>
    </row>
    <row r="809" spans="1:23" x14ac:dyDescent="0.3">
      <c r="A809" t="s">
        <v>1444</v>
      </c>
      <c r="B809" s="7">
        <v>46246</v>
      </c>
      <c r="C809" t="s">
        <v>1160</v>
      </c>
      <c r="D809" t="s">
        <v>397</v>
      </c>
      <c r="E809" t="s">
        <v>79</v>
      </c>
      <c r="F809" t="s">
        <v>80</v>
      </c>
      <c r="G809" t="s">
        <v>29</v>
      </c>
      <c r="H809" t="s">
        <v>30</v>
      </c>
      <c r="I809">
        <v>1</v>
      </c>
      <c r="J809" s="5">
        <v>599</v>
      </c>
      <c r="K809" s="2">
        <v>0.05</v>
      </c>
      <c r="L809" t="s">
        <v>22</v>
      </c>
      <c r="M809" t="s">
        <v>23</v>
      </c>
      <c r="N809" s="1">
        <v>46253</v>
      </c>
      <c r="O809" s="1">
        <v>46250</v>
      </c>
      <c r="P809" s="5">
        <f>Orders[[#This Row],[Quantity]]*Orders[[#This Row],[Unit Price]]</f>
        <v>599</v>
      </c>
      <c r="Q809" s="5">
        <f>Orders[[#This Row],[Gross Sales]]*Orders[[#This Row],[Discount %]]</f>
        <v>29.950000000000003</v>
      </c>
      <c r="R809" s="5">
        <f>Orders[[#This Row],[Gross Sales]]-Orders[[#This Row],[Discount Amount]]</f>
        <v>569.04999999999995</v>
      </c>
      <c r="S809">
        <f>IF(Orders[[#This Row],[Actual Delivery Date]]="","",Orders[[#This Row],[Actual Delivery Date]]-Orders[[#This Row],[Order Date]])</f>
        <v>4</v>
      </c>
      <c r="T809" t="str">
        <f>IF(Orders[[#This Row],[Actual Delivery Date]]="","Pending",IF(Orders[[#This Row],[Actual Delivery Date]]&lt;=Orders[[#This Row],[Expected Delivery Date]],"On Time","Late"))</f>
        <v>On Time</v>
      </c>
      <c r="U809" t="str">
        <f>TEXT(Orders[[#This Row],[Order Date]],"mmm")</f>
        <v>Aug</v>
      </c>
      <c r="V809" s="8">
        <f>DATE(YEAR(Orders[[#This Row],[Order Date]]),MONTH(Orders[[#This Row],[Order Date]]),1)</f>
        <v>46235</v>
      </c>
      <c r="W809" s="5">
        <f>IF(Orders[[#This Row],[Order Status]]="Cancelled",Orders[[#This Row],[Net Sales]],0)</f>
        <v>0</v>
      </c>
    </row>
    <row r="810" spans="1:23" x14ac:dyDescent="0.3">
      <c r="A810" t="s">
        <v>1445</v>
      </c>
      <c r="B810" s="7">
        <v>46070</v>
      </c>
      <c r="C810" t="s">
        <v>686</v>
      </c>
      <c r="D810" t="s">
        <v>73</v>
      </c>
      <c r="E810" t="s">
        <v>27</v>
      </c>
      <c r="F810" t="s">
        <v>51</v>
      </c>
      <c r="G810" t="s">
        <v>104</v>
      </c>
      <c r="H810" t="s">
        <v>38</v>
      </c>
      <c r="I810">
        <v>1</v>
      </c>
      <c r="J810" s="5">
        <v>999</v>
      </c>
      <c r="K810" s="2">
        <v>0</v>
      </c>
      <c r="L810" t="s">
        <v>22</v>
      </c>
      <c r="M810" t="s">
        <v>23</v>
      </c>
      <c r="N810" s="1">
        <v>46072</v>
      </c>
      <c r="O810" s="1">
        <v>46071</v>
      </c>
      <c r="P810" s="5">
        <f>Orders[[#This Row],[Quantity]]*Orders[[#This Row],[Unit Price]]</f>
        <v>999</v>
      </c>
      <c r="Q810" s="5">
        <f>Orders[[#This Row],[Gross Sales]]*Orders[[#This Row],[Discount %]]</f>
        <v>0</v>
      </c>
      <c r="R810" s="5">
        <f>Orders[[#This Row],[Gross Sales]]-Orders[[#This Row],[Discount Amount]]</f>
        <v>999</v>
      </c>
      <c r="S810">
        <f>IF(Orders[[#This Row],[Actual Delivery Date]]="","",Orders[[#This Row],[Actual Delivery Date]]-Orders[[#This Row],[Order Date]])</f>
        <v>1</v>
      </c>
      <c r="T810" t="str">
        <f>IF(Orders[[#This Row],[Actual Delivery Date]]="","Pending",IF(Orders[[#This Row],[Actual Delivery Date]]&lt;=Orders[[#This Row],[Expected Delivery Date]],"On Time","Late"))</f>
        <v>On Time</v>
      </c>
      <c r="U810" t="str">
        <f>TEXT(Orders[[#This Row],[Order Date]],"mmm")</f>
        <v>Feb</v>
      </c>
      <c r="V810" s="8">
        <f>DATE(YEAR(Orders[[#This Row],[Order Date]]),MONTH(Orders[[#This Row],[Order Date]]),1)</f>
        <v>46054</v>
      </c>
      <c r="W810" s="5">
        <f>IF(Orders[[#This Row],[Order Status]]="Cancelled",Orders[[#This Row],[Net Sales]],0)</f>
        <v>0</v>
      </c>
    </row>
    <row r="811" spans="1:23" x14ac:dyDescent="0.3">
      <c r="A811" t="s">
        <v>1446</v>
      </c>
      <c r="B811" s="7">
        <v>46118</v>
      </c>
      <c r="C811" t="s">
        <v>1205</v>
      </c>
      <c r="D811" t="s">
        <v>804</v>
      </c>
      <c r="E811" t="s">
        <v>18</v>
      </c>
      <c r="F811" t="s">
        <v>95</v>
      </c>
      <c r="G811" t="s">
        <v>118</v>
      </c>
      <c r="H811" t="s">
        <v>58</v>
      </c>
      <c r="I811">
        <v>1</v>
      </c>
      <c r="J811" s="5">
        <v>749</v>
      </c>
      <c r="K811" s="2">
        <v>0.05</v>
      </c>
      <c r="L811" t="s">
        <v>46</v>
      </c>
      <c r="M811" t="s">
        <v>23</v>
      </c>
      <c r="N811" s="1">
        <v>46124</v>
      </c>
      <c r="O811" s="1">
        <v>46124</v>
      </c>
      <c r="P811" s="5">
        <f>Orders[[#This Row],[Quantity]]*Orders[[#This Row],[Unit Price]]</f>
        <v>749</v>
      </c>
      <c r="Q811" s="5">
        <f>Orders[[#This Row],[Gross Sales]]*Orders[[#This Row],[Discount %]]</f>
        <v>37.450000000000003</v>
      </c>
      <c r="R811" s="5">
        <f>Orders[[#This Row],[Gross Sales]]-Orders[[#This Row],[Discount Amount]]</f>
        <v>711.55</v>
      </c>
      <c r="S811">
        <f>IF(Orders[[#This Row],[Actual Delivery Date]]="","",Orders[[#This Row],[Actual Delivery Date]]-Orders[[#This Row],[Order Date]])</f>
        <v>6</v>
      </c>
      <c r="T811" t="str">
        <f>IF(Orders[[#This Row],[Actual Delivery Date]]="","Pending",IF(Orders[[#This Row],[Actual Delivery Date]]&lt;=Orders[[#This Row],[Expected Delivery Date]],"On Time","Late"))</f>
        <v>On Time</v>
      </c>
      <c r="U811" t="str">
        <f>TEXT(Orders[[#This Row],[Order Date]],"mmm")</f>
        <v>Apr</v>
      </c>
      <c r="V811" s="8">
        <f>DATE(YEAR(Orders[[#This Row],[Order Date]]),MONTH(Orders[[#This Row],[Order Date]]),1)</f>
        <v>46113</v>
      </c>
      <c r="W811" s="5">
        <f>IF(Orders[[#This Row],[Order Status]]="Cancelled",Orders[[#This Row],[Net Sales]],0)</f>
        <v>0</v>
      </c>
    </row>
    <row r="812" spans="1:23" x14ac:dyDescent="0.3">
      <c r="A812" t="s">
        <v>1447</v>
      </c>
      <c r="B812" s="7">
        <v>46344</v>
      </c>
      <c r="C812" t="s">
        <v>754</v>
      </c>
      <c r="D812" t="s">
        <v>658</v>
      </c>
      <c r="E812" t="s">
        <v>18</v>
      </c>
      <c r="F812" t="s">
        <v>121</v>
      </c>
      <c r="G812" t="s">
        <v>52</v>
      </c>
      <c r="H812" t="s">
        <v>45</v>
      </c>
      <c r="I812">
        <v>1</v>
      </c>
      <c r="J812" s="5">
        <v>1299</v>
      </c>
      <c r="K812" s="2">
        <v>0.2</v>
      </c>
      <c r="L812" t="s">
        <v>39</v>
      </c>
      <c r="M812" t="s">
        <v>23</v>
      </c>
      <c r="N812" s="1">
        <v>46349</v>
      </c>
      <c r="O812" s="1">
        <v>46350</v>
      </c>
      <c r="P812" s="5">
        <f>Orders[[#This Row],[Quantity]]*Orders[[#This Row],[Unit Price]]</f>
        <v>1299</v>
      </c>
      <c r="Q812" s="5">
        <f>Orders[[#This Row],[Gross Sales]]*Orders[[#This Row],[Discount %]]</f>
        <v>259.8</v>
      </c>
      <c r="R812" s="5">
        <f>Orders[[#This Row],[Gross Sales]]-Orders[[#This Row],[Discount Amount]]</f>
        <v>1039.2</v>
      </c>
      <c r="S812">
        <f>IF(Orders[[#This Row],[Actual Delivery Date]]="","",Orders[[#This Row],[Actual Delivery Date]]-Orders[[#This Row],[Order Date]])</f>
        <v>6</v>
      </c>
      <c r="T812" t="str">
        <f>IF(Orders[[#This Row],[Actual Delivery Date]]="","Pending",IF(Orders[[#This Row],[Actual Delivery Date]]&lt;=Orders[[#This Row],[Expected Delivery Date]],"On Time","Late"))</f>
        <v>Late</v>
      </c>
      <c r="U812" t="str">
        <f>TEXT(Orders[[#This Row],[Order Date]],"mmm")</f>
        <v>Nov</v>
      </c>
      <c r="V812" s="8">
        <f>DATE(YEAR(Orders[[#This Row],[Order Date]]),MONTH(Orders[[#This Row],[Order Date]]),1)</f>
        <v>46327</v>
      </c>
      <c r="W812" s="5">
        <f>IF(Orders[[#This Row],[Order Status]]="Cancelled",Orders[[#This Row],[Net Sales]],0)</f>
        <v>0</v>
      </c>
    </row>
    <row r="813" spans="1:23" x14ac:dyDescent="0.3">
      <c r="A813" t="s">
        <v>1448</v>
      </c>
      <c r="B813" s="7">
        <v>46062</v>
      </c>
      <c r="C813" t="s">
        <v>262</v>
      </c>
      <c r="D813" t="s">
        <v>361</v>
      </c>
      <c r="E813" t="s">
        <v>35</v>
      </c>
      <c r="F813" t="s">
        <v>36</v>
      </c>
      <c r="G813" t="s">
        <v>104</v>
      </c>
      <c r="H813" t="s">
        <v>38</v>
      </c>
      <c r="I813">
        <v>2</v>
      </c>
      <c r="J813" s="5">
        <v>999</v>
      </c>
      <c r="K813" s="2">
        <v>0.1</v>
      </c>
      <c r="L813" t="s">
        <v>31</v>
      </c>
      <c r="M813" t="s">
        <v>23</v>
      </c>
      <c r="N813" s="1">
        <v>46064</v>
      </c>
      <c r="O813" s="1">
        <v>46063</v>
      </c>
      <c r="P813" s="5">
        <f>Orders[[#This Row],[Quantity]]*Orders[[#This Row],[Unit Price]]</f>
        <v>1998</v>
      </c>
      <c r="Q813" s="5">
        <f>Orders[[#This Row],[Gross Sales]]*Orders[[#This Row],[Discount %]]</f>
        <v>199.8</v>
      </c>
      <c r="R813" s="5">
        <f>Orders[[#This Row],[Gross Sales]]-Orders[[#This Row],[Discount Amount]]</f>
        <v>1798.2</v>
      </c>
      <c r="S813">
        <f>IF(Orders[[#This Row],[Actual Delivery Date]]="","",Orders[[#This Row],[Actual Delivery Date]]-Orders[[#This Row],[Order Date]])</f>
        <v>1</v>
      </c>
      <c r="T813" t="str">
        <f>IF(Orders[[#This Row],[Actual Delivery Date]]="","Pending",IF(Orders[[#This Row],[Actual Delivery Date]]&lt;=Orders[[#This Row],[Expected Delivery Date]],"On Time","Late"))</f>
        <v>On Time</v>
      </c>
      <c r="U813" t="str">
        <f>TEXT(Orders[[#This Row],[Order Date]],"mmm")</f>
        <v>Feb</v>
      </c>
      <c r="V813" s="8">
        <f>DATE(YEAR(Orders[[#This Row],[Order Date]]),MONTH(Orders[[#This Row],[Order Date]]),1)</f>
        <v>46054</v>
      </c>
      <c r="W813" s="5">
        <f>IF(Orders[[#This Row],[Order Status]]="Cancelled",Orders[[#This Row],[Net Sales]],0)</f>
        <v>0</v>
      </c>
    </row>
    <row r="814" spans="1:23" x14ac:dyDescent="0.3">
      <c r="A814" t="s">
        <v>1449</v>
      </c>
      <c r="B814" s="7">
        <v>46215</v>
      </c>
      <c r="C814" t="s">
        <v>1450</v>
      </c>
      <c r="D814" t="s">
        <v>55</v>
      </c>
      <c r="E814" t="s">
        <v>79</v>
      </c>
      <c r="F814" t="s">
        <v>86</v>
      </c>
      <c r="G814" t="s">
        <v>96</v>
      </c>
      <c r="H814" t="s">
        <v>38</v>
      </c>
      <c r="I814">
        <v>3</v>
      </c>
      <c r="J814" s="5">
        <v>1599</v>
      </c>
      <c r="K814" s="2">
        <v>0.15</v>
      </c>
      <c r="L814" t="s">
        <v>31</v>
      </c>
      <c r="M814" t="s">
        <v>23</v>
      </c>
      <c r="N814" s="1">
        <v>46219</v>
      </c>
      <c r="O814" s="1">
        <v>46217</v>
      </c>
      <c r="P814" s="5">
        <f>Orders[[#This Row],[Quantity]]*Orders[[#This Row],[Unit Price]]</f>
        <v>4797</v>
      </c>
      <c r="Q814" s="5">
        <f>Orders[[#This Row],[Gross Sales]]*Orders[[#This Row],[Discount %]]</f>
        <v>719.55</v>
      </c>
      <c r="R814" s="5">
        <f>Orders[[#This Row],[Gross Sales]]-Orders[[#This Row],[Discount Amount]]</f>
        <v>4077.45</v>
      </c>
      <c r="S814">
        <f>IF(Orders[[#This Row],[Actual Delivery Date]]="","",Orders[[#This Row],[Actual Delivery Date]]-Orders[[#This Row],[Order Date]])</f>
        <v>2</v>
      </c>
      <c r="T814" t="str">
        <f>IF(Orders[[#This Row],[Actual Delivery Date]]="","Pending",IF(Orders[[#This Row],[Actual Delivery Date]]&lt;=Orders[[#This Row],[Expected Delivery Date]],"On Time","Late"))</f>
        <v>On Time</v>
      </c>
      <c r="U814" t="str">
        <f>TEXT(Orders[[#This Row],[Order Date]],"mmm")</f>
        <v>Jul</v>
      </c>
      <c r="V814" s="8">
        <f>DATE(YEAR(Orders[[#This Row],[Order Date]]),MONTH(Orders[[#This Row],[Order Date]]),1)</f>
        <v>46204</v>
      </c>
      <c r="W814" s="5">
        <f>IF(Orders[[#This Row],[Order Status]]="Cancelled",Orders[[#This Row],[Net Sales]],0)</f>
        <v>0</v>
      </c>
    </row>
    <row r="815" spans="1:23" x14ac:dyDescent="0.3">
      <c r="A815" t="s">
        <v>1451</v>
      </c>
      <c r="B815" s="7">
        <v>46337</v>
      </c>
      <c r="C815" t="s">
        <v>327</v>
      </c>
      <c r="D815" t="s">
        <v>1452</v>
      </c>
      <c r="E815" t="s">
        <v>18</v>
      </c>
      <c r="F815" t="s">
        <v>121</v>
      </c>
      <c r="G815" t="s">
        <v>218</v>
      </c>
      <c r="H815" t="s">
        <v>21</v>
      </c>
      <c r="I815">
        <v>2</v>
      </c>
      <c r="J815" s="5">
        <v>2999</v>
      </c>
      <c r="K815" s="2">
        <v>0</v>
      </c>
      <c r="L815" t="s">
        <v>31</v>
      </c>
      <c r="M815" t="s">
        <v>47</v>
      </c>
      <c r="N815" s="1">
        <v>46344</v>
      </c>
      <c r="O815" s="1"/>
      <c r="P815" s="5">
        <f>Orders[[#This Row],[Quantity]]*Orders[[#This Row],[Unit Price]]</f>
        <v>5998</v>
      </c>
      <c r="Q815" s="5">
        <f>Orders[[#This Row],[Gross Sales]]*Orders[[#This Row],[Discount %]]</f>
        <v>0</v>
      </c>
      <c r="R815" s="5">
        <f>Orders[[#This Row],[Gross Sales]]-Orders[[#This Row],[Discount Amount]]</f>
        <v>5998</v>
      </c>
      <c r="S815" t="str">
        <f>IF(Orders[[#This Row],[Actual Delivery Date]]="","",Orders[[#This Row],[Actual Delivery Date]]-Orders[[#This Row],[Order Date]])</f>
        <v/>
      </c>
      <c r="T815" t="str">
        <f>IF(Orders[[#This Row],[Actual Delivery Date]]="","Pending",IF(Orders[[#This Row],[Actual Delivery Date]]&lt;=Orders[[#This Row],[Expected Delivery Date]],"On Time","Late"))</f>
        <v>Pending</v>
      </c>
      <c r="U815" t="str">
        <f>TEXT(Orders[[#This Row],[Order Date]],"mmm")</f>
        <v>Nov</v>
      </c>
      <c r="V815" s="8">
        <f>DATE(YEAR(Orders[[#This Row],[Order Date]]),MONTH(Orders[[#This Row],[Order Date]]),1)</f>
        <v>46327</v>
      </c>
      <c r="W815" s="5">
        <f>IF(Orders[[#This Row],[Order Status]]="Cancelled",Orders[[#This Row],[Net Sales]],0)</f>
        <v>0</v>
      </c>
    </row>
    <row r="816" spans="1:23" x14ac:dyDescent="0.3">
      <c r="A816" t="s">
        <v>1453</v>
      </c>
      <c r="B816" s="7">
        <v>46288</v>
      </c>
      <c r="C816" t="s">
        <v>437</v>
      </c>
      <c r="D816" t="s">
        <v>1109</v>
      </c>
      <c r="E816" t="s">
        <v>27</v>
      </c>
      <c r="F816" t="s">
        <v>28</v>
      </c>
      <c r="G816" t="s">
        <v>81</v>
      </c>
      <c r="H816" t="s">
        <v>30</v>
      </c>
      <c r="I816">
        <v>2</v>
      </c>
      <c r="J816" s="5">
        <v>899</v>
      </c>
      <c r="K816" s="2">
        <v>0.05</v>
      </c>
      <c r="L816" t="s">
        <v>31</v>
      </c>
      <c r="M816" t="s">
        <v>82</v>
      </c>
      <c r="N816" s="1">
        <v>46292</v>
      </c>
      <c r="O816" s="1">
        <v>46290</v>
      </c>
      <c r="P816" s="5">
        <f>Orders[[#This Row],[Quantity]]*Orders[[#This Row],[Unit Price]]</f>
        <v>1798</v>
      </c>
      <c r="Q816" s="5">
        <f>Orders[[#This Row],[Gross Sales]]*Orders[[#This Row],[Discount %]]</f>
        <v>89.9</v>
      </c>
      <c r="R816" s="5">
        <f>Orders[[#This Row],[Gross Sales]]-Orders[[#This Row],[Discount Amount]]</f>
        <v>1708.1</v>
      </c>
      <c r="S816">
        <f>IF(Orders[[#This Row],[Actual Delivery Date]]="","",Orders[[#This Row],[Actual Delivery Date]]-Orders[[#This Row],[Order Date]])</f>
        <v>2</v>
      </c>
      <c r="T816" t="str">
        <f>IF(Orders[[#This Row],[Actual Delivery Date]]="","Pending",IF(Orders[[#This Row],[Actual Delivery Date]]&lt;=Orders[[#This Row],[Expected Delivery Date]],"On Time","Late"))</f>
        <v>On Time</v>
      </c>
      <c r="U816" t="str">
        <f>TEXT(Orders[[#This Row],[Order Date]],"mmm")</f>
        <v>Sep</v>
      </c>
      <c r="V816" s="8">
        <f>DATE(YEAR(Orders[[#This Row],[Order Date]]),MONTH(Orders[[#This Row],[Order Date]]),1)</f>
        <v>46266</v>
      </c>
      <c r="W816" s="5">
        <f>IF(Orders[[#This Row],[Order Status]]="Cancelled",Orders[[#This Row],[Net Sales]],0)</f>
        <v>0</v>
      </c>
    </row>
    <row r="817" spans="1:23" x14ac:dyDescent="0.3">
      <c r="A817" t="s">
        <v>1454</v>
      </c>
      <c r="B817" s="7">
        <v>46160</v>
      </c>
      <c r="C817" t="s">
        <v>903</v>
      </c>
      <c r="D817" t="s">
        <v>1166</v>
      </c>
      <c r="E817" t="s">
        <v>27</v>
      </c>
      <c r="F817" t="s">
        <v>56</v>
      </c>
      <c r="G817" t="s">
        <v>52</v>
      </c>
      <c r="H817" t="s">
        <v>45</v>
      </c>
      <c r="I817">
        <v>1</v>
      </c>
      <c r="J817" s="5">
        <v>1299</v>
      </c>
      <c r="K817" s="2">
        <v>0.05</v>
      </c>
      <c r="L817" t="s">
        <v>39</v>
      </c>
      <c r="M817" t="s">
        <v>23</v>
      </c>
      <c r="N817" s="1">
        <v>46167</v>
      </c>
      <c r="O817" s="1">
        <v>46163</v>
      </c>
      <c r="P817" s="5">
        <f>Orders[[#This Row],[Quantity]]*Orders[[#This Row],[Unit Price]]</f>
        <v>1299</v>
      </c>
      <c r="Q817" s="5">
        <f>Orders[[#This Row],[Gross Sales]]*Orders[[#This Row],[Discount %]]</f>
        <v>64.95</v>
      </c>
      <c r="R817" s="5">
        <f>Orders[[#This Row],[Gross Sales]]-Orders[[#This Row],[Discount Amount]]</f>
        <v>1234.05</v>
      </c>
      <c r="S817">
        <f>IF(Orders[[#This Row],[Actual Delivery Date]]="","",Orders[[#This Row],[Actual Delivery Date]]-Orders[[#This Row],[Order Date]])</f>
        <v>3</v>
      </c>
      <c r="T817" t="str">
        <f>IF(Orders[[#This Row],[Actual Delivery Date]]="","Pending",IF(Orders[[#This Row],[Actual Delivery Date]]&lt;=Orders[[#This Row],[Expected Delivery Date]],"On Time","Late"))</f>
        <v>On Time</v>
      </c>
      <c r="U817" t="str">
        <f>TEXT(Orders[[#This Row],[Order Date]],"mmm")</f>
        <v>May</v>
      </c>
      <c r="V817" s="8">
        <f>DATE(YEAR(Orders[[#This Row],[Order Date]]),MONTH(Orders[[#This Row],[Order Date]]),1)</f>
        <v>46143</v>
      </c>
      <c r="W817" s="5">
        <f>IF(Orders[[#This Row],[Order Status]]="Cancelled",Orders[[#This Row],[Net Sales]],0)</f>
        <v>0</v>
      </c>
    </row>
    <row r="818" spans="1:23" x14ac:dyDescent="0.3">
      <c r="A818" t="s">
        <v>1455</v>
      </c>
      <c r="B818" s="7">
        <v>46111</v>
      </c>
      <c r="C818" t="s">
        <v>93</v>
      </c>
      <c r="D818" t="s">
        <v>114</v>
      </c>
      <c r="E818" t="s">
        <v>79</v>
      </c>
      <c r="F818" t="s">
        <v>170</v>
      </c>
      <c r="G818" t="s">
        <v>131</v>
      </c>
      <c r="H818" t="s">
        <v>38</v>
      </c>
      <c r="I818">
        <v>1</v>
      </c>
      <c r="J818" s="5">
        <v>899</v>
      </c>
      <c r="K818" s="2">
        <v>0.1</v>
      </c>
      <c r="L818" t="s">
        <v>70</v>
      </c>
      <c r="M818" t="s">
        <v>23</v>
      </c>
      <c r="N818" s="1">
        <v>46117</v>
      </c>
      <c r="O818" s="1">
        <v>46116</v>
      </c>
      <c r="P818" s="5">
        <f>Orders[[#This Row],[Quantity]]*Orders[[#This Row],[Unit Price]]</f>
        <v>899</v>
      </c>
      <c r="Q818" s="5">
        <f>Orders[[#This Row],[Gross Sales]]*Orders[[#This Row],[Discount %]]</f>
        <v>89.9</v>
      </c>
      <c r="R818" s="5">
        <f>Orders[[#This Row],[Gross Sales]]-Orders[[#This Row],[Discount Amount]]</f>
        <v>809.1</v>
      </c>
      <c r="S818">
        <f>IF(Orders[[#This Row],[Actual Delivery Date]]="","",Orders[[#This Row],[Actual Delivery Date]]-Orders[[#This Row],[Order Date]])</f>
        <v>5</v>
      </c>
      <c r="T818" t="str">
        <f>IF(Orders[[#This Row],[Actual Delivery Date]]="","Pending",IF(Orders[[#This Row],[Actual Delivery Date]]&lt;=Orders[[#This Row],[Expected Delivery Date]],"On Time","Late"))</f>
        <v>On Time</v>
      </c>
      <c r="U818" t="str">
        <f>TEXT(Orders[[#This Row],[Order Date]],"mmm")</f>
        <v>Mar</v>
      </c>
      <c r="V818" s="8">
        <f>DATE(YEAR(Orders[[#This Row],[Order Date]]),MONTH(Orders[[#This Row],[Order Date]]),1)</f>
        <v>46082</v>
      </c>
      <c r="W818" s="5">
        <f>IF(Orders[[#This Row],[Order Status]]="Cancelled",Orders[[#This Row],[Net Sales]],0)</f>
        <v>0</v>
      </c>
    </row>
    <row r="819" spans="1:23" x14ac:dyDescent="0.3">
      <c r="A819" t="s">
        <v>1456</v>
      </c>
      <c r="B819" s="7">
        <v>46239</v>
      </c>
      <c r="C819" t="s">
        <v>722</v>
      </c>
      <c r="D819" t="s">
        <v>565</v>
      </c>
      <c r="E819" t="s">
        <v>27</v>
      </c>
      <c r="F819" t="s">
        <v>74</v>
      </c>
      <c r="G819" t="s">
        <v>57</v>
      </c>
      <c r="H819" t="s">
        <v>58</v>
      </c>
      <c r="I819">
        <v>2</v>
      </c>
      <c r="J819" s="5">
        <v>499</v>
      </c>
      <c r="K819" s="2">
        <v>0.1</v>
      </c>
      <c r="L819" t="s">
        <v>46</v>
      </c>
      <c r="M819" t="s">
        <v>47</v>
      </c>
      <c r="N819" s="1">
        <v>46241</v>
      </c>
      <c r="O819" s="1"/>
      <c r="P819" s="5">
        <f>Orders[[#This Row],[Quantity]]*Orders[[#This Row],[Unit Price]]</f>
        <v>998</v>
      </c>
      <c r="Q819" s="5">
        <f>Orders[[#This Row],[Gross Sales]]*Orders[[#This Row],[Discount %]]</f>
        <v>99.800000000000011</v>
      </c>
      <c r="R819" s="5">
        <f>Orders[[#This Row],[Gross Sales]]-Orders[[#This Row],[Discount Amount]]</f>
        <v>898.2</v>
      </c>
      <c r="S819" t="str">
        <f>IF(Orders[[#This Row],[Actual Delivery Date]]="","",Orders[[#This Row],[Actual Delivery Date]]-Orders[[#This Row],[Order Date]])</f>
        <v/>
      </c>
      <c r="T819" t="str">
        <f>IF(Orders[[#This Row],[Actual Delivery Date]]="","Pending",IF(Orders[[#This Row],[Actual Delivery Date]]&lt;=Orders[[#This Row],[Expected Delivery Date]],"On Time","Late"))</f>
        <v>Pending</v>
      </c>
      <c r="U819" t="str">
        <f>TEXT(Orders[[#This Row],[Order Date]],"mmm")</f>
        <v>Aug</v>
      </c>
      <c r="V819" s="8">
        <f>DATE(YEAR(Orders[[#This Row],[Order Date]]),MONTH(Orders[[#This Row],[Order Date]]),1)</f>
        <v>46235</v>
      </c>
      <c r="W819" s="5">
        <f>IF(Orders[[#This Row],[Order Status]]="Cancelled",Orders[[#This Row],[Net Sales]],0)</f>
        <v>0</v>
      </c>
    </row>
    <row r="820" spans="1:23" x14ac:dyDescent="0.3">
      <c r="A820" t="s">
        <v>1457</v>
      </c>
      <c r="B820" s="7">
        <v>46253</v>
      </c>
      <c r="C820" t="s">
        <v>1458</v>
      </c>
      <c r="D820" t="s">
        <v>395</v>
      </c>
      <c r="E820" t="s">
        <v>27</v>
      </c>
      <c r="F820" t="s">
        <v>51</v>
      </c>
      <c r="G820" t="s">
        <v>64</v>
      </c>
      <c r="H820" t="s">
        <v>21</v>
      </c>
      <c r="I820">
        <v>1</v>
      </c>
      <c r="J820" s="5">
        <v>699</v>
      </c>
      <c r="K820" s="2">
        <v>0</v>
      </c>
      <c r="L820" t="s">
        <v>22</v>
      </c>
      <c r="M820" t="s">
        <v>23</v>
      </c>
      <c r="N820" s="1">
        <v>46259</v>
      </c>
      <c r="O820" s="1">
        <v>46258</v>
      </c>
      <c r="P820" s="5">
        <f>Orders[[#This Row],[Quantity]]*Orders[[#This Row],[Unit Price]]</f>
        <v>699</v>
      </c>
      <c r="Q820" s="5">
        <f>Orders[[#This Row],[Gross Sales]]*Orders[[#This Row],[Discount %]]</f>
        <v>0</v>
      </c>
      <c r="R820" s="5">
        <f>Orders[[#This Row],[Gross Sales]]-Orders[[#This Row],[Discount Amount]]</f>
        <v>699</v>
      </c>
      <c r="S820">
        <f>IF(Orders[[#This Row],[Actual Delivery Date]]="","",Orders[[#This Row],[Actual Delivery Date]]-Orders[[#This Row],[Order Date]])</f>
        <v>5</v>
      </c>
      <c r="T820" t="str">
        <f>IF(Orders[[#This Row],[Actual Delivery Date]]="","Pending",IF(Orders[[#This Row],[Actual Delivery Date]]&lt;=Orders[[#This Row],[Expected Delivery Date]],"On Time","Late"))</f>
        <v>On Time</v>
      </c>
      <c r="U820" t="str">
        <f>TEXT(Orders[[#This Row],[Order Date]],"mmm")</f>
        <v>Aug</v>
      </c>
      <c r="V820" s="8">
        <f>DATE(YEAR(Orders[[#This Row],[Order Date]]),MONTH(Orders[[#This Row],[Order Date]]),1)</f>
        <v>46235</v>
      </c>
      <c r="W820" s="5">
        <f>IF(Orders[[#This Row],[Order Status]]="Cancelled",Orders[[#This Row],[Net Sales]],0)</f>
        <v>0</v>
      </c>
    </row>
    <row r="821" spans="1:23" x14ac:dyDescent="0.3">
      <c r="A821" t="s">
        <v>1459</v>
      </c>
      <c r="B821" s="7">
        <v>46188</v>
      </c>
      <c r="C821" t="s">
        <v>1460</v>
      </c>
      <c r="D821" t="s">
        <v>355</v>
      </c>
      <c r="E821" t="s">
        <v>79</v>
      </c>
      <c r="F821" t="s">
        <v>86</v>
      </c>
      <c r="G821" t="s">
        <v>52</v>
      </c>
      <c r="H821" t="s">
        <v>45</v>
      </c>
      <c r="I821">
        <v>1</v>
      </c>
      <c r="J821" s="5">
        <v>1299</v>
      </c>
      <c r="K821" s="2">
        <v>0.05</v>
      </c>
      <c r="L821" t="s">
        <v>46</v>
      </c>
      <c r="M821" t="s">
        <v>23</v>
      </c>
      <c r="N821" s="1">
        <v>46190</v>
      </c>
      <c r="O821" s="1">
        <v>46190</v>
      </c>
      <c r="P821" s="5">
        <f>Orders[[#This Row],[Quantity]]*Orders[[#This Row],[Unit Price]]</f>
        <v>1299</v>
      </c>
      <c r="Q821" s="5">
        <f>Orders[[#This Row],[Gross Sales]]*Orders[[#This Row],[Discount %]]</f>
        <v>64.95</v>
      </c>
      <c r="R821" s="5">
        <f>Orders[[#This Row],[Gross Sales]]-Orders[[#This Row],[Discount Amount]]</f>
        <v>1234.05</v>
      </c>
      <c r="S821">
        <f>IF(Orders[[#This Row],[Actual Delivery Date]]="","",Orders[[#This Row],[Actual Delivery Date]]-Orders[[#This Row],[Order Date]])</f>
        <v>2</v>
      </c>
      <c r="T821" t="str">
        <f>IF(Orders[[#This Row],[Actual Delivery Date]]="","Pending",IF(Orders[[#This Row],[Actual Delivery Date]]&lt;=Orders[[#This Row],[Expected Delivery Date]],"On Time","Late"))</f>
        <v>On Time</v>
      </c>
      <c r="U821" t="str">
        <f>TEXT(Orders[[#This Row],[Order Date]],"mmm")</f>
        <v>Jun</v>
      </c>
      <c r="V821" s="8">
        <f>DATE(YEAR(Orders[[#This Row],[Order Date]]),MONTH(Orders[[#This Row],[Order Date]]),1)</f>
        <v>46174</v>
      </c>
      <c r="W821" s="5">
        <f>IF(Orders[[#This Row],[Order Status]]="Cancelled",Orders[[#This Row],[Net Sales]],0)</f>
        <v>0</v>
      </c>
    </row>
    <row r="822" spans="1:23" x14ac:dyDescent="0.3">
      <c r="A822" t="s">
        <v>1461</v>
      </c>
      <c r="B822" s="7">
        <v>46375</v>
      </c>
      <c r="C822" t="s">
        <v>329</v>
      </c>
      <c r="D822" t="s">
        <v>422</v>
      </c>
      <c r="E822" t="s">
        <v>35</v>
      </c>
      <c r="F822" t="s">
        <v>135</v>
      </c>
      <c r="G822" t="s">
        <v>153</v>
      </c>
      <c r="H822" t="s">
        <v>45</v>
      </c>
      <c r="I822">
        <v>1</v>
      </c>
      <c r="J822" s="5">
        <v>1999</v>
      </c>
      <c r="K822" s="2">
        <v>0.1</v>
      </c>
      <c r="L822" t="s">
        <v>31</v>
      </c>
      <c r="M822" t="s">
        <v>23</v>
      </c>
      <c r="N822" s="1">
        <v>46381</v>
      </c>
      <c r="O822" s="1">
        <v>46377</v>
      </c>
      <c r="P822" s="5">
        <f>Orders[[#This Row],[Quantity]]*Orders[[#This Row],[Unit Price]]</f>
        <v>1999</v>
      </c>
      <c r="Q822" s="5">
        <f>Orders[[#This Row],[Gross Sales]]*Orders[[#This Row],[Discount %]]</f>
        <v>199.9</v>
      </c>
      <c r="R822" s="5">
        <f>Orders[[#This Row],[Gross Sales]]-Orders[[#This Row],[Discount Amount]]</f>
        <v>1799.1</v>
      </c>
      <c r="S822">
        <f>IF(Orders[[#This Row],[Actual Delivery Date]]="","",Orders[[#This Row],[Actual Delivery Date]]-Orders[[#This Row],[Order Date]])</f>
        <v>2</v>
      </c>
      <c r="T822" t="str">
        <f>IF(Orders[[#This Row],[Actual Delivery Date]]="","Pending",IF(Orders[[#This Row],[Actual Delivery Date]]&lt;=Orders[[#This Row],[Expected Delivery Date]],"On Time","Late"))</f>
        <v>On Time</v>
      </c>
      <c r="U822" t="str">
        <f>TEXT(Orders[[#This Row],[Order Date]],"mmm")</f>
        <v>Dec</v>
      </c>
      <c r="V822" s="8">
        <f>DATE(YEAR(Orders[[#This Row],[Order Date]]),MONTH(Orders[[#This Row],[Order Date]]),1)</f>
        <v>46357</v>
      </c>
      <c r="W822" s="5">
        <f>IF(Orders[[#This Row],[Order Status]]="Cancelled",Orders[[#This Row],[Net Sales]],0)</f>
        <v>0</v>
      </c>
    </row>
    <row r="823" spans="1:23" x14ac:dyDescent="0.3">
      <c r="A823" t="s">
        <v>1462</v>
      </c>
      <c r="B823" s="7">
        <v>46292</v>
      </c>
      <c r="C823" t="s">
        <v>666</v>
      </c>
      <c r="D823" t="s">
        <v>1013</v>
      </c>
      <c r="E823" t="s">
        <v>79</v>
      </c>
      <c r="F823" t="s">
        <v>80</v>
      </c>
      <c r="G823" t="s">
        <v>29</v>
      </c>
      <c r="H823" t="s">
        <v>30</v>
      </c>
      <c r="I823">
        <v>1</v>
      </c>
      <c r="J823" s="5">
        <v>599</v>
      </c>
      <c r="K823" s="2">
        <v>0.2</v>
      </c>
      <c r="L823" t="s">
        <v>46</v>
      </c>
      <c r="M823" t="s">
        <v>59</v>
      </c>
      <c r="N823" s="1">
        <v>46298</v>
      </c>
      <c r="O823" s="1">
        <v>46299</v>
      </c>
      <c r="P823" s="5">
        <f>Orders[[#This Row],[Quantity]]*Orders[[#This Row],[Unit Price]]</f>
        <v>599</v>
      </c>
      <c r="Q823" s="5">
        <f>Orders[[#This Row],[Gross Sales]]*Orders[[#This Row],[Discount %]]</f>
        <v>119.80000000000001</v>
      </c>
      <c r="R823" s="5">
        <f>Orders[[#This Row],[Gross Sales]]-Orders[[#This Row],[Discount Amount]]</f>
        <v>479.2</v>
      </c>
      <c r="S823">
        <f>IF(Orders[[#This Row],[Actual Delivery Date]]="","",Orders[[#This Row],[Actual Delivery Date]]-Orders[[#This Row],[Order Date]])</f>
        <v>7</v>
      </c>
      <c r="T823" t="str">
        <f>IF(Orders[[#This Row],[Actual Delivery Date]]="","Pending",IF(Orders[[#This Row],[Actual Delivery Date]]&lt;=Orders[[#This Row],[Expected Delivery Date]],"On Time","Late"))</f>
        <v>Late</v>
      </c>
      <c r="U823" t="str">
        <f>TEXT(Orders[[#This Row],[Order Date]],"mmm")</f>
        <v>Sep</v>
      </c>
      <c r="V823" s="8">
        <f>DATE(YEAR(Orders[[#This Row],[Order Date]]),MONTH(Orders[[#This Row],[Order Date]]),1)</f>
        <v>46266</v>
      </c>
      <c r="W823" s="5">
        <f>IF(Orders[[#This Row],[Order Status]]="Cancelled",Orders[[#This Row],[Net Sales]],0)</f>
        <v>479.2</v>
      </c>
    </row>
    <row r="824" spans="1:23" x14ac:dyDescent="0.3">
      <c r="A824" t="s">
        <v>1463</v>
      </c>
      <c r="B824" s="7">
        <v>46123</v>
      </c>
      <c r="C824" t="s">
        <v>560</v>
      </c>
      <c r="D824" t="s">
        <v>50</v>
      </c>
      <c r="E824" t="s">
        <v>79</v>
      </c>
      <c r="F824" t="s">
        <v>80</v>
      </c>
      <c r="G824" t="s">
        <v>20</v>
      </c>
      <c r="H824" t="s">
        <v>21</v>
      </c>
      <c r="I824">
        <v>1</v>
      </c>
      <c r="J824" s="5">
        <v>1799</v>
      </c>
      <c r="K824" s="2">
        <v>0.15</v>
      </c>
      <c r="L824" t="s">
        <v>70</v>
      </c>
      <c r="M824" t="s">
        <v>23</v>
      </c>
      <c r="N824" s="1">
        <v>46127</v>
      </c>
      <c r="O824" s="1">
        <v>46124</v>
      </c>
      <c r="P824" s="5">
        <f>Orders[[#This Row],[Quantity]]*Orders[[#This Row],[Unit Price]]</f>
        <v>1799</v>
      </c>
      <c r="Q824" s="5">
        <f>Orders[[#This Row],[Gross Sales]]*Orders[[#This Row],[Discount %]]</f>
        <v>269.84999999999997</v>
      </c>
      <c r="R824" s="5">
        <f>Orders[[#This Row],[Gross Sales]]-Orders[[#This Row],[Discount Amount]]</f>
        <v>1529.15</v>
      </c>
      <c r="S824">
        <f>IF(Orders[[#This Row],[Actual Delivery Date]]="","",Orders[[#This Row],[Actual Delivery Date]]-Orders[[#This Row],[Order Date]])</f>
        <v>1</v>
      </c>
      <c r="T824" t="str">
        <f>IF(Orders[[#This Row],[Actual Delivery Date]]="","Pending",IF(Orders[[#This Row],[Actual Delivery Date]]&lt;=Orders[[#This Row],[Expected Delivery Date]],"On Time","Late"))</f>
        <v>On Time</v>
      </c>
      <c r="U824" t="str">
        <f>TEXT(Orders[[#This Row],[Order Date]],"mmm")</f>
        <v>Apr</v>
      </c>
      <c r="V824" s="8">
        <f>DATE(YEAR(Orders[[#This Row],[Order Date]]),MONTH(Orders[[#This Row],[Order Date]]),1)</f>
        <v>46113</v>
      </c>
      <c r="W824" s="5">
        <f>IF(Orders[[#This Row],[Order Status]]="Cancelled",Orders[[#This Row],[Net Sales]],0)</f>
        <v>0</v>
      </c>
    </row>
    <row r="825" spans="1:23" x14ac:dyDescent="0.3">
      <c r="A825" t="s">
        <v>1464</v>
      </c>
      <c r="B825" s="7">
        <v>46033</v>
      </c>
      <c r="C825" t="s">
        <v>1465</v>
      </c>
      <c r="D825" t="s">
        <v>907</v>
      </c>
      <c r="E825" t="s">
        <v>35</v>
      </c>
      <c r="F825" t="s">
        <v>63</v>
      </c>
      <c r="G825" t="s">
        <v>69</v>
      </c>
      <c r="H825" t="s">
        <v>38</v>
      </c>
      <c r="I825">
        <v>1</v>
      </c>
      <c r="J825" s="5">
        <v>3499</v>
      </c>
      <c r="K825" s="2">
        <v>0.2</v>
      </c>
      <c r="L825" t="s">
        <v>39</v>
      </c>
      <c r="M825" t="s">
        <v>23</v>
      </c>
      <c r="N825" s="1">
        <v>46037</v>
      </c>
      <c r="O825" s="1">
        <v>46037</v>
      </c>
      <c r="P825" s="5">
        <f>Orders[[#This Row],[Quantity]]*Orders[[#This Row],[Unit Price]]</f>
        <v>3499</v>
      </c>
      <c r="Q825" s="5">
        <f>Orders[[#This Row],[Gross Sales]]*Orders[[#This Row],[Discount %]]</f>
        <v>699.80000000000007</v>
      </c>
      <c r="R825" s="5">
        <f>Orders[[#This Row],[Gross Sales]]-Orders[[#This Row],[Discount Amount]]</f>
        <v>2799.2</v>
      </c>
      <c r="S825">
        <f>IF(Orders[[#This Row],[Actual Delivery Date]]="","",Orders[[#This Row],[Actual Delivery Date]]-Orders[[#This Row],[Order Date]])</f>
        <v>4</v>
      </c>
      <c r="T825" t="str">
        <f>IF(Orders[[#This Row],[Actual Delivery Date]]="","Pending",IF(Orders[[#This Row],[Actual Delivery Date]]&lt;=Orders[[#This Row],[Expected Delivery Date]],"On Time","Late"))</f>
        <v>On Time</v>
      </c>
      <c r="U825" t="str">
        <f>TEXT(Orders[[#This Row],[Order Date]],"mmm")</f>
        <v>Jan</v>
      </c>
      <c r="V825" s="8">
        <f>DATE(YEAR(Orders[[#This Row],[Order Date]]),MONTH(Orders[[#This Row],[Order Date]]),1)</f>
        <v>46023</v>
      </c>
      <c r="W825" s="5">
        <f>IF(Orders[[#This Row],[Order Status]]="Cancelled",Orders[[#This Row],[Net Sales]],0)</f>
        <v>0</v>
      </c>
    </row>
    <row r="826" spans="1:23" x14ac:dyDescent="0.3">
      <c r="A826" t="s">
        <v>1466</v>
      </c>
      <c r="B826" s="7">
        <v>46263</v>
      </c>
      <c r="C826" t="s">
        <v>388</v>
      </c>
      <c r="D826" t="s">
        <v>644</v>
      </c>
      <c r="E826" t="s">
        <v>18</v>
      </c>
      <c r="F826" t="s">
        <v>121</v>
      </c>
      <c r="G826" t="s">
        <v>75</v>
      </c>
      <c r="H826" t="s">
        <v>45</v>
      </c>
      <c r="I826">
        <v>1</v>
      </c>
      <c r="J826" s="5">
        <v>799</v>
      </c>
      <c r="K826" s="2">
        <v>0.15</v>
      </c>
      <c r="L826" t="s">
        <v>46</v>
      </c>
      <c r="M826" t="s">
        <v>23</v>
      </c>
      <c r="N826" s="1">
        <v>46267</v>
      </c>
      <c r="O826" s="1">
        <v>46267</v>
      </c>
      <c r="P826" s="5">
        <f>Orders[[#This Row],[Quantity]]*Orders[[#This Row],[Unit Price]]</f>
        <v>799</v>
      </c>
      <c r="Q826" s="5">
        <f>Orders[[#This Row],[Gross Sales]]*Orders[[#This Row],[Discount %]]</f>
        <v>119.85</v>
      </c>
      <c r="R826" s="5">
        <f>Orders[[#This Row],[Gross Sales]]-Orders[[#This Row],[Discount Amount]]</f>
        <v>679.15</v>
      </c>
      <c r="S826">
        <f>IF(Orders[[#This Row],[Actual Delivery Date]]="","",Orders[[#This Row],[Actual Delivery Date]]-Orders[[#This Row],[Order Date]])</f>
        <v>4</v>
      </c>
      <c r="T826" t="str">
        <f>IF(Orders[[#This Row],[Actual Delivery Date]]="","Pending",IF(Orders[[#This Row],[Actual Delivery Date]]&lt;=Orders[[#This Row],[Expected Delivery Date]],"On Time","Late"))</f>
        <v>On Time</v>
      </c>
      <c r="U826" t="str">
        <f>TEXT(Orders[[#This Row],[Order Date]],"mmm")</f>
        <v>Aug</v>
      </c>
      <c r="V826" s="8">
        <f>DATE(YEAR(Orders[[#This Row],[Order Date]]),MONTH(Orders[[#This Row],[Order Date]]),1)</f>
        <v>46235</v>
      </c>
      <c r="W826" s="5">
        <f>IF(Orders[[#This Row],[Order Status]]="Cancelled",Orders[[#This Row],[Net Sales]],0)</f>
        <v>0</v>
      </c>
    </row>
    <row r="827" spans="1:23" x14ac:dyDescent="0.3">
      <c r="A827" t="s">
        <v>1467</v>
      </c>
      <c r="B827" s="7">
        <v>46224</v>
      </c>
      <c r="C827" t="s">
        <v>484</v>
      </c>
      <c r="D827" t="s">
        <v>539</v>
      </c>
      <c r="E827" t="s">
        <v>35</v>
      </c>
      <c r="F827" t="s">
        <v>63</v>
      </c>
      <c r="G827" t="s">
        <v>81</v>
      </c>
      <c r="H827" t="s">
        <v>30</v>
      </c>
      <c r="I827">
        <v>1</v>
      </c>
      <c r="J827" s="5">
        <v>899</v>
      </c>
      <c r="K827" s="2">
        <v>0.15</v>
      </c>
      <c r="L827" t="s">
        <v>70</v>
      </c>
      <c r="M827" t="s">
        <v>82</v>
      </c>
      <c r="N827" s="1">
        <v>46231</v>
      </c>
      <c r="O827" s="1">
        <v>46232</v>
      </c>
      <c r="P827" s="5">
        <f>Orders[[#This Row],[Quantity]]*Orders[[#This Row],[Unit Price]]</f>
        <v>899</v>
      </c>
      <c r="Q827" s="5">
        <f>Orders[[#This Row],[Gross Sales]]*Orders[[#This Row],[Discount %]]</f>
        <v>134.85</v>
      </c>
      <c r="R827" s="5">
        <f>Orders[[#This Row],[Gross Sales]]-Orders[[#This Row],[Discount Amount]]</f>
        <v>764.15</v>
      </c>
      <c r="S827">
        <f>IF(Orders[[#This Row],[Actual Delivery Date]]="","",Orders[[#This Row],[Actual Delivery Date]]-Orders[[#This Row],[Order Date]])</f>
        <v>8</v>
      </c>
      <c r="T827" t="str">
        <f>IF(Orders[[#This Row],[Actual Delivery Date]]="","Pending",IF(Orders[[#This Row],[Actual Delivery Date]]&lt;=Orders[[#This Row],[Expected Delivery Date]],"On Time","Late"))</f>
        <v>Late</v>
      </c>
      <c r="U827" t="str">
        <f>TEXT(Orders[[#This Row],[Order Date]],"mmm")</f>
        <v>Jul</v>
      </c>
      <c r="V827" s="8">
        <f>DATE(YEAR(Orders[[#This Row],[Order Date]]),MONTH(Orders[[#This Row],[Order Date]]),1)</f>
        <v>46204</v>
      </c>
      <c r="W827" s="5">
        <f>IF(Orders[[#This Row],[Order Status]]="Cancelled",Orders[[#This Row],[Net Sales]],0)</f>
        <v>0</v>
      </c>
    </row>
    <row r="828" spans="1:23" x14ac:dyDescent="0.3">
      <c r="A828" t="s">
        <v>1468</v>
      </c>
      <c r="B828" s="7">
        <v>46094</v>
      </c>
      <c r="C828" t="s">
        <v>1142</v>
      </c>
      <c r="D828" t="s">
        <v>127</v>
      </c>
      <c r="E828" t="s">
        <v>18</v>
      </c>
      <c r="F828" t="s">
        <v>95</v>
      </c>
      <c r="G828" t="s">
        <v>75</v>
      </c>
      <c r="H828" t="s">
        <v>45</v>
      </c>
      <c r="I828">
        <v>1</v>
      </c>
      <c r="J828" s="5">
        <v>799</v>
      </c>
      <c r="K828" s="2">
        <v>0.1</v>
      </c>
      <c r="L828" t="s">
        <v>70</v>
      </c>
      <c r="M828" t="s">
        <v>23</v>
      </c>
      <c r="N828" s="1">
        <v>46097</v>
      </c>
      <c r="O828" s="1">
        <v>46097</v>
      </c>
      <c r="P828" s="5">
        <f>Orders[[#This Row],[Quantity]]*Orders[[#This Row],[Unit Price]]</f>
        <v>799</v>
      </c>
      <c r="Q828" s="5">
        <f>Orders[[#This Row],[Gross Sales]]*Orders[[#This Row],[Discount %]]</f>
        <v>79.900000000000006</v>
      </c>
      <c r="R828" s="5">
        <f>Orders[[#This Row],[Gross Sales]]-Orders[[#This Row],[Discount Amount]]</f>
        <v>719.1</v>
      </c>
      <c r="S828">
        <f>IF(Orders[[#This Row],[Actual Delivery Date]]="","",Orders[[#This Row],[Actual Delivery Date]]-Orders[[#This Row],[Order Date]])</f>
        <v>3</v>
      </c>
      <c r="T828" t="str">
        <f>IF(Orders[[#This Row],[Actual Delivery Date]]="","Pending",IF(Orders[[#This Row],[Actual Delivery Date]]&lt;=Orders[[#This Row],[Expected Delivery Date]],"On Time","Late"))</f>
        <v>On Time</v>
      </c>
      <c r="U828" t="str">
        <f>TEXT(Orders[[#This Row],[Order Date]],"mmm")</f>
        <v>Mar</v>
      </c>
      <c r="V828" s="8">
        <f>DATE(YEAR(Orders[[#This Row],[Order Date]]),MONTH(Orders[[#This Row],[Order Date]]),1)</f>
        <v>46082</v>
      </c>
      <c r="W828" s="5">
        <f>IF(Orders[[#This Row],[Order Status]]="Cancelled",Orders[[#This Row],[Net Sales]],0)</f>
        <v>0</v>
      </c>
    </row>
    <row r="829" spans="1:23" x14ac:dyDescent="0.3">
      <c r="A829" t="s">
        <v>1469</v>
      </c>
      <c r="B829" s="7">
        <v>46079</v>
      </c>
      <c r="C829" t="s">
        <v>858</v>
      </c>
      <c r="D829" t="s">
        <v>50</v>
      </c>
      <c r="E829" t="s">
        <v>18</v>
      </c>
      <c r="F829" t="s">
        <v>19</v>
      </c>
      <c r="G829" t="s">
        <v>64</v>
      </c>
      <c r="H829" t="s">
        <v>21</v>
      </c>
      <c r="I829">
        <v>1</v>
      </c>
      <c r="J829" s="5">
        <v>699</v>
      </c>
      <c r="K829" s="2">
        <v>0.1</v>
      </c>
      <c r="L829" t="s">
        <v>39</v>
      </c>
      <c r="M829" t="s">
        <v>23</v>
      </c>
      <c r="N829" s="1">
        <v>46083</v>
      </c>
      <c r="O829" s="1">
        <v>46083</v>
      </c>
      <c r="P829" s="5">
        <f>Orders[[#This Row],[Quantity]]*Orders[[#This Row],[Unit Price]]</f>
        <v>699</v>
      </c>
      <c r="Q829" s="5">
        <f>Orders[[#This Row],[Gross Sales]]*Orders[[#This Row],[Discount %]]</f>
        <v>69.900000000000006</v>
      </c>
      <c r="R829" s="5">
        <f>Orders[[#This Row],[Gross Sales]]-Orders[[#This Row],[Discount Amount]]</f>
        <v>629.1</v>
      </c>
      <c r="S829">
        <f>IF(Orders[[#This Row],[Actual Delivery Date]]="","",Orders[[#This Row],[Actual Delivery Date]]-Orders[[#This Row],[Order Date]])</f>
        <v>4</v>
      </c>
      <c r="T829" t="str">
        <f>IF(Orders[[#This Row],[Actual Delivery Date]]="","Pending",IF(Orders[[#This Row],[Actual Delivery Date]]&lt;=Orders[[#This Row],[Expected Delivery Date]],"On Time","Late"))</f>
        <v>On Time</v>
      </c>
      <c r="U829" t="str">
        <f>TEXT(Orders[[#This Row],[Order Date]],"mmm")</f>
        <v>Feb</v>
      </c>
      <c r="V829" s="8">
        <f>DATE(YEAR(Orders[[#This Row],[Order Date]]),MONTH(Orders[[#This Row],[Order Date]]),1)</f>
        <v>46054</v>
      </c>
      <c r="W829" s="5">
        <f>IF(Orders[[#This Row],[Order Status]]="Cancelled",Orders[[#This Row],[Net Sales]],0)</f>
        <v>0</v>
      </c>
    </row>
    <row r="830" spans="1:23" x14ac:dyDescent="0.3">
      <c r="A830" t="s">
        <v>1470</v>
      </c>
      <c r="B830" s="7">
        <v>46186</v>
      </c>
      <c r="C830" t="s">
        <v>129</v>
      </c>
      <c r="D830" t="s">
        <v>399</v>
      </c>
      <c r="E830" t="s">
        <v>27</v>
      </c>
      <c r="F830" t="s">
        <v>74</v>
      </c>
      <c r="G830" t="s">
        <v>52</v>
      </c>
      <c r="H830" t="s">
        <v>45</v>
      </c>
      <c r="I830">
        <v>3</v>
      </c>
      <c r="J830" s="5">
        <v>1299</v>
      </c>
      <c r="K830" s="2">
        <v>0.2</v>
      </c>
      <c r="L830" t="s">
        <v>70</v>
      </c>
      <c r="M830" t="s">
        <v>59</v>
      </c>
      <c r="N830" s="1">
        <v>46191</v>
      </c>
      <c r="O830" s="1">
        <v>46191</v>
      </c>
      <c r="P830" s="5">
        <f>Orders[[#This Row],[Quantity]]*Orders[[#This Row],[Unit Price]]</f>
        <v>3897</v>
      </c>
      <c r="Q830" s="5">
        <f>Orders[[#This Row],[Gross Sales]]*Orders[[#This Row],[Discount %]]</f>
        <v>779.40000000000009</v>
      </c>
      <c r="R830" s="5">
        <f>Orders[[#This Row],[Gross Sales]]-Orders[[#This Row],[Discount Amount]]</f>
        <v>3117.6</v>
      </c>
      <c r="S830">
        <f>IF(Orders[[#This Row],[Actual Delivery Date]]="","",Orders[[#This Row],[Actual Delivery Date]]-Orders[[#This Row],[Order Date]])</f>
        <v>5</v>
      </c>
      <c r="T830" t="str">
        <f>IF(Orders[[#This Row],[Actual Delivery Date]]="","Pending",IF(Orders[[#This Row],[Actual Delivery Date]]&lt;=Orders[[#This Row],[Expected Delivery Date]],"On Time","Late"))</f>
        <v>On Time</v>
      </c>
      <c r="U830" t="str">
        <f>TEXT(Orders[[#This Row],[Order Date]],"mmm")</f>
        <v>Jun</v>
      </c>
      <c r="V830" s="8">
        <f>DATE(YEAR(Orders[[#This Row],[Order Date]]),MONTH(Orders[[#This Row],[Order Date]]),1)</f>
        <v>46174</v>
      </c>
      <c r="W830" s="5">
        <f>IF(Orders[[#This Row],[Order Status]]="Cancelled",Orders[[#This Row],[Net Sales]],0)</f>
        <v>3117.6</v>
      </c>
    </row>
    <row r="831" spans="1:23" x14ac:dyDescent="0.3">
      <c r="A831" t="s">
        <v>1471</v>
      </c>
      <c r="B831" s="7">
        <v>46270</v>
      </c>
      <c r="C831" t="s">
        <v>704</v>
      </c>
      <c r="D831" t="s">
        <v>347</v>
      </c>
      <c r="E831" t="s">
        <v>79</v>
      </c>
      <c r="F831" t="s">
        <v>170</v>
      </c>
      <c r="G831" t="s">
        <v>186</v>
      </c>
      <c r="H831" t="s">
        <v>21</v>
      </c>
      <c r="I831">
        <v>1</v>
      </c>
      <c r="J831" s="5">
        <v>1999</v>
      </c>
      <c r="K831" s="2">
        <v>0.1</v>
      </c>
      <c r="L831" t="s">
        <v>46</v>
      </c>
      <c r="M831" t="s">
        <v>59</v>
      </c>
      <c r="N831" s="1">
        <v>46272</v>
      </c>
      <c r="O831" s="1">
        <v>46271</v>
      </c>
      <c r="P831" s="5">
        <f>Orders[[#This Row],[Quantity]]*Orders[[#This Row],[Unit Price]]</f>
        <v>1999</v>
      </c>
      <c r="Q831" s="5">
        <f>Orders[[#This Row],[Gross Sales]]*Orders[[#This Row],[Discount %]]</f>
        <v>199.9</v>
      </c>
      <c r="R831" s="5">
        <f>Orders[[#This Row],[Gross Sales]]-Orders[[#This Row],[Discount Amount]]</f>
        <v>1799.1</v>
      </c>
      <c r="S831">
        <f>IF(Orders[[#This Row],[Actual Delivery Date]]="","",Orders[[#This Row],[Actual Delivery Date]]-Orders[[#This Row],[Order Date]])</f>
        <v>1</v>
      </c>
      <c r="T831" t="str">
        <f>IF(Orders[[#This Row],[Actual Delivery Date]]="","Pending",IF(Orders[[#This Row],[Actual Delivery Date]]&lt;=Orders[[#This Row],[Expected Delivery Date]],"On Time","Late"))</f>
        <v>On Time</v>
      </c>
      <c r="U831" t="str">
        <f>TEXT(Orders[[#This Row],[Order Date]],"mmm")</f>
        <v>Sep</v>
      </c>
      <c r="V831" s="8">
        <f>DATE(YEAR(Orders[[#This Row],[Order Date]]),MONTH(Orders[[#This Row],[Order Date]]),1)</f>
        <v>46266</v>
      </c>
      <c r="W831" s="5">
        <f>IF(Orders[[#This Row],[Order Status]]="Cancelled",Orders[[#This Row],[Net Sales]],0)</f>
        <v>1799.1</v>
      </c>
    </row>
    <row r="832" spans="1:23" x14ac:dyDescent="0.3">
      <c r="A832" t="s">
        <v>1472</v>
      </c>
      <c r="B832" s="7">
        <v>46029</v>
      </c>
      <c r="C832" t="s">
        <v>129</v>
      </c>
      <c r="D832" t="s">
        <v>778</v>
      </c>
      <c r="E832" t="s">
        <v>18</v>
      </c>
      <c r="F832" t="s">
        <v>43</v>
      </c>
      <c r="G832" t="s">
        <v>52</v>
      </c>
      <c r="H832" t="s">
        <v>45</v>
      </c>
      <c r="I832">
        <v>2</v>
      </c>
      <c r="J832" s="5">
        <v>1299</v>
      </c>
      <c r="K832" s="2">
        <v>0.15</v>
      </c>
      <c r="L832" t="s">
        <v>70</v>
      </c>
      <c r="M832" t="s">
        <v>23</v>
      </c>
      <c r="N832" s="1">
        <v>46034</v>
      </c>
      <c r="O832" s="1">
        <v>46031</v>
      </c>
      <c r="P832" s="5">
        <f>Orders[[#This Row],[Quantity]]*Orders[[#This Row],[Unit Price]]</f>
        <v>2598</v>
      </c>
      <c r="Q832" s="5">
        <f>Orders[[#This Row],[Gross Sales]]*Orders[[#This Row],[Discount %]]</f>
        <v>389.7</v>
      </c>
      <c r="R832" s="5">
        <f>Orders[[#This Row],[Gross Sales]]-Orders[[#This Row],[Discount Amount]]</f>
        <v>2208.3000000000002</v>
      </c>
      <c r="S832">
        <f>IF(Orders[[#This Row],[Actual Delivery Date]]="","",Orders[[#This Row],[Actual Delivery Date]]-Orders[[#This Row],[Order Date]])</f>
        <v>2</v>
      </c>
      <c r="T832" t="str">
        <f>IF(Orders[[#This Row],[Actual Delivery Date]]="","Pending",IF(Orders[[#This Row],[Actual Delivery Date]]&lt;=Orders[[#This Row],[Expected Delivery Date]],"On Time","Late"))</f>
        <v>On Time</v>
      </c>
      <c r="U832" t="str">
        <f>TEXT(Orders[[#This Row],[Order Date]],"mmm")</f>
        <v>Jan</v>
      </c>
      <c r="V832" s="8">
        <f>DATE(YEAR(Orders[[#This Row],[Order Date]]),MONTH(Orders[[#This Row],[Order Date]]),1)</f>
        <v>46023</v>
      </c>
      <c r="W832" s="5">
        <f>IF(Orders[[#This Row],[Order Status]]="Cancelled",Orders[[#This Row],[Net Sales]],0)</f>
        <v>0</v>
      </c>
    </row>
    <row r="833" spans="1:23" x14ac:dyDescent="0.3">
      <c r="A833" t="s">
        <v>1473</v>
      </c>
      <c r="B833" s="7">
        <v>46281</v>
      </c>
      <c r="C833" t="s">
        <v>405</v>
      </c>
      <c r="D833" t="s">
        <v>943</v>
      </c>
      <c r="E833" t="s">
        <v>35</v>
      </c>
      <c r="F833" t="s">
        <v>36</v>
      </c>
      <c r="G833" t="s">
        <v>180</v>
      </c>
      <c r="H833" t="s">
        <v>58</v>
      </c>
      <c r="I833">
        <v>1</v>
      </c>
      <c r="J833" s="5">
        <v>599</v>
      </c>
      <c r="K833" s="2">
        <v>0.05</v>
      </c>
      <c r="L833" t="s">
        <v>31</v>
      </c>
      <c r="M833" t="s">
        <v>23</v>
      </c>
      <c r="N833" s="1">
        <v>46286</v>
      </c>
      <c r="O833" s="1">
        <v>46288</v>
      </c>
      <c r="P833" s="5">
        <f>Orders[[#This Row],[Quantity]]*Orders[[#This Row],[Unit Price]]</f>
        <v>599</v>
      </c>
      <c r="Q833" s="5">
        <f>Orders[[#This Row],[Gross Sales]]*Orders[[#This Row],[Discount %]]</f>
        <v>29.950000000000003</v>
      </c>
      <c r="R833" s="5">
        <f>Orders[[#This Row],[Gross Sales]]-Orders[[#This Row],[Discount Amount]]</f>
        <v>569.04999999999995</v>
      </c>
      <c r="S833">
        <f>IF(Orders[[#This Row],[Actual Delivery Date]]="","",Orders[[#This Row],[Actual Delivery Date]]-Orders[[#This Row],[Order Date]])</f>
        <v>7</v>
      </c>
      <c r="T833" t="str">
        <f>IF(Orders[[#This Row],[Actual Delivery Date]]="","Pending",IF(Orders[[#This Row],[Actual Delivery Date]]&lt;=Orders[[#This Row],[Expected Delivery Date]],"On Time","Late"))</f>
        <v>Late</v>
      </c>
      <c r="U833" t="str">
        <f>TEXT(Orders[[#This Row],[Order Date]],"mmm")</f>
        <v>Sep</v>
      </c>
      <c r="V833" s="8">
        <f>DATE(YEAR(Orders[[#This Row],[Order Date]]),MONTH(Orders[[#This Row],[Order Date]]),1)</f>
        <v>46266</v>
      </c>
      <c r="W833" s="5">
        <f>IF(Orders[[#This Row],[Order Status]]="Cancelled",Orders[[#This Row],[Net Sales]],0)</f>
        <v>0</v>
      </c>
    </row>
    <row r="834" spans="1:23" x14ac:dyDescent="0.3">
      <c r="A834" t="s">
        <v>1474</v>
      </c>
      <c r="B834" s="7">
        <v>46374</v>
      </c>
      <c r="C834" t="s">
        <v>502</v>
      </c>
      <c r="D834" t="s">
        <v>518</v>
      </c>
      <c r="E834" t="s">
        <v>18</v>
      </c>
      <c r="F834" t="s">
        <v>121</v>
      </c>
      <c r="G834" t="s">
        <v>180</v>
      </c>
      <c r="H834" t="s">
        <v>58</v>
      </c>
      <c r="I834">
        <v>1</v>
      </c>
      <c r="J834" s="5">
        <v>599</v>
      </c>
      <c r="K834" s="2">
        <v>0.2</v>
      </c>
      <c r="L834" t="s">
        <v>39</v>
      </c>
      <c r="M834" t="s">
        <v>23</v>
      </c>
      <c r="N834" s="1">
        <v>46379</v>
      </c>
      <c r="O834" s="1">
        <v>46375</v>
      </c>
      <c r="P834" s="5">
        <f>Orders[[#This Row],[Quantity]]*Orders[[#This Row],[Unit Price]]</f>
        <v>599</v>
      </c>
      <c r="Q834" s="5">
        <f>Orders[[#This Row],[Gross Sales]]*Orders[[#This Row],[Discount %]]</f>
        <v>119.80000000000001</v>
      </c>
      <c r="R834" s="5">
        <f>Orders[[#This Row],[Gross Sales]]-Orders[[#This Row],[Discount Amount]]</f>
        <v>479.2</v>
      </c>
      <c r="S834">
        <f>IF(Orders[[#This Row],[Actual Delivery Date]]="","",Orders[[#This Row],[Actual Delivery Date]]-Orders[[#This Row],[Order Date]])</f>
        <v>1</v>
      </c>
      <c r="T834" t="str">
        <f>IF(Orders[[#This Row],[Actual Delivery Date]]="","Pending",IF(Orders[[#This Row],[Actual Delivery Date]]&lt;=Orders[[#This Row],[Expected Delivery Date]],"On Time","Late"))</f>
        <v>On Time</v>
      </c>
      <c r="U834" t="str">
        <f>TEXT(Orders[[#This Row],[Order Date]],"mmm")</f>
        <v>Dec</v>
      </c>
      <c r="V834" s="8">
        <f>DATE(YEAR(Orders[[#This Row],[Order Date]]),MONTH(Orders[[#This Row],[Order Date]]),1)</f>
        <v>46357</v>
      </c>
      <c r="W834" s="5">
        <f>IF(Orders[[#This Row],[Order Status]]="Cancelled",Orders[[#This Row],[Net Sales]],0)</f>
        <v>0</v>
      </c>
    </row>
    <row r="835" spans="1:23" x14ac:dyDescent="0.3">
      <c r="A835" t="s">
        <v>1475</v>
      </c>
      <c r="B835" s="7">
        <v>46266</v>
      </c>
      <c r="C835" t="s">
        <v>520</v>
      </c>
      <c r="D835" t="s">
        <v>1476</v>
      </c>
      <c r="E835" t="s">
        <v>79</v>
      </c>
      <c r="F835" t="s">
        <v>108</v>
      </c>
      <c r="G835" t="s">
        <v>64</v>
      </c>
      <c r="H835" t="s">
        <v>21</v>
      </c>
      <c r="I835">
        <v>2</v>
      </c>
      <c r="J835" s="5">
        <v>699</v>
      </c>
      <c r="K835" s="2">
        <v>0.15</v>
      </c>
      <c r="L835" t="s">
        <v>46</v>
      </c>
      <c r="M835" t="s">
        <v>23</v>
      </c>
      <c r="N835" s="1">
        <v>46268</v>
      </c>
      <c r="O835" s="1">
        <v>46269</v>
      </c>
      <c r="P835" s="5">
        <f>Orders[[#This Row],[Quantity]]*Orders[[#This Row],[Unit Price]]</f>
        <v>1398</v>
      </c>
      <c r="Q835" s="5">
        <f>Orders[[#This Row],[Gross Sales]]*Orders[[#This Row],[Discount %]]</f>
        <v>209.7</v>
      </c>
      <c r="R835" s="5">
        <f>Orders[[#This Row],[Gross Sales]]-Orders[[#This Row],[Discount Amount]]</f>
        <v>1188.3</v>
      </c>
      <c r="S835">
        <f>IF(Orders[[#This Row],[Actual Delivery Date]]="","",Orders[[#This Row],[Actual Delivery Date]]-Orders[[#This Row],[Order Date]])</f>
        <v>3</v>
      </c>
      <c r="T835" t="str">
        <f>IF(Orders[[#This Row],[Actual Delivery Date]]="","Pending",IF(Orders[[#This Row],[Actual Delivery Date]]&lt;=Orders[[#This Row],[Expected Delivery Date]],"On Time","Late"))</f>
        <v>Late</v>
      </c>
      <c r="U835" t="str">
        <f>TEXT(Orders[[#This Row],[Order Date]],"mmm")</f>
        <v>Sep</v>
      </c>
      <c r="V835" s="8">
        <f>DATE(YEAR(Orders[[#This Row],[Order Date]]),MONTH(Orders[[#This Row],[Order Date]]),1)</f>
        <v>46266</v>
      </c>
      <c r="W835" s="5">
        <f>IF(Orders[[#This Row],[Order Status]]="Cancelled",Orders[[#This Row],[Net Sales]],0)</f>
        <v>0</v>
      </c>
    </row>
    <row r="836" spans="1:23" x14ac:dyDescent="0.3">
      <c r="A836" t="s">
        <v>1477</v>
      </c>
      <c r="B836" s="7">
        <v>46243</v>
      </c>
      <c r="C836" t="s">
        <v>879</v>
      </c>
      <c r="D836" t="s">
        <v>716</v>
      </c>
      <c r="E836" t="s">
        <v>27</v>
      </c>
      <c r="F836" t="s">
        <v>56</v>
      </c>
      <c r="G836" t="s">
        <v>228</v>
      </c>
      <c r="H836" t="s">
        <v>58</v>
      </c>
      <c r="I836">
        <v>2</v>
      </c>
      <c r="J836" s="5">
        <v>1499</v>
      </c>
      <c r="K836" s="2">
        <v>0</v>
      </c>
      <c r="L836" t="s">
        <v>70</v>
      </c>
      <c r="M836" t="s">
        <v>23</v>
      </c>
      <c r="N836" s="1">
        <v>46247</v>
      </c>
      <c r="O836" s="1">
        <v>46247</v>
      </c>
      <c r="P836" s="5">
        <f>Orders[[#This Row],[Quantity]]*Orders[[#This Row],[Unit Price]]</f>
        <v>2998</v>
      </c>
      <c r="Q836" s="5">
        <f>Orders[[#This Row],[Gross Sales]]*Orders[[#This Row],[Discount %]]</f>
        <v>0</v>
      </c>
      <c r="R836" s="5">
        <f>Orders[[#This Row],[Gross Sales]]-Orders[[#This Row],[Discount Amount]]</f>
        <v>2998</v>
      </c>
      <c r="S836">
        <f>IF(Orders[[#This Row],[Actual Delivery Date]]="","",Orders[[#This Row],[Actual Delivery Date]]-Orders[[#This Row],[Order Date]])</f>
        <v>4</v>
      </c>
      <c r="T836" t="str">
        <f>IF(Orders[[#This Row],[Actual Delivery Date]]="","Pending",IF(Orders[[#This Row],[Actual Delivery Date]]&lt;=Orders[[#This Row],[Expected Delivery Date]],"On Time","Late"))</f>
        <v>On Time</v>
      </c>
      <c r="U836" t="str">
        <f>TEXT(Orders[[#This Row],[Order Date]],"mmm")</f>
        <v>Aug</v>
      </c>
      <c r="V836" s="8">
        <f>DATE(YEAR(Orders[[#This Row],[Order Date]]),MONTH(Orders[[#This Row],[Order Date]]),1)</f>
        <v>46235</v>
      </c>
      <c r="W836" s="5">
        <f>IF(Orders[[#This Row],[Order Status]]="Cancelled",Orders[[#This Row],[Net Sales]],0)</f>
        <v>0</v>
      </c>
    </row>
    <row r="837" spans="1:23" x14ac:dyDescent="0.3">
      <c r="A837" t="s">
        <v>1478</v>
      </c>
      <c r="B837" s="7">
        <v>46327</v>
      </c>
      <c r="C837" t="s">
        <v>320</v>
      </c>
      <c r="D837" t="s">
        <v>176</v>
      </c>
      <c r="E837" t="s">
        <v>35</v>
      </c>
      <c r="F837" t="s">
        <v>68</v>
      </c>
      <c r="G837" t="s">
        <v>180</v>
      </c>
      <c r="H837" t="s">
        <v>58</v>
      </c>
      <c r="I837">
        <v>1</v>
      </c>
      <c r="J837" s="5">
        <v>599</v>
      </c>
      <c r="K837" s="2">
        <v>0.2</v>
      </c>
      <c r="L837" t="s">
        <v>70</v>
      </c>
      <c r="M837" t="s">
        <v>47</v>
      </c>
      <c r="N837" s="1">
        <v>46332</v>
      </c>
      <c r="O837" s="1"/>
      <c r="P837" s="5">
        <f>Orders[[#This Row],[Quantity]]*Orders[[#This Row],[Unit Price]]</f>
        <v>599</v>
      </c>
      <c r="Q837" s="5">
        <f>Orders[[#This Row],[Gross Sales]]*Orders[[#This Row],[Discount %]]</f>
        <v>119.80000000000001</v>
      </c>
      <c r="R837" s="5">
        <f>Orders[[#This Row],[Gross Sales]]-Orders[[#This Row],[Discount Amount]]</f>
        <v>479.2</v>
      </c>
      <c r="S837" t="str">
        <f>IF(Orders[[#This Row],[Actual Delivery Date]]="","",Orders[[#This Row],[Actual Delivery Date]]-Orders[[#This Row],[Order Date]])</f>
        <v/>
      </c>
      <c r="T837" t="str">
        <f>IF(Orders[[#This Row],[Actual Delivery Date]]="","Pending",IF(Orders[[#This Row],[Actual Delivery Date]]&lt;=Orders[[#This Row],[Expected Delivery Date]],"On Time","Late"))</f>
        <v>Pending</v>
      </c>
      <c r="U837" t="str">
        <f>TEXT(Orders[[#This Row],[Order Date]],"mmm")</f>
        <v>Nov</v>
      </c>
      <c r="V837" s="8">
        <f>DATE(YEAR(Orders[[#This Row],[Order Date]]),MONTH(Orders[[#This Row],[Order Date]]),1)</f>
        <v>46327</v>
      </c>
      <c r="W837" s="5">
        <f>IF(Orders[[#This Row],[Order Status]]="Cancelled",Orders[[#This Row],[Net Sales]],0)</f>
        <v>0</v>
      </c>
    </row>
    <row r="838" spans="1:23" x14ac:dyDescent="0.3">
      <c r="A838" t="s">
        <v>1479</v>
      </c>
      <c r="B838" s="7">
        <v>46050</v>
      </c>
      <c r="C838" t="s">
        <v>1480</v>
      </c>
      <c r="D838" t="s">
        <v>478</v>
      </c>
      <c r="E838" t="s">
        <v>27</v>
      </c>
      <c r="F838" t="s">
        <v>28</v>
      </c>
      <c r="G838" t="s">
        <v>104</v>
      </c>
      <c r="H838" t="s">
        <v>38</v>
      </c>
      <c r="I838">
        <v>3</v>
      </c>
      <c r="J838" s="5">
        <v>999</v>
      </c>
      <c r="K838" s="2">
        <v>0.2</v>
      </c>
      <c r="L838" t="s">
        <v>46</v>
      </c>
      <c r="M838" t="s">
        <v>23</v>
      </c>
      <c r="N838" s="1">
        <v>46052</v>
      </c>
      <c r="O838" s="1">
        <v>46052</v>
      </c>
      <c r="P838" s="5">
        <f>Orders[[#This Row],[Quantity]]*Orders[[#This Row],[Unit Price]]</f>
        <v>2997</v>
      </c>
      <c r="Q838" s="5">
        <f>Orders[[#This Row],[Gross Sales]]*Orders[[#This Row],[Discount %]]</f>
        <v>599.4</v>
      </c>
      <c r="R838" s="5">
        <f>Orders[[#This Row],[Gross Sales]]-Orders[[#This Row],[Discount Amount]]</f>
        <v>2397.6</v>
      </c>
      <c r="S838">
        <f>IF(Orders[[#This Row],[Actual Delivery Date]]="","",Orders[[#This Row],[Actual Delivery Date]]-Orders[[#This Row],[Order Date]])</f>
        <v>2</v>
      </c>
      <c r="T838" t="str">
        <f>IF(Orders[[#This Row],[Actual Delivery Date]]="","Pending",IF(Orders[[#This Row],[Actual Delivery Date]]&lt;=Orders[[#This Row],[Expected Delivery Date]],"On Time","Late"))</f>
        <v>On Time</v>
      </c>
      <c r="U838" t="str">
        <f>TEXT(Orders[[#This Row],[Order Date]],"mmm")</f>
        <v>Jan</v>
      </c>
      <c r="V838" s="8">
        <f>DATE(YEAR(Orders[[#This Row],[Order Date]]),MONTH(Orders[[#This Row],[Order Date]]),1)</f>
        <v>46023</v>
      </c>
      <c r="W838" s="5">
        <f>IF(Orders[[#This Row],[Order Status]]="Cancelled",Orders[[#This Row],[Net Sales]],0)</f>
        <v>0</v>
      </c>
    </row>
    <row r="839" spans="1:23" x14ac:dyDescent="0.3">
      <c r="A839" t="s">
        <v>1481</v>
      </c>
      <c r="B839" s="7">
        <v>46377</v>
      </c>
      <c r="C839" t="s">
        <v>1070</v>
      </c>
      <c r="D839" t="s">
        <v>271</v>
      </c>
      <c r="E839" t="s">
        <v>79</v>
      </c>
      <c r="F839" t="s">
        <v>170</v>
      </c>
      <c r="G839" t="s">
        <v>52</v>
      </c>
      <c r="H839" t="s">
        <v>45</v>
      </c>
      <c r="I839">
        <v>1</v>
      </c>
      <c r="J839" s="5">
        <v>1299</v>
      </c>
      <c r="K839" s="2">
        <v>0.05</v>
      </c>
      <c r="L839" t="s">
        <v>31</v>
      </c>
      <c r="M839" t="s">
        <v>82</v>
      </c>
      <c r="N839" s="1">
        <v>46380</v>
      </c>
      <c r="O839" s="1">
        <v>46379</v>
      </c>
      <c r="P839" s="5">
        <f>Orders[[#This Row],[Quantity]]*Orders[[#This Row],[Unit Price]]</f>
        <v>1299</v>
      </c>
      <c r="Q839" s="5">
        <f>Orders[[#This Row],[Gross Sales]]*Orders[[#This Row],[Discount %]]</f>
        <v>64.95</v>
      </c>
      <c r="R839" s="5">
        <f>Orders[[#This Row],[Gross Sales]]-Orders[[#This Row],[Discount Amount]]</f>
        <v>1234.05</v>
      </c>
      <c r="S839">
        <f>IF(Orders[[#This Row],[Actual Delivery Date]]="","",Orders[[#This Row],[Actual Delivery Date]]-Orders[[#This Row],[Order Date]])</f>
        <v>2</v>
      </c>
      <c r="T839" t="str">
        <f>IF(Orders[[#This Row],[Actual Delivery Date]]="","Pending",IF(Orders[[#This Row],[Actual Delivery Date]]&lt;=Orders[[#This Row],[Expected Delivery Date]],"On Time","Late"))</f>
        <v>On Time</v>
      </c>
      <c r="U839" t="str">
        <f>TEXT(Orders[[#This Row],[Order Date]],"mmm")</f>
        <v>Dec</v>
      </c>
      <c r="V839" s="8">
        <f>DATE(YEAR(Orders[[#This Row],[Order Date]]),MONTH(Orders[[#This Row],[Order Date]]),1)</f>
        <v>46357</v>
      </c>
      <c r="W839" s="5">
        <f>IF(Orders[[#This Row],[Order Status]]="Cancelled",Orders[[#This Row],[Net Sales]],0)</f>
        <v>0</v>
      </c>
    </row>
    <row r="840" spans="1:23" x14ac:dyDescent="0.3">
      <c r="A840" t="s">
        <v>1482</v>
      </c>
      <c r="B840" s="7">
        <v>46267</v>
      </c>
      <c r="C840" t="s">
        <v>351</v>
      </c>
      <c r="D840" t="s">
        <v>964</v>
      </c>
      <c r="E840" t="s">
        <v>18</v>
      </c>
      <c r="F840" t="s">
        <v>95</v>
      </c>
      <c r="G840" t="s">
        <v>206</v>
      </c>
      <c r="H840" t="s">
        <v>30</v>
      </c>
      <c r="I840">
        <v>2</v>
      </c>
      <c r="J840" s="5">
        <v>1199</v>
      </c>
      <c r="K840" s="2">
        <v>0.05</v>
      </c>
      <c r="L840" t="s">
        <v>31</v>
      </c>
      <c r="M840" t="s">
        <v>23</v>
      </c>
      <c r="N840" s="1">
        <v>46274</v>
      </c>
      <c r="O840" s="1">
        <v>46269</v>
      </c>
      <c r="P840" s="5">
        <f>Orders[[#This Row],[Quantity]]*Orders[[#This Row],[Unit Price]]</f>
        <v>2398</v>
      </c>
      <c r="Q840" s="5">
        <f>Orders[[#This Row],[Gross Sales]]*Orders[[#This Row],[Discount %]]</f>
        <v>119.9</v>
      </c>
      <c r="R840" s="5">
        <f>Orders[[#This Row],[Gross Sales]]-Orders[[#This Row],[Discount Amount]]</f>
        <v>2278.1</v>
      </c>
      <c r="S840">
        <f>IF(Orders[[#This Row],[Actual Delivery Date]]="","",Orders[[#This Row],[Actual Delivery Date]]-Orders[[#This Row],[Order Date]])</f>
        <v>2</v>
      </c>
      <c r="T840" t="str">
        <f>IF(Orders[[#This Row],[Actual Delivery Date]]="","Pending",IF(Orders[[#This Row],[Actual Delivery Date]]&lt;=Orders[[#This Row],[Expected Delivery Date]],"On Time","Late"))</f>
        <v>On Time</v>
      </c>
      <c r="U840" t="str">
        <f>TEXT(Orders[[#This Row],[Order Date]],"mmm")</f>
        <v>Sep</v>
      </c>
      <c r="V840" s="8">
        <f>DATE(YEAR(Orders[[#This Row],[Order Date]]),MONTH(Orders[[#This Row],[Order Date]]),1)</f>
        <v>46266</v>
      </c>
      <c r="W840" s="5">
        <f>IF(Orders[[#This Row],[Order Status]]="Cancelled",Orders[[#This Row],[Net Sales]],0)</f>
        <v>0</v>
      </c>
    </row>
    <row r="841" spans="1:23" x14ac:dyDescent="0.3">
      <c r="A841" t="s">
        <v>1483</v>
      </c>
      <c r="B841" s="7">
        <v>46194</v>
      </c>
      <c r="C841" t="s">
        <v>1066</v>
      </c>
      <c r="D841" t="s">
        <v>403</v>
      </c>
      <c r="E841" t="s">
        <v>27</v>
      </c>
      <c r="F841" t="s">
        <v>28</v>
      </c>
      <c r="G841" t="s">
        <v>57</v>
      </c>
      <c r="H841" t="s">
        <v>58</v>
      </c>
      <c r="I841">
        <v>1</v>
      </c>
      <c r="J841" s="5">
        <v>499</v>
      </c>
      <c r="K841" s="2">
        <v>0.1</v>
      </c>
      <c r="L841" t="s">
        <v>39</v>
      </c>
      <c r="M841" t="s">
        <v>23</v>
      </c>
      <c r="N841" s="1">
        <v>46201</v>
      </c>
      <c r="O841" s="1">
        <v>46195</v>
      </c>
      <c r="P841" s="5">
        <f>Orders[[#This Row],[Quantity]]*Orders[[#This Row],[Unit Price]]</f>
        <v>499</v>
      </c>
      <c r="Q841" s="5">
        <f>Orders[[#This Row],[Gross Sales]]*Orders[[#This Row],[Discount %]]</f>
        <v>49.900000000000006</v>
      </c>
      <c r="R841" s="5">
        <f>Orders[[#This Row],[Gross Sales]]-Orders[[#This Row],[Discount Amount]]</f>
        <v>449.1</v>
      </c>
      <c r="S841">
        <f>IF(Orders[[#This Row],[Actual Delivery Date]]="","",Orders[[#This Row],[Actual Delivery Date]]-Orders[[#This Row],[Order Date]])</f>
        <v>1</v>
      </c>
      <c r="T841" t="str">
        <f>IF(Orders[[#This Row],[Actual Delivery Date]]="","Pending",IF(Orders[[#This Row],[Actual Delivery Date]]&lt;=Orders[[#This Row],[Expected Delivery Date]],"On Time","Late"))</f>
        <v>On Time</v>
      </c>
      <c r="U841" t="str">
        <f>TEXT(Orders[[#This Row],[Order Date]],"mmm")</f>
        <v>Jun</v>
      </c>
      <c r="V841" s="8">
        <f>DATE(YEAR(Orders[[#This Row],[Order Date]]),MONTH(Orders[[#This Row],[Order Date]]),1)</f>
        <v>46174</v>
      </c>
      <c r="W841" s="5">
        <f>IF(Orders[[#This Row],[Order Status]]="Cancelled",Orders[[#This Row],[Net Sales]],0)</f>
        <v>0</v>
      </c>
    </row>
    <row r="842" spans="1:23" x14ac:dyDescent="0.3">
      <c r="A842" t="s">
        <v>1484</v>
      </c>
      <c r="B842" s="7">
        <v>46079</v>
      </c>
      <c r="C842" t="s">
        <v>1485</v>
      </c>
      <c r="D842" t="s">
        <v>523</v>
      </c>
      <c r="E842" t="s">
        <v>18</v>
      </c>
      <c r="F842" t="s">
        <v>43</v>
      </c>
      <c r="G842" t="s">
        <v>96</v>
      </c>
      <c r="H842" t="s">
        <v>38</v>
      </c>
      <c r="I842">
        <v>1</v>
      </c>
      <c r="J842" s="5">
        <v>1599</v>
      </c>
      <c r="K842" s="2">
        <v>0</v>
      </c>
      <c r="L842" t="s">
        <v>22</v>
      </c>
      <c r="M842" t="s">
        <v>59</v>
      </c>
      <c r="N842" s="1">
        <v>46083</v>
      </c>
      <c r="O842" s="1">
        <v>46081</v>
      </c>
      <c r="P842" s="5">
        <f>Orders[[#This Row],[Quantity]]*Orders[[#This Row],[Unit Price]]</f>
        <v>1599</v>
      </c>
      <c r="Q842" s="5">
        <f>Orders[[#This Row],[Gross Sales]]*Orders[[#This Row],[Discount %]]</f>
        <v>0</v>
      </c>
      <c r="R842" s="5">
        <f>Orders[[#This Row],[Gross Sales]]-Orders[[#This Row],[Discount Amount]]</f>
        <v>1599</v>
      </c>
      <c r="S842">
        <f>IF(Orders[[#This Row],[Actual Delivery Date]]="","",Orders[[#This Row],[Actual Delivery Date]]-Orders[[#This Row],[Order Date]])</f>
        <v>2</v>
      </c>
      <c r="T842" t="str">
        <f>IF(Orders[[#This Row],[Actual Delivery Date]]="","Pending",IF(Orders[[#This Row],[Actual Delivery Date]]&lt;=Orders[[#This Row],[Expected Delivery Date]],"On Time","Late"))</f>
        <v>On Time</v>
      </c>
      <c r="U842" t="str">
        <f>TEXT(Orders[[#This Row],[Order Date]],"mmm")</f>
        <v>Feb</v>
      </c>
      <c r="V842" s="8">
        <f>DATE(YEAR(Orders[[#This Row],[Order Date]]),MONTH(Orders[[#This Row],[Order Date]]),1)</f>
        <v>46054</v>
      </c>
      <c r="W842" s="5">
        <f>IF(Orders[[#This Row],[Order Status]]="Cancelled",Orders[[#This Row],[Net Sales]],0)</f>
        <v>1599</v>
      </c>
    </row>
    <row r="843" spans="1:23" x14ac:dyDescent="0.3">
      <c r="A843" t="s">
        <v>1486</v>
      </c>
      <c r="B843" s="7">
        <v>46274</v>
      </c>
      <c r="C843" t="s">
        <v>611</v>
      </c>
      <c r="D843" t="s">
        <v>395</v>
      </c>
      <c r="E843" t="s">
        <v>18</v>
      </c>
      <c r="F843" t="s">
        <v>121</v>
      </c>
      <c r="G843" t="s">
        <v>218</v>
      </c>
      <c r="H843" t="s">
        <v>21</v>
      </c>
      <c r="I843">
        <v>2</v>
      </c>
      <c r="J843" s="5">
        <v>2999</v>
      </c>
      <c r="K843" s="2">
        <v>0.2</v>
      </c>
      <c r="L843" t="s">
        <v>46</v>
      </c>
      <c r="M843" t="s">
        <v>59</v>
      </c>
      <c r="N843" s="1">
        <v>46279</v>
      </c>
      <c r="O843" s="1">
        <v>46278</v>
      </c>
      <c r="P843" s="5">
        <f>Orders[[#This Row],[Quantity]]*Orders[[#This Row],[Unit Price]]</f>
        <v>5998</v>
      </c>
      <c r="Q843" s="5">
        <f>Orders[[#This Row],[Gross Sales]]*Orders[[#This Row],[Discount %]]</f>
        <v>1199.6000000000001</v>
      </c>
      <c r="R843" s="5">
        <f>Orders[[#This Row],[Gross Sales]]-Orders[[#This Row],[Discount Amount]]</f>
        <v>4798.3999999999996</v>
      </c>
      <c r="S843">
        <f>IF(Orders[[#This Row],[Actual Delivery Date]]="","",Orders[[#This Row],[Actual Delivery Date]]-Orders[[#This Row],[Order Date]])</f>
        <v>4</v>
      </c>
      <c r="T843" t="str">
        <f>IF(Orders[[#This Row],[Actual Delivery Date]]="","Pending",IF(Orders[[#This Row],[Actual Delivery Date]]&lt;=Orders[[#This Row],[Expected Delivery Date]],"On Time","Late"))</f>
        <v>On Time</v>
      </c>
      <c r="U843" t="str">
        <f>TEXT(Orders[[#This Row],[Order Date]],"mmm")</f>
        <v>Sep</v>
      </c>
      <c r="V843" s="8">
        <f>DATE(YEAR(Orders[[#This Row],[Order Date]]),MONTH(Orders[[#This Row],[Order Date]]),1)</f>
        <v>46266</v>
      </c>
      <c r="W843" s="5">
        <f>IF(Orders[[#This Row],[Order Status]]="Cancelled",Orders[[#This Row],[Net Sales]],0)</f>
        <v>4798.3999999999996</v>
      </c>
    </row>
    <row r="844" spans="1:23" x14ac:dyDescent="0.3">
      <c r="A844" t="s">
        <v>1487</v>
      </c>
      <c r="B844" s="7">
        <v>46270</v>
      </c>
      <c r="C844" t="s">
        <v>990</v>
      </c>
      <c r="D844" t="s">
        <v>438</v>
      </c>
      <c r="E844" t="s">
        <v>35</v>
      </c>
      <c r="F844" t="s">
        <v>36</v>
      </c>
      <c r="G844" t="s">
        <v>206</v>
      </c>
      <c r="H844" t="s">
        <v>30</v>
      </c>
      <c r="I844">
        <v>1</v>
      </c>
      <c r="J844" s="5">
        <v>1199</v>
      </c>
      <c r="K844" s="2">
        <v>0.2</v>
      </c>
      <c r="L844" t="s">
        <v>39</v>
      </c>
      <c r="M844" t="s">
        <v>23</v>
      </c>
      <c r="N844" s="1">
        <v>46275</v>
      </c>
      <c r="O844" s="1">
        <v>46272</v>
      </c>
      <c r="P844" s="5">
        <f>Orders[[#This Row],[Quantity]]*Orders[[#This Row],[Unit Price]]</f>
        <v>1199</v>
      </c>
      <c r="Q844" s="5">
        <f>Orders[[#This Row],[Gross Sales]]*Orders[[#This Row],[Discount %]]</f>
        <v>239.8</v>
      </c>
      <c r="R844" s="5">
        <f>Orders[[#This Row],[Gross Sales]]-Orders[[#This Row],[Discount Amount]]</f>
        <v>959.2</v>
      </c>
      <c r="S844">
        <f>IF(Orders[[#This Row],[Actual Delivery Date]]="","",Orders[[#This Row],[Actual Delivery Date]]-Orders[[#This Row],[Order Date]])</f>
        <v>2</v>
      </c>
      <c r="T844" t="str">
        <f>IF(Orders[[#This Row],[Actual Delivery Date]]="","Pending",IF(Orders[[#This Row],[Actual Delivery Date]]&lt;=Orders[[#This Row],[Expected Delivery Date]],"On Time","Late"))</f>
        <v>On Time</v>
      </c>
      <c r="U844" t="str">
        <f>TEXT(Orders[[#This Row],[Order Date]],"mmm")</f>
        <v>Sep</v>
      </c>
      <c r="V844" s="8">
        <f>DATE(YEAR(Orders[[#This Row],[Order Date]]),MONTH(Orders[[#This Row],[Order Date]]),1)</f>
        <v>46266</v>
      </c>
      <c r="W844" s="5">
        <f>IF(Orders[[#This Row],[Order Status]]="Cancelled",Orders[[#This Row],[Net Sales]],0)</f>
        <v>0</v>
      </c>
    </row>
    <row r="845" spans="1:23" x14ac:dyDescent="0.3">
      <c r="A845" t="s">
        <v>1488</v>
      </c>
      <c r="B845" s="7">
        <v>46207</v>
      </c>
      <c r="C845" t="s">
        <v>402</v>
      </c>
      <c r="D845" t="s">
        <v>573</v>
      </c>
      <c r="E845" t="s">
        <v>18</v>
      </c>
      <c r="F845" t="s">
        <v>95</v>
      </c>
      <c r="G845" t="s">
        <v>100</v>
      </c>
      <c r="H845" t="s">
        <v>30</v>
      </c>
      <c r="I845">
        <v>1</v>
      </c>
      <c r="J845" s="5">
        <v>2499</v>
      </c>
      <c r="K845" s="2">
        <v>0</v>
      </c>
      <c r="L845" t="s">
        <v>31</v>
      </c>
      <c r="M845" t="s">
        <v>23</v>
      </c>
      <c r="N845" s="1">
        <v>46214</v>
      </c>
      <c r="O845" s="1">
        <v>46210</v>
      </c>
      <c r="P845" s="5">
        <f>Orders[[#This Row],[Quantity]]*Orders[[#This Row],[Unit Price]]</f>
        <v>2499</v>
      </c>
      <c r="Q845" s="5">
        <f>Orders[[#This Row],[Gross Sales]]*Orders[[#This Row],[Discount %]]</f>
        <v>0</v>
      </c>
      <c r="R845" s="5">
        <f>Orders[[#This Row],[Gross Sales]]-Orders[[#This Row],[Discount Amount]]</f>
        <v>2499</v>
      </c>
      <c r="S845">
        <f>IF(Orders[[#This Row],[Actual Delivery Date]]="","",Orders[[#This Row],[Actual Delivery Date]]-Orders[[#This Row],[Order Date]])</f>
        <v>3</v>
      </c>
      <c r="T845" t="str">
        <f>IF(Orders[[#This Row],[Actual Delivery Date]]="","Pending",IF(Orders[[#This Row],[Actual Delivery Date]]&lt;=Orders[[#This Row],[Expected Delivery Date]],"On Time","Late"))</f>
        <v>On Time</v>
      </c>
      <c r="U845" t="str">
        <f>TEXT(Orders[[#This Row],[Order Date]],"mmm")</f>
        <v>Jul</v>
      </c>
      <c r="V845" s="8">
        <f>DATE(YEAR(Orders[[#This Row],[Order Date]]),MONTH(Orders[[#This Row],[Order Date]]),1)</f>
        <v>46204</v>
      </c>
      <c r="W845" s="5">
        <f>IF(Orders[[#This Row],[Order Status]]="Cancelled",Orders[[#This Row],[Net Sales]],0)</f>
        <v>0</v>
      </c>
    </row>
    <row r="846" spans="1:23" x14ac:dyDescent="0.3">
      <c r="A846" t="s">
        <v>1489</v>
      </c>
      <c r="B846" s="7">
        <v>46223</v>
      </c>
      <c r="C846" t="s">
        <v>886</v>
      </c>
      <c r="D846" t="s">
        <v>431</v>
      </c>
      <c r="E846" t="s">
        <v>27</v>
      </c>
      <c r="F846" t="s">
        <v>51</v>
      </c>
      <c r="G846" t="s">
        <v>186</v>
      </c>
      <c r="H846" t="s">
        <v>21</v>
      </c>
      <c r="I846">
        <v>2</v>
      </c>
      <c r="J846" s="5">
        <v>1999</v>
      </c>
      <c r="K846" s="2">
        <v>0.1</v>
      </c>
      <c r="L846" t="s">
        <v>46</v>
      </c>
      <c r="M846" t="s">
        <v>23</v>
      </c>
      <c r="N846" s="1">
        <v>46225</v>
      </c>
      <c r="O846" s="1">
        <v>46225</v>
      </c>
      <c r="P846" s="5">
        <f>Orders[[#This Row],[Quantity]]*Orders[[#This Row],[Unit Price]]</f>
        <v>3998</v>
      </c>
      <c r="Q846" s="5">
        <f>Orders[[#This Row],[Gross Sales]]*Orders[[#This Row],[Discount %]]</f>
        <v>399.8</v>
      </c>
      <c r="R846" s="5">
        <f>Orders[[#This Row],[Gross Sales]]-Orders[[#This Row],[Discount Amount]]</f>
        <v>3598.2</v>
      </c>
      <c r="S846">
        <f>IF(Orders[[#This Row],[Actual Delivery Date]]="","",Orders[[#This Row],[Actual Delivery Date]]-Orders[[#This Row],[Order Date]])</f>
        <v>2</v>
      </c>
      <c r="T846" t="str">
        <f>IF(Orders[[#This Row],[Actual Delivery Date]]="","Pending",IF(Orders[[#This Row],[Actual Delivery Date]]&lt;=Orders[[#This Row],[Expected Delivery Date]],"On Time","Late"))</f>
        <v>On Time</v>
      </c>
      <c r="U846" t="str">
        <f>TEXT(Orders[[#This Row],[Order Date]],"mmm")</f>
        <v>Jul</v>
      </c>
      <c r="V846" s="8">
        <f>DATE(YEAR(Orders[[#This Row],[Order Date]]),MONTH(Orders[[#This Row],[Order Date]]),1)</f>
        <v>46204</v>
      </c>
      <c r="W846" s="5">
        <f>IF(Orders[[#This Row],[Order Status]]="Cancelled",Orders[[#This Row],[Net Sales]],0)</f>
        <v>0</v>
      </c>
    </row>
    <row r="847" spans="1:23" x14ac:dyDescent="0.3">
      <c r="A847" t="s">
        <v>1490</v>
      </c>
      <c r="B847" s="7">
        <v>46027</v>
      </c>
      <c r="C847" t="s">
        <v>783</v>
      </c>
      <c r="D847" t="s">
        <v>702</v>
      </c>
      <c r="E847" t="s">
        <v>79</v>
      </c>
      <c r="F847" t="s">
        <v>80</v>
      </c>
      <c r="G847" t="s">
        <v>64</v>
      </c>
      <c r="H847" t="s">
        <v>21</v>
      </c>
      <c r="I847">
        <v>2</v>
      </c>
      <c r="J847" s="5">
        <v>699</v>
      </c>
      <c r="K847" s="2">
        <v>0.05</v>
      </c>
      <c r="L847" t="s">
        <v>70</v>
      </c>
      <c r="M847" t="s">
        <v>59</v>
      </c>
      <c r="N847" s="1">
        <v>46030</v>
      </c>
      <c r="O847" s="1">
        <v>46029</v>
      </c>
      <c r="P847" s="5">
        <f>Orders[[#This Row],[Quantity]]*Orders[[#This Row],[Unit Price]]</f>
        <v>1398</v>
      </c>
      <c r="Q847" s="5">
        <f>Orders[[#This Row],[Gross Sales]]*Orders[[#This Row],[Discount %]]</f>
        <v>69.900000000000006</v>
      </c>
      <c r="R847" s="5">
        <f>Orders[[#This Row],[Gross Sales]]-Orders[[#This Row],[Discount Amount]]</f>
        <v>1328.1</v>
      </c>
      <c r="S847">
        <f>IF(Orders[[#This Row],[Actual Delivery Date]]="","",Orders[[#This Row],[Actual Delivery Date]]-Orders[[#This Row],[Order Date]])</f>
        <v>2</v>
      </c>
      <c r="T847" t="str">
        <f>IF(Orders[[#This Row],[Actual Delivery Date]]="","Pending",IF(Orders[[#This Row],[Actual Delivery Date]]&lt;=Orders[[#This Row],[Expected Delivery Date]],"On Time","Late"))</f>
        <v>On Time</v>
      </c>
      <c r="U847" t="str">
        <f>TEXT(Orders[[#This Row],[Order Date]],"mmm")</f>
        <v>Jan</v>
      </c>
      <c r="V847" s="8">
        <f>DATE(YEAR(Orders[[#This Row],[Order Date]]),MONTH(Orders[[#This Row],[Order Date]]),1)</f>
        <v>46023</v>
      </c>
      <c r="W847" s="5">
        <f>IF(Orders[[#This Row],[Order Status]]="Cancelled",Orders[[#This Row],[Net Sales]],0)</f>
        <v>1328.1</v>
      </c>
    </row>
    <row r="848" spans="1:23" x14ac:dyDescent="0.3">
      <c r="A848" t="s">
        <v>1491</v>
      </c>
      <c r="B848" s="7">
        <v>46173</v>
      </c>
      <c r="C848" t="s">
        <v>595</v>
      </c>
      <c r="D848" t="s">
        <v>983</v>
      </c>
      <c r="E848" t="s">
        <v>35</v>
      </c>
      <c r="F848" t="s">
        <v>63</v>
      </c>
      <c r="G848" t="s">
        <v>64</v>
      </c>
      <c r="H848" t="s">
        <v>21</v>
      </c>
      <c r="I848">
        <v>1</v>
      </c>
      <c r="J848" s="5">
        <v>699</v>
      </c>
      <c r="K848" s="2">
        <v>0</v>
      </c>
      <c r="L848" t="s">
        <v>31</v>
      </c>
      <c r="M848" t="s">
        <v>23</v>
      </c>
      <c r="N848" s="1">
        <v>46179</v>
      </c>
      <c r="O848" s="1">
        <v>46177</v>
      </c>
      <c r="P848" s="5">
        <f>Orders[[#This Row],[Quantity]]*Orders[[#This Row],[Unit Price]]</f>
        <v>699</v>
      </c>
      <c r="Q848" s="5">
        <f>Orders[[#This Row],[Gross Sales]]*Orders[[#This Row],[Discount %]]</f>
        <v>0</v>
      </c>
      <c r="R848" s="5">
        <f>Orders[[#This Row],[Gross Sales]]-Orders[[#This Row],[Discount Amount]]</f>
        <v>699</v>
      </c>
      <c r="S848">
        <f>IF(Orders[[#This Row],[Actual Delivery Date]]="","",Orders[[#This Row],[Actual Delivery Date]]-Orders[[#This Row],[Order Date]])</f>
        <v>4</v>
      </c>
      <c r="T848" t="str">
        <f>IF(Orders[[#This Row],[Actual Delivery Date]]="","Pending",IF(Orders[[#This Row],[Actual Delivery Date]]&lt;=Orders[[#This Row],[Expected Delivery Date]],"On Time","Late"))</f>
        <v>On Time</v>
      </c>
      <c r="U848" t="str">
        <f>TEXT(Orders[[#This Row],[Order Date]],"mmm")</f>
        <v>May</v>
      </c>
      <c r="V848" s="8">
        <f>DATE(YEAR(Orders[[#This Row],[Order Date]]),MONTH(Orders[[#This Row],[Order Date]]),1)</f>
        <v>46143</v>
      </c>
      <c r="W848" s="5">
        <f>IF(Orders[[#This Row],[Order Status]]="Cancelled",Orders[[#This Row],[Net Sales]],0)</f>
        <v>0</v>
      </c>
    </row>
    <row r="849" spans="1:23" x14ac:dyDescent="0.3">
      <c r="A849" t="s">
        <v>1492</v>
      </c>
      <c r="B849" s="7">
        <v>46151</v>
      </c>
      <c r="C849" t="s">
        <v>858</v>
      </c>
      <c r="D849" t="s">
        <v>62</v>
      </c>
      <c r="E849" t="s">
        <v>79</v>
      </c>
      <c r="F849" t="s">
        <v>80</v>
      </c>
      <c r="G849" t="s">
        <v>75</v>
      </c>
      <c r="H849" t="s">
        <v>45</v>
      </c>
      <c r="I849">
        <v>1</v>
      </c>
      <c r="J849" s="5">
        <v>799</v>
      </c>
      <c r="K849" s="2">
        <v>0.1</v>
      </c>
      <c r="L849" t="s">
        <v>22</v>
      </c>
      <c r="M849" t="s">
        <v>59</v>
      </c>
      <c r="N849" s="1">
        <v>46157</v>
      </c>
      <c r="O849" s="1">
        <v>46152</v>
      </c>
      <c r="P849" s="5">
        <f>Orders[[#This Row],[Quantity]]*Orders[[#This Row],[Unit Price]]</f>
        <v>799</v>
      </c>
      <c r="Q849" s="5">
        <f>Orders[[#This Row],[Gross Sales]]*Orders[[#This Row],[Discount %]]</f>
        <v>79.900000000000006</v>
      </c>
      <c r="R849" s="5">
        <f>Orders[[#This Row],[Gross Sales]]-Orders[[#This Row],[Discount Amount]]</f>
        <v>719.1</v>
      </c>
      <c r="S849">
        <f>IF(Orders[[#This Row],[Actual Delivery Date]]="","",Orders[[#This Row],[Actual Delivery Date]]-Orders[[#This Row],[Order Date]])</f>
        <v>1</v>
      </c>
      <c r="T849" t="str">
        <f>IF(Orders[[#This Row],[Actual Delivery Date]]="","Pending",IF(Orders[[#This Row],[Actual Delivery Date]]&lt;=Orders[[#This Row],[Expected Delivery Date]],"On Time","Late"))</f>
        <v>On Time</v>
      </c>
      <c r="U849" t="str">
        <f>TEXT(Orders[[#This Row],[Order Date]],"mmm")</f>
        <v>May</v>
      </c>
      <c r="V849" s="8">
        <f>DATE(YEAR(Orders[[#This Row],[Order Date]]),MONTH(Orders[[#This Row],[Order Date]]),1)</f>
        <v>46143</v>
      </c>
      <c r="W849" s="5">
        <f>IF(Orders[[#This Row],[Order Status]]="Cancelled",Orders[[#This Row],[Net Sales]],0)</f>
        <v>719.1</v>
      </c>
    </row>
    <row r="850" spans="1:23" x14ac:dyDescent="0.3">
      <c r="A850" t="s">
        <v>1493</v>
      </c>
      <c r="B850" s="7">
        <v>46171</v>
      </c>
      <c r="C850" t="s">
        <v>405</v>
      </c>
      <c r="D850" t="s">
        <v>1494</v>
      </c>
      <c r="E850" t="s">
        <v>27</v>
      </c>
      <c r="F850" t="s">
        <v>74</v>
      </c>
      <c r="G850" t="s">
        <v>81</v>
      </c>
      <c r="H850" t="s">
        <v>30</v>
      </c>
      <c r="I850">
        <v>1</v>
      </c>
      <c r="J850" s="5">
        <v>899</v>
      </c>
      <c r="K850" s="2">
        <v>0.15</v>
      </c>
      <c r="L850" t="s">
        <v>46</v>
      </c>
      <c r="M850" t="s">
        <v>23</v>
      </c>
      <c r="N850" s="1">
        <v>46178</v>
      </c>
      <c r="O850" s="1">
        <v>46175</v>
      </c>
      <c r="P850" s="5">
        <f>Orders[[#This Row],[Quantity]]*Orders[[#This Row],[Unit Price]]</f>
        <v>899</v>
      </c>
      <c r="Q850" s="5">
        <f>Orders[[#This Row],[Gross Sales]]*Orders[[#This Row],[Discount %]]</f>
        <v>134.85</v>
      </c>
      <c r="R850" s="5">
        <f>Orders[[#This Row],[Gross Sales]]-Orders[[#This Row],[Discount Amount]]</f>
        <v>764.15</v>
      </c>
      <c r="S850">
        <f>IF(Orders[[#This Row],[Actual Delivery Date]]="","",Orders[[#This Row],[Actual Delivery Date]]-Orders[[#This Row],[Order Date]])</f>
        <v>4</v>
      </c>
      <c r="T850" t="str">
        <f>IF(Orders[[#This Row],[Actual Delivery Date]]="","Pending",IF(Orders[[#This Row],[Actual Delivery Date]]&lt;=Orders[[#This Row],[Expected Delivery Date]],"On Time","Late"))</f>
        <v>On Time</v>
      </c>
      <c r="U850" t="str">
        <f>TEXT(Orders[[#This Row],[Order Date]],"mmm")</f>
        <v>May</v>
      </c>
      <c r="V850" s="8">
        <f>DATE(YEAR(Orders[[#This Row],[Order Date]]),MONTH(Orders[[#This Row],[Order Date]]),1)</f>
        <v>46143</v>
      </c>
      <c r="W850" s="5">
        <f>IF(Orders[[#This Row],[Order Status]]="Cancelled",Orders[[#This Row],[Net Sales]],0)</f>
        <v>0</v>
      </c>
    </row>
    <row r="851" spans="1:23" x14ac:dyDescent="0.3">
      <c r="A851" t="s">
        <v>1495</v>
      </c>
      <c r="B851" s="7">
        <v>46111</v>
      </c>
      <c r="C851" t="s">
        <v>1147</v>
      </c>
      <c r="D851" t="s">
        <v>937</v>
      </c>
      <c r="E851" t="s">
        <v>35</v>
      </c>
      <c r="F851" t="s">
        <v>36</v>
      </c>
      <c r="G851" t="s">
        <v>91</v>
      </c>
      <c r="H851" t="s">
        <v>30</v>
      </c>
      <c r="I851">
        <v>2</v>
      </c>
      <c r="J851" s="5">
        <v>3299</v>
      </c>
      <c r="K851" s="2">
        <v>0.1</v>
      </c>
      <c r="L851" t="s">
        <v>22</v>
      </c>
      <c r="M851" t="s">
        <v>23</v>
      </c>
      <c r="N851" s="1">
        <v>46118</v>
      </c>
      <c r="O851" s="1">
        <v>46114</v>
      </c>
      <c r="P851" s="5">
        <f>Orders[[#This Row],[Quantity]]*Orders[[#This Row],[Unit Price]]</f>
        <v>6598</v>
      </c>
      <c r="Q851" s="5">
        <f>Orders[[#This Row],[Gross Sales]]*Orders[[#This Row],[Discount %]]</f>
        <v>659.80000000000007</v>
      </c>
      <c r="R851" s="5">
        <f>Orders[[#This Row],[Gross Sales]]-Orders[[#This Row],[Discount Amount]]</f>
        <v>5938.2</v>
      </c>
      <c r="S851">
        <f>IF(Orders[[#This Row],[Actual Delivery Date]]="","",Orders[[#This Row],[Actual Delivery Date]]-Orders[[#This Row],[Order Date]])</f>
        <v>3</v>
      </c>
      <c r="T851" t="str">
        <f>IF(Orders[[#This Row],[Actual Delivery Date]]="","Pending",IF(Orders[[#This Row],[Actual Delivery Date]]&lt;=Orders[[#This Row],[Expected Delivery Date]],"On Time","Late"))</f>
        <v>On Time</v>
      </c>
      <c r="U851" t="str">
        <f>TEXT(Orders[[#This Row],[Order Date]],"mmm")</f>
        <v>Mar</v>
      </c>
      <c r="V851" s="8">
        <f>DATE(YEAR(Orders[[#This Row],[Order Date]]),MONTH(Orders[[#This Row],[Order Date]]),1)</f>
        <v>46082</v>
      </c>
      <c r="W851" s="5">
        <f>IF(Orders[[#This Row],[Order Status]]="Cancelled",Orders[[#This Row],[Net Sales]],0)</f>
        <v>0</v>
      </c>
    </row>
    <row r="852" spans="1:23" x14ac:dyDescent="0.3">
      <c r="A852" t="s">
        <v>1496</v>
      </c>
      <c r="B852" s="7">
        <v>46175</v>
      </c>
      <c r="C852" t="s">
        <v>863</v>
      </c>
      <c r="D852" t="s">
        <v>294</v>
      </c>
      <c r="E852" t="s">
        <v>27</v>
      </c>
      <c r="F852" t="s">
        <v>51</v>
      </c>
      <c r="G852" t="s">
        <v>64</v>
      </c>
      <c r="H852" t="s">
        <v>21</v>
      </c>
      <c r="I852">
        <v>2</v>
      </c>
      <c r="J852" s="5">
        <v>699</v>
      </c>
      <c r="K852" s="2">
        <v>0.15</v>
      </c>
      <c r="L852" t="s">
        <v>22</v>
      </c>
      <c r="M852" t="s">
        <v>23</v>
      </c>
      <c r="N852" s="1">
        <v>46180</v>
      </c>
      <c r="O852" s="1">
        <v>46179</v>
      </c>
      <c r="P852" s="5">
        <f>Orders[[#This Row],[Quantity]]*Orders[[#This Row],[Unit Price]]</f>
        <v>1398</v>
      </c>
      <c r="Q852" s="5">
        <f>Orders[[#This Row],[Gross Sales]]*Orders[[#This Row],[Discount %]]</f>
        <v>209.7</v>
      </c>
      <c r="R852" s="5">
        <f>Orders[[#This Row],[Gross Sales]]-Orders[[#This Row],[Discount Amount]]</f>
        <v>1188.3</v>
      </c>
      <c r="S852">
        <f>IF(Orders[[#This Row],[Actual Delivery Date]]="","",Orders[[#This Row],[Actual Delivery Date]]-Orders[[#This Row],[Order Date]])</f>
        <v>4</v>
      </c>
      <c r="T852" t="str">
        <f>IF(Orders[[#This Row],[Actual Delivery Date]]="","Pending",IF(Orders[[#This Row],[Actual Delivery Date]]&lt;=Orders[[#This Row],[Expected Delivery Date]],"On Time","Late"))</f>
        <v>On Time</v>
      </c>
      <c r="U852" t="str">
        <f>TEXT(Orders[[#This Row],[Order Date]],"mmm")</f>
        <v>Jun</v>
      </c>
      <c r="V852" s="8">
        <f>DATE(YEAR(Orders[[#This Row],[Order Date]]),MONTH(Orders[[#This Row],[Order Date]]),1)</f>
        <v>46174</v>
      </c>
      <c r="W852" s="5">
        <f>IF(Orders[[#This Row],[Order Status]]="Cancelled",Orders[[#This Row],[Net Sales]],0)</f>
        <v>0</v>
      </c>
    </row>
    <row r="853" spans="1:23" x14ac:dyDescent="0.3">
      <c r="A853" t="s">
        <v>1497</v>
      </c>
      <c r="B853" s="7">
        <v>46262</v>
      </c>
      <c r="C853" t="s">
        <v>424</v>
      </c>
      <c r="D853" t="s">
        <v>1013</v>
      </c>
      <c r="E853" t="s">
        <v>79</v>
      </c>
      <c r="F853" t="s">
        <v>80</v>
      </c>
      <c r="G853" t="s">
        <v>91</v>
      </c>
      <c r="H853" t="s">
        <v>30</v>
      </c>
      <c r="I853">
        <v>1</v>
      </c>
      <c r="J853" s="5">
        <v>3299</v>
      </c>
      <c r="K853" s="2">
        <v>0.15</v>
      </c>
      <c r="L853" t="s">
        <v>70</v>
      </c>
      <c r="M853" t="s">
        <v>23</v>
      </c>
      <c r="N853" s="1">
        <v>46267</v>
      </c>
      <c r="O853" s="1">
        <v>46267</v>
      </c>
      <c r="P853" s="5">
        <f>Orders[[#This Row],[Quantity]]*Orders[[#This Row],[Unit Price]]</f>
        <v>3299</v>
      </c>
      <c r="Q853" s="5">
        <f>Orders[[#This Row],[Gross Sales]]*Orders[[#This Row],[Discount %]]</f>
        <v>494.84999999999997</v>
      </c>
      <c r="R853" s="5">
        <f>Orders[[#This Row],[Gross Sales]]-Orders[[#This Row],[Discount Amount]]</f>
        <v>2804.15</v>
      </c>
      <c r="S853">
        <f>IF(Orders[[#This Row],[Actual Delivery Date]]="","",Orders[[#This Row],[Actual Delivery Date]]-Orders[[#This Row],[Order Date]])</f>
        <v>5</v>
      </c>
      <c r="T853" t="str">
        <f>IF(Orders[[#This Row],[Actual Delivery Date]]="","Pending",IF(Orders[[#This Row],[Actual Delivery Date]]&lt;=Orders[[#This Row],[Expected Delivery Date]],"On Time","Late"))</f>
        <v>On Time</v>
      </c>
      <c r="U853" t="str">
        <f>TEXT(Orders[[#This Row],[Order Date]],"mmm")</f>
        <v>Aug</v>
      </c>
      <c r="V853" s="8">
        <f>DATE(YEAR(Orders[[#This Row],[Order Date]]),MONTH(Orders[[#This Row],[Order Date]]),1)</f>
        <v>46235</v>
      </c>
      <c r="W853" s="5">
        <f>IF(Orders[[#This Row],[Order Status]]="Cancelled",Orders[[#This Row],[Net Sales]],0)</f>
        <v>0</v>
      </c>
    </row>
    <row r="854" spans="1:23" x14ac:dyDescent="0.3">
      <c r="A854" t="s">
        <v>1498</v>
      </c>
      <c r="B854" s="7">
        <v>46147</v>
      </c>
      <c r="C854" t="s">
        <v>208</v>
      </c>
      <c r="D854" t="s">
        <v>1073</v>
      </c>
      <c r="E854" t="s">
        <v>18</v>
      </c>
      <c r="F854" t="s">
        <v>95</v>
      </c>
      <c r="G854" t="s">
        <v>91</v>
      </c>
      <c r="H854" t="s">
        <v>30</v>
      </c>
      <c r="I854">
        <v>2</v>
      </c>
      <c r="J854" s="5">
        <v>3299</v>
      </c>
      <c r="K854" s="2">
        <v>0.1</v>
      </c>
      <c r="L854" t="s">
        <v>31</v>
      </c>
      <c r="M854" t="s">
        <v>47</v>
      </c>
      <c r="N854" s="1">
        <v>46153</v>
      </c>
      <c r="O854" s="1"/>
      <c r="P854" s="5">
        <f>Orders[[#This Row],[Quantity]]*Orders[[#This Row],[Unit Price]]</f>
        <v>6598</v>
      </c>
      <c r="Q854" s="5">
        <f>Orders[[#This Row],[Gross Sales]]*Orders[[#This Row],[Discount %]]</f>
        <v>659.80000000000007</v>
      </c>
      <c r="R854" s="5">
        <f>Orders[[#This Row],[Gross Sales]]-Orders[[#This Row],[Discount Amount]]</f>
        <v>5938.2</v>
      </c>
      <c r="S854" t="str">
        <f>IF(Orders[[#This Row],[Actual Delivery Date]]="","",Orders[[#This Row],[Actual Delivery Date]]-Orders[[#This Row],[Order Date]])</f>
        <v/>
      </c>
      <c r="T854" t="str">
        <f>IF(Orders[[#This Row],[Actual Delivery Date]]="","Pending",IF(Orders[[#This Row],[Actual Delivery Date]]&lt;=Orders[[#This Row],[Expected Delivery Date]],"On Time","Late"))</f>
        <v>Pending</v>
      </c>
      <c r="U854" t="str">
        <f>TEXT(Orders[[#This Row],[Order Date]],"mmm")</f>
        <v>May</v>
      </c>
      <c r="V854" s="8">
        <f>DATE(YEAR(Orders[[#This Row],[Order Date]]),MONTH(Orders[[#This Row],[Order Date]]),1)</f>
        <v>46143</v>
      </c>
      <c r="W854" s="5">
        <f>IF(Orders[[#This Row],[Order Status]]="Cancelled",Orders[[#This Row],[Net Sales]],0)</f>
        <v>0</v>
      </c>
    </row>
    <row r="855" spans="1:23" x14ac:dyDescent="0.3">
      <c r="A855" t="s">
        <v>1499</v>
      </c>
      <c r="B855" s="7">
        <v>46366</v>
      </c>
      <c r="C855" t="s">
        <v>754</v>
      </c>
      <c r="D855" t="s">
        <v>274</v>
      </c>
      <c r="E855" t="s">
        <v>18</v>
      </c>
      <c r="F855" t="s">
        <v>43</v>
      </c>
      <c r="G855" t="s">
        <v>96</v>
      </c>
      <c r="H855" t="s">
        <v>38</v>
      </c>
      <c r="I855">
        <v>1</v>
      </c>
      <c r="J855" s="5">
        <v>1599</v>
      </c>
      <c r="K855" s="2">
        <v>0.2</v>
      </c>
      <c r="L855" t="s">
        <v>70</v>
      </c>
      <c r="M855" t="s">
        <v>82</v>
      </c>
      <c r="N855" s="1">
        <v>46368</v>
      </c>
      <c r="O855" s="1">
        <v>46368</v>
      </c>
      <c r="P855" s="5">
        <f>Orders[[#This Row],[Quantity]]*Orders[[#This Row],[Unit Price]]</f>
        <v>1599</v>
      </c>
      <c r="Q855" s="5">
        <f>Orders[[#This Row],[Gross Sales]]*Orders[[#This Row],[Discount %]]</f>
        <v>319.8</v>
      </c>
      <c r="R855" s="5">
        <f>Orders[[#This Row],[Gross Sales]]-Orders[[#This Row],[Discount Amount]]</f>
        <v>1279.2</v>
      </c>
      <c r="S855">
        <f>IF(Orders[[#This Row],[Actual Delivery Date]]="","",Orders[[#This Row],[Actual Delivery Date]]-Orders[[#This Row],[Order Date]])</f>
        <v>2</v>
      </c>
      <c r="T855" t="str">
        <f>IF(Orders[[#This Row],[Actual Delivery Date]]="","Pending",IF(Orders[[#This Row],[Actual Delivery Date]]&lt;=Orders[[#This Row],[Expected Delivery Date]],"On Time","Late"))</f>
        <v>On Time</v>
      </c>
      <c r="U855" t="str">
        <f>TEXT(Orders[[#This Row],[Order Date]],"mmm")</f>
        <v>Dec</v>
      </c>
      <c r="V855" s="8">
        <f>DATE(YEAR(Orders[[#This Row],[Order Date]]),MONTH(Orders[[#This Row],[Order Date]]),1)</f>
        <v>46357</v>
      </c>
      <c r="W855" s="5">
        <f>IF(Orders[[#This Row],[Order Status]]="Cancelled",Orders[[#This Row],[Net Sales]],0)</f>
        <v>0</v>
      </c>
    </row>
    <row r="856" spans="1:23" x14ac:dyDescent="0.3">
      <c r="A856" t="s">
        <v>1500</v>
      </c>
      <c r="B856" s="7">
        <v>46376</v>
      </c>
      <c r="C856" t="s">
        <v>794</v>
      </c>
      <c r="D856" t="s">
        <v>767</v>
      </c>
      <c r="E856" t="s">
        <v>18</v>
      </c>
      <c r="F856" t="s">
        <v>121</v>
      </c>
      <c r="G856" t="s">
        <v>100</v>
      </c>
      <c r="H856" t="s">
        <v>30</v>
      </c>
      <c r="I856">
        <v>1</v>
      </c>
      <c r="J856" s="5">
        <v>2499</v>
      </c>
      <c r="K856" s="2">
        <v>0</v>
      </c>
      <c r="L856" t="s">
        <v>39</v>
      </c>
      <c r="M856" t="s">
        <v>59</v>
      </c>
      <c r="N856" s="1">
        <v>46382</v>
      </c>
      <c r="O856" s="1">
        <v>46382</v>
      </c>
      <c r="P856" s="5">
        <f>Orders[[#This Row],[Quantity]]*Orders[[#This Row],[Unit Price]]</f>
        <v>2499</v>
      </c>
      <c r="Q856" s="5">
        <f>Orders[[#This Row],[Gross Sales]]*Orders[[#This Row],[Discount %]]</f>
        <v>0</v>
      </c>
      <c r="R856" s="5">
        <f>Orders[[#This Row],[Gross Sales]]-Orders[[#This Row],[Discount Amount]]</f>
        <v>2499</v>
      </c>
      <c r="S856">
        <f>IF(Orders[[#This Row],[Actual Delivery Date]]="","",Orders[[#This Row],[Actual Delivery Date]]-Orders[[#This Row],[Order Date]])</f>
        <v>6</v>
      </c>
      <c r="T856" t="str">
        <f>IF(Orders[[#This Row],[Actual Delivery Date]]="","Pending",IF(Orders[[#This Row],[Actual Delivery Date]]&lt;=Orders[[#This Row],[Expected Delivery Date]],"On Time","Late"))</f>
        <v>On Time</v>
      </c>
      <c r="U856" t="str">
        <f>TEXT(Orders[[#This Row],[Order Date]],"mmm")</f>
        <v>Dec</v>
      </c>
      <c r="V856" s="8">
        <f>DATE(YEAR(Orders[[#This Row],[Order Date]]),MONTH(Orders[[#This Row],[Order Date]]),1)</f>
        <v>46357</v>
      </c>
      <c r="W856" s="5">
        <f>IF(Orders[[#This Row],[Order Status]]="Cancelled",Orders[[#This Row],[Net Sales]],0)</f>
        <v>2499</v>
      </c>
    </row>
    <row r="857" spans="1:23" x14ac:dyDescent="0.3">
      <c r="A857" t="s">
        <v>1501</v>
      </c>
      <c r="B857" s="7">
        <v>46368</v>
      </c>
      <c r="C857" t="s">
        <v>590</v>
      </c>
      <c r="D857" t="s">
        <v>1174</v>
      </c>
      <c r="E857" t="s">
        <v>27</v>
      </c>
      <c r="F857" t="s">
        <v>74</v>
      </c>
      <c r="G857" t="s">
        <v>37</v>
      </c>
      <c r="H857" t="s">
        <v>38</v>
      </c>
      <c r="I857">
        <v>2</v>
      </c>
      <c r="J857" s="5">
        <v>699</v>
      </c>
      <c r="K857" s="2">
        <v>0.05</v>
      </c>
      <c r="L857" t="s">
        <v>46</v>
      </c>
      <c r="M857" t="s">
        <v>59</v>
      </c>
      <c r="N857" s="1">
        <v>46372</v>
      </c>
      <c r="O857" s="1">
        <v>46369</v>
      </c>
      <c r="P857" s="5">
        <f>Orders[[#This Row],[Quantity]]*Orders[[#This Row],[Unit Price]]</f>
        <v>1398</v>
      </c>
      <c r="Q857" s="5">
        <f>Orders[[#This Row],[Gross Sales]]*Orders[[#This Row],[Discount %]]</f>
        <v>69.900000000000006</v>
      </c>
      <c r="R857" s="5">
        <f>Orders[[#This Row],[Gross Sales]]-Orders[[#This Row],[Discount Amount]]</f>
        <v>1328.1</v>
      </c>
      <c r="S857">
        <f>IF(Orders[[#This Row],[Actual Delivery Date]]="","",Orders[[#This Row],[Actual Delivery Date]]-Orders[[#This Row],[Order Date]])</f>
        <v>1</v>
      </c>
      <c r="T857" t="str">
        <f>IF(Orders[[#This Row],[Actual Delivery Date]]="","Pending",IF(Orders[[#This Row],[Actual Delivery Date]]&lt;=Orders[[#This Row],[Expected Delivery Date]],"On Time","Late"))</f>
        <v>On Time</v>
      </c>
      <c r="U857" t="str">
        <f>TEXT(Orders[[#This Row],[Order Date]],"mmm")</f>
        <v>Dec</v>
      </c>
      <c r="V857" s="8">
        <f>DATE(YEAR(Orders[[#This Row],[Order Date]]),MONTH(Orders[[#This Row],[Order Date]]),1)</f>
        <v>46357</v>
      </c>
      <c r="W857" s="5">
        <f>IF(Orders[[#This Row],[Order Status]]="Cancelled",Orders[[#This Row],[Net Sales]],0)</f>
        <v>1328.1</v>
      </c>
    </row>
    <row r="858" spans="1:23" x14ac:dyDescent="0.3">
      <c r="A858" t="s">
        <v>1502</v>
      </c>
      <c r="B858" s="7">
        <v>46332</v>
      </c>
      <c r="C858" t="s">
        <v>446</v>
      </c>
      <c r="D858" t="s">
        <v>308</v>
      </c>
      <c r="E858" t="s">
        <v>18</v>
      </c>
      <c r="F858" t="s">
        <v>19</v>
      </c>
      <c r="G858" t="s">
        <v>52</v>
      </c>
      <c r="H858" t="s">
        <v>45</v>
      </c>
      <c r="I858">
        <v>3</v>
      </c>
      <c r="J858" s="5">
        <v>1299</v>
      </c>
      <c r="K858" s="2">
        <v>0.2</v>
      </c>
      <c r="L858" t="s">
        <v>39</v>
      </c>
      <c r="M858" t="s">
        <v>23</v>
      </c>
      <c r="N858" s="1">
        <v>46335</v>
      </c>
      <c r="O858" s="1">
        <v>46333</v>
      </c>
      <c r="P858" s="5">
        <f>Orders[[#This Row],[Quantity]]*Orders[[#This Row],[Unit Price]]</f>
        <v>3897</v>
      </c>
      <c r="Q858" s="5">
        <f>Orders[[#This Row],[Gross Sales]]*Orders[[#This Row],[Discount %]]</f>
        <v>779.40000000000009</v>
      </c>
      <c r="R858" s="5">
        <f>Orders[[#This Row],[Gross Sales]]-Orders[[#This Row],[Discount Amount]]</f>
        <v>3117.6</v>
      </c>
      <c r="S858">
        <f>IF(Orders[[#This Row],[Actual Delivery Date]]="","",Orders[[#This Row],[Actual Delivery Date]]-Orders[[#This Row],[Order Date]])</f>
        <v>1</v>
      </c>
      <c r="T858" t="str">
        <f>IF(Orders[[#This Row],[Actual Delivery Date]]="","Pending",IF(Orders[[#This Row],[Actual Delivery Date]]&lt;=Orders[[#This Row],[Expected Delivery Date]],"On Time","Late"))</f>
        <v>On Time</v>
      </c>
      <c r="U858" t="str">
        <f>TEXT(Orders[[#This Row],[Order Date]],"mmm")</f>
        <v>Nov</v>
      </c>
      <c r="V858" s="8">
        <f>DATE(YEAR(Orders[[#This Row],[Order Date]]),MONTH(Orders[[#This Row],[Order Date]]),1)</f>
        <v>46327</v>
      </c>
      <c r="W858" s="5">
        <f>IF(Orders[[#This Row],[Order Status]]="Cancelled",Orders[[#This Row],[Net Sales]],0)</f>
        <v>0</v>
      </c>
    </row>
    <row r="859" spans="1:23" x14ac:dyDescent="0.3">
      <c r="A859" t="s">
        <v>1503</v>
      </c>
      <c r="B859" s="7">
        <v>46230</v>
      </c>
      <c r="C859" t="s">
        <v>251</v>
      </c>
      <c r="D859" t="s">
        <v>159</v>
      </c>
      <c r="E859" t="s">
        <v>79</v>
      </c>
      <c r="F859" t="s">
        <v>86</v>
      </c>
      <c r="G859" t="s">
        <v>153</v>
      </c>
      <c r="H859" t="s">
        <v>45</v>
      </c>
      <c r="I859">
        <v>2</v>
      </c>
      <c r="J859" s="5">
        <v>1999</v>
      </c>
      <c r="K859" s="2">
        <v>0.05</v>
      </c>
      <c r="L859" t="s">
        <v>31</v>
      </c>
      <c r="M859" t="s">
        <v>82</v>
      </c>
      <c r="N859" s="1">
        <v>46236</v>
      </c>
      <c r="O859" s="1">
        <v>46235</v>
      </c>
      <c r="P859" s="5">
        <f>Orders[[#This Row],[Quantity]]*Orders[[#This Row],[Unit Price]]</f>
        <v>3998</v>
      </c>
      <c r="Q859" s="5">
        <f>Orders[[#This Row],[Gross Sales]]*Orders[[#This Row],[Discount %]]</f>
        <v>199.9</v>
      </c>
      <c r="R859" s="5">
        <f>Orders[[#This Row],[Gross Sales]]-Orders[[#This Row],[Discount Amount]]</f>
        <v>3798.1</v>
      </c>
      <c r="S859">
        <f>IF(Orders[[#This Row],[Actual Delivery Date]]="","",Orders[[#This Row],[Actual Delivery Date]]-Orders[[#This Row],[Order Date]])</f>
        <v>5</v>
      </c>
      <c r="T859" t="str">
        <f>IF(Orders[[#This Row],[Actual Delivery Date]]="","Pending",IF(Orders[[#This Row],[Actual Delivery Date]]&lt;=Orders[[#This Row],[Expected Delivery Date]],"On Time","Late"))</f>
        <v>On Time</v>
      </c>
      <c r="U859" t="str">
        <f>TEXT(Orders[[#This Row],[Order Date]],"mmm")</f>
        <v>Jul</v>
      </c>
      <c r="V859" s="8">
        <f>DATE(YEAR(Orders[[#This Row],[Order Date]]),MONTH(Orders[[#This Row],[Order Date]]),1)</f>
        <v>46204</v>
      </c>
      <c r="W859" s="5">
        <f>IF(Orders[[#This Row],[Order Status]]="Cancelled",Orders[[#This Row],[Net Sales]],0)</f>
        <v>0</v>
      </c>
    </row>
    <row r="860" spans="1:23" x14ac:dyDescent="0.3">
      <c r="A860" t="s">
        <v>1504</v>
      </c>
      <c r="B860" s="7">
        <v>46095</v>
      </c>
      <c r="C860" t="s">
        <v>461</v>
      </c>
      <c r="D860" t="s">
        <v>1174</v>
      </c>
      <c r="E860" t="s">
        <v>79</v>
      </c>
      <c r="F860" t="s">
        <v>108</v>
      </c>
      <c r="G860" t="s">
        <v>52</v>
      </c>
      <c r="H860" t="s">
        <v>45</v>
      </c>
      <c r="I860">
        <v>3</v>
      </c>
      <c r="J860" s="5">
        <v>1299</v>
      </c>
      <c r="K860" s="2">
        <v>0.05</v>
      </c>
      <c r="L860" t="s">
        <v>31</v>
      </c>
      <c r="M860" t="s">
        <v>47</v>
      </c>
      <c r="N860" s="1">
        <v>46102</v>
      </c>
      <c r="O860" s="1"/>
      <c r="P860" s="5">
        <f>Orders[[#This Row],[Quantity]]*Orders[[#This Row],[Unit Price]]</f>
        <v>3897</v>
      </c>
      <c r="Q860" s="5">
        <f>Orders[[#This Row],[Gross Sales]]*Orders[[#This Row],[Discount %]]</f>
        <v>194.85000000000002</v>
      </c>
      <c r="R860" s="5">
        <f>Orders[[#This Row],[Gross Sales]]-Orders[[#This Row],[Discount Amount]]</f>
        <v>3702.15</v>
      </c>
      <c r="S860" t="str">
        <f>IF(Orders[[#This Row],[Actual Delivery Date]]="","",Orders[[#This Row],[Actual Delivery Date]]-Orders[[#This Row],[Order Date]])</f>
        <v/>
      </c>
      <c r="T860" t="str">
        <f>IF(Orders[[#This Row],[Actual Delivery Date]]="","Pending",IF(Orders[[#This Row],[Actual Delivery Date]]&lt;=Orders[[#This Row],[Expected Delivery Date]],"On Time","Late"))</f>
        <v>Pending</v>
      </c>
      <c r="U860" t="str">
        <f>TEXT(Orders[[#This Row],[Order Date]],"mmm")</f>
        <v>Mar</v>
      </c>
      <c r="V860" s="8">
        <f>DATE(YEAR(Orders[[#This Row],[Order Date]]),MONTH(Orders[[#This Row],[Order Date]]),1)</f>
        <v>46082</v>
      </c>
      <c r="W860" s="5">
        <f>IF(Orders[[#This Row],[Order Status]]="Cancelled",Orders[[#This Row],[Net Sales]],0)</f>
        <v>0</v>
      </c>
    </row>
    <row r="861" spans="1:23" x14ac:dyDescent="0.3">
      <c r="A861" t="s">
        <v>1505</v>
      </c>
      <c r="B861" s="7">
        <v>46364</v>
      </c>
      <c r="C861" t="s">
        <v>754</v>
      </c>
      <c r="D861" t="s">
        <v>302</v>
      </c>
      <c r="E861" t="s">
        <v>79</v>
      </c>
      <c r="F861" t="s">
        <v>170</v>
      </c>
      <c r="G861" t="s">
        <v>186</v>
      </c>
      <c r="H861" t="s">
        <v>21</v>
      </c>
      <c r="I861">
        <v>1</v>
      </c>
      <c r="J861" s="5">
        <v>1999</v>
      </c>
      <c r="K861" s="2">
        <v>0.2</v>
      </c>
      <c r="L861" t="s">
        <v>70</v>
      </c>
      <c r="M861" t="s">
        <v>23</v>
      </c>
      <c r="N861" s="1">
        <v>46371</v>
      </c>
      <c r="O861" s="1">
        <v>46368</v>
      </c>
      <c r="P861" s="5">
        <f>Orders[[#This Row],[Quantity]]*Orders[[#This Row],[Unit Price]]</f>
        <v>1999</v>
      </c>
      <c r="Q861" s="5">
        <f>Orders[[#This Row],[Gross Sales]]*Orders[[#This Row],[Discount %]]</f>
        <v>399.8</v>
      </c>
      <c r="R861" s="5">
        <f>Orders[[#This Row],[Gross Sales]]-Orders[[#This Row],[Discount Amount]]</f>
        <v>1599.2</v>
      </c>
      <c r="S861">
        <f>IF(Orders[[#This Row],[Actual Delivery Date]]="","",Orders[[#This Row],[Actual Delivery Date]]-Orders[[#This Row],[Order Date]])</f>
        <v>4</v>
      </c>
      <c r="T861" t="str">
        <f>IF(Orders[[#This Row],[Actual Delivery Date]]="","Pending",IF(Orders[[#This Row],[Actual Delivery Date]]&lt;=Orders[[#This Row],[Expected Delivery Date]],"On Time","Late"))</f>
        <v>On Time</v>
      </c>
      <c r="U861" t="str">
        <f>TEXT(Orders[[#This Row],[Order Date]],"mmm")</f>
        <v>Dec</v>
      </c>
      <c r="V861" s="8">
        <f>DATE(YEAR(Orders[[#This Row],[Order Date]]),MONTH(Orders[[#This Row],[Order Date]]),1)</f>
        <v>46357</v>
      </c>
      <c r="W861" s="5">
        <f>IF(Orders[[#This Row],[Order Status]]="Cancelled",Orders[[#This Row],[Net Sales]],0)</f>
        <v>0</v>
      </c>
    </row>
    <row r="862" spans="1:23" x14ac:dyDescent="0.3">
      <c r="A862" t="s">
        <v>1506</v>
      </c>
      <c r="B862" s="7">
        <v>46168</v>
      </c>
      <c r="C862" t="s">
        <v>282</v>
      </c>
      <c r="D862" t="s">
        <v>209</v>
      </c>
      <c r="E862" t="s">
        <v>79</v>
      </c>
      <c r="F862" t="s">
        <v>170</v>
      </c>
      <c r="G862" t="s">
        <v>104</v>
      </c>
      <c r="H862" t="s">
        <v>38</v>
      </c>
      <c r="I862">
        <v>2</v>
      </c>
      <c r="J862" s="5">
        <v>999</v>
      </c>
      <c r="K862" s="2">
        <v>0.2</v>
      </c>
      <c r="L862" t="s">
        <v>70</v>
      </c>
      <c r="M862" t="s">
        <v>23</v>
      </c>
      <c r="N862" s="1">
        <v>46174</v>
      </c>
      <c r="O862" s="1">
        <v>46174</v>
      </c>
      <c r="P862" s="5">
        <f>Orders[[#This Row],[Quantity]]*Orders[[#This Row],[Unit Price]]</f>
        <v>1998</v>
      </c>
      <c r="Q862" s="5">
        <f>Orders[[#This Row],[Gross Sales]]*Orders[[#This Row],[Discount %]]</f>
        <v>399.6</v>
      </c>
      <c r="R862" s="5">
        <f>Orders[[#This Row],[Gross Sales]]-Orders[[#This Row],[Discount Amount]]</f>
        <v>1598.4</v>
      </c>
      <c r="S862">
        <f>IF(Orders[[#This Row],[Actual Delivery Date]]="","",Orders[[#This Row],[Actual Delivery Date]]-Orders[[#This Row],[Order Date]])</f>
        <v>6</v>
      </c>
      <c r="T862" t="str">
        <f>IF(Orders[[#This Row],[Actual Delivery Date]]="","Pending",IF(Orders[[#This Row],[Actual Delivery Date]]&lt;=Orders[[#This Row],[Expected Delivery Date]],"On Time","Late"))</f>
        <v>On Time</v>
      </c>
      <c r="U862" t="str">
        <f>TEXT(Orders[[#This Row],[Order Date]],"mmm")</f>
        <v>May</v>
      </c>
      <c r="V862" s="8">
        <f>DATE(YEAR(Orders[[#This Row],[Order Date]]),MONTH(Orders[[#This Row],[Order Date]]),1)</f>
        <v>46143</v>
      </c>
      <c r="W862" s="5">
        <f>IF(Orders[[#This Row],[Order Status]]="Cancelled",Orders[[#This Row],[Net Sales]],0)</f>
        <v>0</v>
      </c>
    </row>
    <row r="863" spans="1:23" x14ac:dyDescent="0.3">
      <c r="A863" t="s">
        <v>1507</v>
      </c>
      <c r="B863" s="7">
        <v>46164</v>
      </c>
      <c r="C863" t="s">
        <v>580</v>
      </c>
      <c r="D863" t="s">
        <v>385</v>
      </c>
      <c r="E863" t="s">
        <v>35</v>
      </c>
      <c r="F863" t="s">
        <v>68</v>
      </c>
      <c r="G863" t="s">
        <v>57</v>
      </c>
      <c r="H863" t="s">
        <v>58</v>
      </c>
      <c r="I863">
        <v>1</v>
      </c>
      <c r="J863" s="5">
        <v>499</v>
      </c>
      <c r="K863" s="2">
        <v>0.05</v>
      </c>
      <c r="L863" t="s">
        <v>46</v>
      </c>
      <c r="M863" t="s">
        <v>47</v>
      </c>
      <c r="N863" s="1">
        <v>46170</v>
      </c>
      <c r="O863" s="1"/>
      <c r="P863" s="5">
        <f>Orders[[#This Row],[Quantity]]*Orders[[#This Row],[Unit Price]]</f>
        <v>499</v>
      </c>
      <c r="Q863" s="5">
        <f>Orders[[#This Row],[Gross Sales]]*Orders[[#This Row],[Discount %]]</f>
        <v>24.950000000000003</v>
      </c>
      <c r="R863" s="5">
        <f>Orders[[#This Row],[Gross Sales]]-Orders[[#This Row],[Discount Amount]]</f>
        <v>474.05</v>
      </c>
      <c r="S863" t="str">
        <f>IF(Orders[[#This Row],[Actual Delivery Date]]="","",Orders[[#This Row],[Actual Delivery Date]]-Orders[[#This Row],[Order Date]])</f>
        <v/>
      </c>
      <c r="T863" t="str">
        <f>IF(Orders[[#This Row],[Actual Delivery Date]]="","Pending",IF(Orders[[#This Row],[Actual Delivery Date]]&lt;=Orders[[#This Row],[Expected Delivery Date]],"On Time","Late"))</f>
        <v>Pending</v>
      </c>
      <c r="U863" t="str">
        <f>TEXT(Orders[[#This Row],[Order Date]],"mmm")</f>
        <v>May</v>
      </c>
      <c r="V863" s="8">
        <f>DATE(YEAR(Orders[[#This Row],[Order Date]]),MONTH(Orders[[#This Row],[Order Date]]),1)</f>
        <v>46143</v>
      </c>
      <c r="W863" s="5">
        <f>IF(Orders[[#This Row],[Order Status]]="Cancelled",Orders[[#This Row],[Net Sales]],0)</f>
        <v>0</v>
      </c>
    </row>
    <row r="864" spans="1:23" x14ac:dyDescent="0.3">
      <c r="A864" t="s">
        <v>1508</v>
      </c>
      <c r="B864" s="7">
        <v>46203</v>
      </c>
      <c r="C864" t="s">
        <v>416</v>
      </c>
      <c r="D864" t="s">
        <v>1201</v>
      </c>
      <c r="E864" t="s">
        <v>79</v>
      </c>
      <c r="F864" t="s">
        <v>86</v>
      </c>
      <c r="G864" t="s">
        <v>37</v>
      </c>
      <c r="H864" t="s">
        <v>38</v>
      </c>
      <c r="I864">
        <v>2</v>
      </c>
      <c r="J864" s="5">
        <v>699</v>
      </c>
      <c r="K864" s="2">
        <v>0.2</v>
      </c>
      <c r="L864" t="s">
        <v>46</v>
      </c>
      <c r="M864" t="s">
        <v>23</v>
      </c>
      <c r="N864" s="1">
        <v>46210</v>
      </c>
      <c r="O864" s="1">
        <v>46205</v>
      </c>
      <c r="P864" s="5">
        <f>Orders[[#This Row],[Quantity]]*Orders[[#This Row],[Unit Price]]</f>
        <v>1398</v>
      </c>
      <c r="Q864" s="5">
        <f>Orders[[#This Row],[Gross Sales]]*Orders[[#This Row],[Discount %]]</f>
        <v>279.60000000000002</v>
      </c>
      <c r="R864" s="5">
        <f>Orders[[#This Row],[Gross Sales]]-Orders[[#This Row],[Discount Amount]]</f>
        <v>1118.4000000000001</v>
      </c>
      <c r="S864">
        <f>IF(Orders[[#This Row],[Actual Delivery Date]]="","",Orders[[#This Row],[Actual Delivery Date]]-Orders[[#This Row],[Order Date]])</f>
        <v>2</v>
      </c>
      <c r="T864" t="str">
        <f>IF(Orders[[#This Row],[Actual Delivery Date]]="","Pending",IF(Orders[[#This Row],[Actual Delivery Date]]&lt;=Orders[[#This Row],[Expected Delivery Date]],"On Time","Late"))</f>
        <v>On Time</v>
      </c>
      <c r="U864" t="str">
        <f>TEXT(Orders[[#This Row],[Order Date]],"mmm")</f>
        <v>Jun</v>
      </c>
      <c r="V864" s="8">
        <f>DATE(YEAR(Orders[[#This Row],[Order Date]]),MONTH(Orders[[#This Row],[Order Date]]),1)</f>
        <v>46174</v>
      </c>
      <c r="W864" s="5">
        <f>IF(Orders[[#This Row],[Order Status]]="Cancelled",Orders[[#This Row],[Net Sales]],0)</f>
        <v>0</v>
      </c>
    </row>
    <row r="865" spans="1:23" x14ac:dyDescent="0.3">
      <c r="A865" t="s">
        <v>1509</v>
      </c>
      <c r="B865" s="7">
        <v>46264</v>
      </c>
      <c r="C865" t="s">
        <v>1510</v>
      </c>
      <c r="D865" t="s">
        <v>345</v>
      </c>
      <c r="E865" t="s">
        <v>79</v>
      </c>
      <c r="F865" t="s">
        <v>86</v>
      </c>
      <c r="G865" t="s">
        <v>57</v>
      </c>
      <c r="H865" t="s">
        <v>58</v>
      </c>
      <c r="I865">
        <v>2</v>
      </c>
      <c r="J865" s="5">
        <v>499</v>
      </c>
      <c r="K865" s="2">
        <v>0.05</v>
      </c>
      <c r="L865" t="s">
        <v>22</v>
      </c>
      <c r="M865" t="s">
        <v>59</v>
      </c>
      <c r="N865" s="1">
        <v>46270</v>
      </c>
      <c r="O865" s="1">
        <v>46269</v>
      </c>
      <c r="P865" s="5">
        <f>Orders[[#This Row],[Quantity]]*Orders[[#This Row],[Unit Price]]</f>
        <v>998</v>
      </c>
      <c r="Q865" s="5">
        <f>Orders[[#This Row],[Gross Sales]]*Orders[[#This Row],[Discount %]]</f>
        <v>49.900000000000006</v>
      </c>
      <c r="R865" s="5">
        <f>Orders[[#This Row],[Gross Sales]]-Orders[[#This Row],[Discount Amount]]</f>
        <v>948.1</v>
      </c>
      <c r="S865">
        <f>IF(Orders[[#This Row],[Actual Delivery Date]]="","",Orders[[#This Row],[Actual Delivery Date]]-Orders[[#This Row],[Order Date]])</f>
        <v>5</v>
      </c>
      <c r="T865" t="str">
        <f>IF(Orders[[#This Row],[Actual Delivery Date]]="","Pending",IF(Orders[[#This Row],[Actual Delivery Date]]&lt;=Orders[[#This Row],[Expected Delivery Date]],"On Time","Late"))</f>
        <v>On Time</v>
      </c>
      <c r="U865" t="str">
        <f>TEXT(Orders[[#This Row],[Order Date]],"mmm")</f>
        <v>Aug</v>
      </c>
      <c r="V865" s="8">
        <f>DATE(YEAR(Orders[[#This Row],[Order Date]]),MONTH(Orders[[#This Row],[Order Date]]),1)</f>
        <v>46235</v>
      </c>
      <c r="W865" s="5">
        <f>IF(Orders[[#This Row],[Order Status]]="Cancelled",Orders[[#This Row],[Net Sales]],0)</f>
        <v>948.1</v>
      </c>
    </row>
    <row r="866" spans="1:23" x14ac:dyDescent="0.3">
      <c r="A866" t="s">
        <v>1511</v>
      </c>
      <c r="B866" s="7">
        <v>46229</v>
      </c>
      <c r="C866" t="s">
        <v>684</v>
      </c>
      <c r="D866" t="s">
        <v>214</v>
      </c>
      <c r="E866" t="s">
        <v>35</v>
      </c>
      <c r="F866" t="s">
        <v>36</v>
      </c>
      <c r="G866" t="s">
        <v>206</v>
      </c>
      <c r="H866" t="s">
        <v>30</v>
      </c>
      <c r="I866">
        <v>1</v>
      </c>
      <c r="J866" s="5">
        <v>1199</v>
      </c>
      <c r="K866" s="2">
        <v>0</v>
      </c>
      <c r="L866" t="s">
        <v>31</v>
      </c>
      <c r="M866" t="s">
        <v>23</v>
      </c>
      <c r="N866" s="1">
        <v>46231</v>
      </c>
      <c r="O866" s="1">
        <v>46231</v>
      </c>
      <c r="P866" s="5">
        <f>Orders[[#This Row],[Quantity]]*Orders[[#This Row],[Unit Price]]</f>
        <v>1199</v>
      </c>
      <c r="Q866" s="5">
        <f>Orders[[#This Row],[Gross Sales]]*Orders[[#This Row],[Discount %]]</f>
        <v>0</v>
      </c>
      <c r="R866" s="5">
        <f>Orders[[#This Row],[Gross Sales]]-Orders[[#This Row],[Discount Amount]]</f>
        <v>1199</v>
      </c>
      <c r="S866">
        <f>IF(Orders[[#This Row],[Actual Delivery Date]]="","",Orders[[#This Row],[Actual Delivery Date]]-Orders[[#This Row],[Order Date]])</f>
        <v>2</v>
      </c>
      <c r="T866" t="str">
        <f>IF(Orders[[#This Row],[Actual Delivery Date]]="","Pending",IF(Orders[[#This Row],[Actual Delivery Date]]&lt;=Orders[[#This Row],[Expected Delivery Date]],"On Time","Late"))</f>
        <v>On Time</v>
      </c>
      <c r="U866" t="str">
        <f>TEXT(Orders[[#This Row],[Order Date]],"mmm")</f>
        <v>Jul</v>
      </c>
      <c r="V866" s="8">
        <f>DATE(YEAR(Orders[[#This Row],[Order Date]]),MONTH(Orders[[#This Row],[Order Date]]),1)</f>
        <v>46204</v>
      </c>
      <c r="W866" s="5">
        <f>IF(Orders[[#This Row],[Order Status]]="Cancelled",Orders[[#This Row],[Net Sales]],0)</f>
        <v>0</v>
      </c>
    </row>
    <row r="867" spans="1:23" x14ac:dyDescent="0.3">
      <c r="A867" t="s">
        <v>1512</v>
      </c>
      <c r="B867" s="7">
        <v>46219</v>
      </c>
      <c r="C867" t="s">
        <v>126</v>
      </c>
      <c r="D867" t="s">
        <v>111</v>
      </c>
      <c r="E867" t="s">
        <v>27</v>
      </c>
      <c r="F867" t="s">
        <v>56</v>
      </c>
      <c r="G867" t="s">
        <v>52</v>
      </c>
      <c r="H867" t="s">
        <v>45</v>
      </c>
      <c r="I867">
        <v>3</v>
      </c>
      <c r="J867" s="5">
        <v>1299</v>
      </c>
      <c r="K867" s="2">
        <v>0.15</v>
      </c>
      <c r="L867" t="s">
        <v>39</v>
      </c>
      <c r="M867" t="s">
        <v>23</v>
      </c>
      <c r="N867" s="1">
        <v>46225</v>
      </c>
      <c r="O867" s="1">
        <v>46220</v>
      </c>
      <c r="P867" s="5">
        <f>Orders[[#This Row],[Quantity]]*Orders[[#This Row],[Unit Price]]</f>
        <v>3897</v>
      </c>
      <c r="Q867" s="5">
        <f>Orders[[#This Row],[Gross Sales]]*Orders[[#This Row],[Discount %]]</f>
        <v>584.54999999999995</v>
      </c>
      <c r="R867" s="5">
        <f>Orders[[#This Row],[Gross Sales]]-Orders[[#This Row],[Discount Amount]]</f>
        <v>3312.45</v>
      </c>
      <c r="S867">
        <f>IF(Orders[[#This Row],[Actual Delivery Date]]="","",Orders[[#This Row],[Actual Delivery Date]]-Orders[[#This Row],[Order Date]])</f>
        <v>1</v>
      </c>
      <c r="T867" t="str">
        <f>IF(Orders[[#This Row],[Actual Delivery Date]]="","Pending",IF(Orders[[#This Row],[Actual Delivery Date]]&lt;=Orders[[#This Row],[Expected Delivery Date]],"On Time","Late"))</f>
        <v>On Time</v>
      </c>
      <c r="U867" t="str">
        <f>TEXT(Orders[[#This Row],[Order Date]],"mmm")</f>
        <v>Jul</v>
      </c>
      <c r="V867" s="8">
        <f>DATE(YEAR(Orders[[#This Row],[Order Date]]),MONTH(Orders[[#This Row],[Order Date]]),1)</f>
        <v>46204</v>
      </c>
      <c r="W867" s="5">
        <f>IF(Orders[[#This Row],[Order Status]]="Cancelled",Orders[[#This Row],[Net Sales]],0)</f>
        <v>0</v>
      </c>
    </row>
    <row r="868" spans="1:23" x14ac:dyDescent="0.3">
      <c r="A868" t="s">
        <v>1513</v>
      </c>
      <c r="B868" s="7">
        <v>46078</v>
      </c>
      <c r="C868" t="s">
        <v>826</v>
      </c>
      <c r="D868" t="s">
        <v>321</v>
      </c>
      <c r="E868" t="s">
        <v>35</v>
      </c>
      <c r="F868" t="s">
        <v>135</v>
      </c>
      <c r="G868" t="s">
        <v>131</v>
      </c>
      <c r="H868" t="s">
        <v>38</v>
      </c>
      <c r="I868">
        <v>2</v>
      </c>
      <c r="J868" s="5">
        <v>899</v>
      </c>
      <c r="K868" s="2">
        <v>0.15</v>
      </c>
      <c r="L868" t="s">
        <v>31</v>
      </c>
      <c r="M868" t="s">
        <v>59</v>
      </c>
      <c r="N868" s="1">
        <v>46084</v>
      </c>
      <c r="O868" s="1">
        <v>46080</v>
      </c>
      <c r="P868" s="5">
        <f>Orders[[#This Row],[Quantity]]*Orders[[#This Row],[Unit Price]]</f>
        <v>1798</v>
      </c>
      <c r="Q868" s="5">
        <f>Orders[[#This Row],[Gross Sales]]*Orders[[#This Row],[Discount %]]</f>
        <v>269.7</v>
      </c>
      <c r="R868" s="5">
        <f>Orders[[#This Row],[Gross Sales]]-Orders[[#This Row],[Discount Amount]]</f>
        <v>1528.3</v>
      </c>
      <c r="S868">
        <f>IF(Orders[[#This Row],[Actual Delivery Date]]="","",Orders[[#This Row],[Actual Delivery Date]]-Orders[[#This Row],[Order Date]])</f>
        <v>2</v>
      </c>
      <c r="T868" t="str">
        <f>IF(Orders[[#This Row],[Actual Delivery Date]]="","Pending",IF(Orders[[#This Row],[Actual Delivery Date]]&lt;=Orders[[#This Row],[Expected Delivery Date]],"On Time","Late"))</f>
        <v>On Time</v>
      </c>
      <c r="U868" t="str">
        <f>TEXT(Orders[[#This Row],[Order Date]],"mmm")</f>
        <v>Feb</v>
      </c>
      <c r="V868" s="8">
        <f>DATE(YEAR(Orders[[#This Row],[Order Date]]),MONTH(Orders[[#This Row],[Order Date]]),1)</f>
        <v>46054</v>
      </c>
      <c r="W868" s="5">
        <f>IF(Orders[[#This Row],[Order Status]]="Cancelled",Orders[[#This Row],[Net Sales]],0)</f>
        <v>1528.3</v>
      </c>
    </row>
    <row r="869" spans="1:23" x14ac:dyDescent="0.3">
      <c r="A869" t="s">
        <v>1514</v>
      </c>
      <c r="B869" s="7">
        <v>46105</v>
      </c>
      <c r="C869" t="s">
        <v>863</v>
      </c>
      <c r="D869" t="s">
        <v>767</v>
      </c>
      <c r="E869" t="s">
        <v>79</v>
      </c>
      <c r="F869" t="s">
        <v>80</v>
      </c>
      <c r="G869" t="s">
        <v>37</v>
      </c>
      <c r="H869" t="s">
        <v>38</v>
      </c>
      <c r="I869">
        <v>1</v>
      </c>
      <c r="J869" s="5">
        <v>699</v>
      </c>
      <c r="K869" s="2">
        <v>0.2</v>
      </c>
      <c r="L869" t="s">
        <v>31</v>
      </c>
      <c r="M869" t="s">
        <v>23</v>
      </c>
      <c r="N869" s="1">
        <v>46111</v>
      </c>
      <c r="O869" s="1">
        <v>46111</v>
      </c>
      <c r="P869" s="5">
        <f>Orders[[#This Row],[Quantity]]*Orders[[#This Row],[Unit Price]]</f>
        <v>699</v>
      </c>
      <c r="Q869" s="5">
        <f>Orders[[#This Row],[Gross Sales]]*Orders[[#This Row],[Discount %]]</f>
        <v>139.80000000000001</v>
      </c>
      <c r="R869" s="5">
        <f>Orders[[#This Row],[Gross Sales]]-Orders[[#This Row],[Discount Amount]]</f>
        <v>559.20000000000005</v>
      </c>
      <c r="S869">
        <f>IF(Orders[[#This Row],[Actual Delivery Date]]="","",Orders[[#This Row],[Actual Delivery Date]]-Orders[[#This Row],[Order Date]])</f>
        <v>6</v>
      </c>
      <c r="T869" t="str">
        <f>IF(Orders[[#This Row],[Actual Delivery Date]]="","Pending",IF(Orders[[#This Row],[Actual Delivery Date]]&lt;=Orders[[#This Row],[Expected Delivery Date]],"On Time","Late"))</f>
        <v>On Time</v>
      </c>
      <c r="U869" t="str">
        <f>TEXT(Orders[[#This Row],[Order Date]],"mmm")</f>
        <v>Mar</v>
      </c>
      <c r="V869" s="8">
        <f>DATE(YEAR(Orders[[#This Row],[Order Date]]),MONTH(Orders[[#This Row],[Order Date]]),1)</f>
        <v>46082</v>
      </c>
      <c r="W869" s="5">
        <f>IF(Orders[[#This Row],[Order Status]]="Cancelled",Orders[[#This Row],[Net Sales]],0)</f>
        <v>0</v>
      </c>
    </row>
    <row r="870" spans="1:23" x14ac:dyDescent="0.3">
      <c r="A870" t="s">
        <v>1515</v>
      </c>
      <c r="B870" s="7">
        <v>46231</v>
      </c>
      <c r="C870" t="s">
        <v>129</v>
      </c>
      <c r="D870" t="s">
        <v>438</v>
      </c>
      <c r="E870" t="s">
        <v>18</v>
      </c>
      <c r="F870" t="s">
        <v>95</v>
      </c>
      <c r="G870" t="s">
        <v>153</v>
      </c>
      <c r="H870" t="s">
        <v>45</v>
      </c>
      <c r="I870">
        <v>2</v>
      </c>
      <c r="J870" s="5">
        <v>1999</v>
      </c>
      <c r="K870" s="2">
        <v>0</v>
      </c>
      <c r="L870" t="s">
        <v>46</v>
      </c>
      <c r="M870" t="s">
        <v>23</v>
      </c>
      <c r="N870" s="1">
        <v>46238</v>
      </c>
      <c r="O870" s="1">
        <v>46237</v>
      </c>
      <c r="P870" s="5">
        <f>Orders[[#This Row],[Quantity]]*Orders[[#This Row],[Unit Price]]</f>
        <v>3998</v>
      </c>
      <c r="Q870" s="5">
        <f>Orders[[#This Row],[Gross Sales]]*Orders[[#This Row],[Discount %]]</f>
        <v>0</v>
      </c>
      <c r="R870" s="5">
        <f>Orders[[#This Row],[Gross Sales]]-Orders[[#This Row],[Discount Amount]]</f>
        <v>3998</v>
      </c>
      <c r="S870">
        <f>IF(Orders[[#This Row],[Actual Delivery Date]]="","",Orders[[#This Row],[Actual Delivery Date]]-Orders[[#This Row],[Order Date]])</f>
        <v>6</v>
      </c>
      <c r="T870" t="str">
        <f>IF(Orders[[#This Row],[Actual Delivery Date]]="","Pending",IF(Orders[[#This Row],[Actual Delivery Date]]&lt;=Orders[[#This Row],[Expected Delivery Date]],"On Time","Late"))</f>
        <v>On Time</v>
      </c>
      <c r="U870" t="str">
        <f>TEXT(Orders[[#This Row],[Order Date]],"mmm")</f>
        <v>Jul</v>
      </c>
      <c r="V870" s="8">
        <f>DATE(YEAR(Orders[[#This Row],[Order Date]]),MONTH(Orders[[#This Row],[Order Date]]),1)</f>
        <v>46204</v>
      </c>
      <c r="W870" s="5">
        <f>IF(Orders[[#This Row],[Order Status]]="Cancelled",Orders[[#This Row],[Net Sales]],0)</f>
        <v>0</v>
      </c>
    </row>
    <row r="871" spans="1:23" x14ac:dyDescent="0.3">
      <c r="A871" t="s">
        <v>1516</v>
      </c>
      <c r="B871" s="7">
        <v>46279</v>
      </c>
      <c r="C871" t="s">
        <v>178</v>
      </c>
      <c r="D871" t="s">
        <v>205</v>
      </c>
      <c r="E871" t="s">
        <v>27</v>
      </c>
      <c r="F871" t="s">
        <v>56</v>
      </c>
      <c r="G871" t="s">
        <v>100</v>
      </c>
      <c r="H871" t="s">
        <v>30</v>
      </c>
      <c r="I871">
        <v>1</v>
      </c>
      <c r="J871" s="5">
        <v>2499</v>
      </c>
      <c r="K871" s="2">
        <v>0.2</v>
      </c>
      <c r="L871" t="s">
        <v>22</v>
      </c>
      <c r="M871" t="s">
        <v>82</v>
      </c>
      <c r="N871" s="1">
        <v>46282</v>
      </c>
      <c r="O871" s="1">
        <v>46281</v>
      </c>
      <c r="P871" s="5">
        <f>Orders[[#This Row],[Quantity]]*Orders[[#This Row],[Unit Price]]</f>
        <v>2499</v>
      </c>
      <c r="Q871" s="5">
        <f>Orders[[#This Row],[Gross Sales]]*Orders[[#This Row],[Discount %]]</f>
        <v>499.8</v>
      </c>
      <c r="R871" s="5">
        <f>Orders[[#This Row],[Gross Sales]]-Orders[[#This Row],[Discount Amount]]</f>
        <v>1999.2</v>
      </c>
      <c r="S871">
        <f>IF(Orders[[#This Row],[Actual Delivery Date]]="","",Orders[[#This Row],[Actual Delivery Date]]-Orders[[#This Row],[Order Date]])</f>
        <v>2</v>
      </c>
      <c r="T871" t="str">
        <f>IF(Orders[[#This Row],[Actual Delivery Date]]="","Pending",IF(Orders[[#This Row],[Actual Delivery Date]]&lt;=Orders[[#This Row],[Expected Delivery Date]],"On Time","Late"))</f>
        <v>On Time</v>
      </c>
      <c r="U871" t="str">
        <f>TEXT(Orders[[#This Row],[Order Date]],"mmm")</f>
        <v>Sep</v>
      </c>
      <c r="V871" s="8">
        <f>DATE(YEAR(Orders[[#This Row],[Order Date]]),MONTH(Orders[[#This Row],[Order Date]]),1)</f>
        <v>46266</v>
      </c>
      <c r="W871" s="5">
        <f>IF(Orders[[#This Row],[Order Status]]="Cancelled",Orders[[#This Row],[Net Sales]],0)</f>
        <v>0</v>
      </c>
    </row>
    <row r="872" spans="1:23" x14ac:dyDescent="0.3">
      <c r="A872" t="s">
        <v>1517</v>
      </c>
      <c r="B872" s="7">
        <v>46175</v>
      </c>
      <c r="C872" t="s">
        <v>625</v>
      </c>
      <c r="D872" t="s">
        <v>739</v>
      </c>
      <c r="E872" t="s">
        <v>18</v>
      </c>
      <c r="F872" t="s">
        <v>19</v>
      </c>
      <c r="G872" t="s">
        <v>69</v>
      </c>
      <c r="H872" t="s">
        <v>38</v>
      </c>
      <c r="I872">
        <v>1</v>
      </c>
      <c r="J872" s="5">
        <v>3499</v>
      </c>
      <c r="K872" s="2">
        <v>0.15</v>
      </c>
      <c r="L872" t="s">
        <v>31</v>
      </c>
      <c r="M872" t="s">
        <v>23</v>
      </c>
      <c r="N872" s="1">
        <v>46181</v>
      </c>
      <c r="O872" s="1">
        <v>46176</v>
      </c>
      <c r="P872" s="5">
        <f>Orders[[#This Row],[Quantity]]*Orders[[#This Row],[Unit Price]]</f>
        <v>3499</v>
      </c>
      <c r="Q872" s="5">
        <f>Orders[[#This Row],[Gross Sales]]*Orders[[#This Row],[Discount %]]</f>
        <v>524.85</v>
      </c>
      <c r="R872" s="5">
        <f>Orders[[#This Row],[Gross Sales]]-Orders[[#This Row],[Discount Amount]]</f>
        <v>2974.15</v>
      </c>
      <c r="S872">
        <f>IF(Orders[[#This Row],[Actual Delivery Date]]="","",Orders[[#This Row],[Actual Delivery Date]]-Orders[[#This Row],[Order Date]])</f>
        <v>1</v>
      </c>
      <c r="T872" t="str">
        <f>IF(Orders[[#This Row],[Actual Delivery Date]]="","Pending",IF(Orders[[#This Row],[Actual Delivery Date]]&lt;=Orders[[#This Row],[Expected Delivery Date]],"On Time","Late"))</f>
        <v>On Time</v>
      </c>
      <c r="U872" t="str">
        <f>TEXT(Orders[[#This Row],[Order Date]],"mmm")</f>
        <v>Jun</v>
      </c>
      <c r="V872" s="8">
        <f>DATE(YEAR(Orders[[#This Row],[Order Date]]),MONTH(Orders[[#This Row],[Order Date]]),1)</f>
        <v>46174</v>
      </c>
      <c r="W872" s="5">
        <f>IF(Orders[[#This Row],[Order Status]]="Cancelled",Orders[[#This Row],[Net Sales]],0)</f>
        <v>0</v>
      </c>
    </row>
    <row r="873" spans="1:23" x14ac:dyDescent="0.3">
      <c r="A873" t="s">
        <v>1518</v>
      </c>
      <c r="B873" s="7">
        <v>46103</v>
      </c>
      <c r="C873" t="s">
        <v>608</v>
      </c>
      <c r="D873" t="s">
        <v>1009</v>
      </c>
      <c r="E873" t="s">
        <v>35</v>
      </c>
      <c r="F873" t="s">
        <v>63</v>
      </c>
      <c r="G873" t="s">
        <v>64</v>
      </c>
      <c r="H873" t="s">
        <v>21</v>
      </c>
      <c r="I873">
        <v>4</v>
      </c>
      <c r="J873" s="5">
        <v>699</v>
      </c>
      <c r="K873" s="2">
        <v>0</v>
      </c>
      <c r="L873" t="s">
        <v>22</v>
      </c>
      <c r="M873" t="s">
        <v>47</v>
      </c>
      <c r="N873" s="1">
        <v>46106</v>
      </c>
      <c r="O873" s="1"/>
      <c r="P873" s="5">
        <f>Orders[[#This Row],[Quantity]]*Orders[[#This Row],[Unit Price]]</f>
        <v>2796</v>
      </c>
      <c r="Q873" s="5">
        <f>Orders[[#This Row],[Gross Sales]]*Orders[[#This Row],[Discount %]]</f>
        <v>0</v>
      </c>
      <c r="R873" s="5">
        <f>Orders[[#This Row],[Gross Sales]]-Orders[[#This Row],[Discount Amount]]</f>
        <v>2796</v>
      </c>
      <c r="S873" t="str">
        <f>IF(Orders[[#This Row],[Actual Delivery Date]]="","",Orders[[#This Row],[Actual Delivery Date]]-Orders[[#This Row],[Order Date]])</f>
        <v/>
      </c>
      <c r="T873" t="str">
        <f>IF(Orders[[#This Row],[Actual Delivery Date]]="","Pending",IF(Orders[[#This Row],[Actual Delivery Date]]&lt;=Orders[[#This Row],[Expected Delivery Date]],"On Time","Late"))</f>
        <v>Pending</v>
      </c>
      <c r="U873" t="str">
        <f>TEXT(Orders[[#This Row],[Order Date]],"mmm")</f>
        <v>Mar</v>
      </c>
      <c r="V873" s="8">
        <f>DATE(YEAR(Orders[[#This Row],[Order Date]]),MONTH(Orders[[#This Row],[Order Date]]),1)</f>
        <v>46082</v>
      </c>
      <c r="W873" s="5">
        <f>IF(Orders[[#This Row],[Order Status]]="Cancelled",Orders[[#This Row],[Net Sales]],0)</f>
        <v>0</v>
      </c>
    </row>
    <row r="874" spans="1:23" x14ac:dyDescent="0.3">
      <c r="A874" t="s">
        <v>1519</v>
      </c>
      <c r="B874" s="7">
        <v>46302</v>
      </c>
      <c r="C874" t="s">
        <v>756</v>
      </c>
      <c r="D874" t="s">
        <v>1013</v>
      </c>
      <c r="E874" t="s">
        <v>35</v>
      </c>
      <c r="F874" t="s">
        <v>63</v>
      </c>
      <c r="G874" t="s">
        <v>81</v>
      </c>
      <c r="H874" t="s">
        <v>30</v>
      </c>
      <c r="I874">
        <v>2</v>
      </c>
      <c r="J874" s="5">
        <v>899</v>
      </c>
      <c r="K874" s="2">
        <v>0</v>
      </c>
      <c r="L874" t="s">
        <v>22</v>
      </c>
      <c r="M874" t="s">
        <v>23</v>
      </c>
      <c r="N874" s="1">
        <v>46306</v>
      </c>
      <c r="O874" s="1">
        <v>46303</v>
      </c>
      <c r="P874" s="5">
        <f>Orders[[#This Row],[Quantity]]*Orders[[#This Row],[Unit Price]]</f>
        <v>1798</v>
      </c>
      <c r="Q874" s="5">
        <f>Orders[[#This Row],[Gross Sales]]*Orders[[#This Row],[Discount %]]</f>
        <v>0</v>
      </c>
      <c r="R874" s="5">
        <f>Orders[[#This Row],[Gross Sales]]-Orders[[#This Row],[Discount Amount]]</f>
        <v>1798</v>
      </c>
      <c r="S874">
        <f>IF(Orders[[#This Row],[Actual Delivery Date]]="","",Orders[[#This Row],[Actual Delivery Date]]-Orders[[#This Row],[Order Date]])</f>
        <v>1</v>
      </c>
      <c r="T874" t="str">
        <f>IF(Orders[[#This Row],[Actual Delivery Date]]="","Pending",IF(Orders[[#This Row],[Actual Delivery Date]]&lt;=Orders[[#This Row],[Expected Delivery Date]],"On Time","Late"))</f>
        <v>On Time</v>
      </c>
      <c r="U874" t="str">
        <f>TEXT(Orders[[#This Row],[Order Date]],"mmm")</f>
        <v>Oct</v>
      </c>
      <c r="V874" s="8">
        <f>DATE(YEAR(Orders[[#This Row],[Order Date]]),MONTH(Orders[[#This Row],[Order Date]]),1)</f>
        <v>46296</v>
      </c>
      <c r="W874" s="5">
        <f>IF(Orders[[#This Row],[Order Status]]="Cancelled",Orders[[#This Row],[Net Sales]],0)</f>
        <v>0</v>
      </c>
    </row>
    <row r="875" spans="1:23" x14ac:dyDescent="0.3">
      <c r="A875" t="s">
        <v>1520</v>
      </c>
      <c r="B875" s="7">
        <v>46094</v>
      </c>
      <c r="C875" t="s">
        <v>1465</v>
      </c>
      <c r="D875" t="s">
        <v>669</v>
      </c>
      <c r="E875" t="s">
        <v>35</v>
      </c>
      <c r="F875" t="s">
        <v>68</v>
      </c>
      <c r="G875" t="s">
        <v>64</v>
      </c>
      <c r="H875" t="s">
        <v>21</v>
      </c>
      <c r="I875">
        <v>1</v>
      </c>
      <c r="J875" s="5">
        <v>699</v>
      </c>
      <c r="K875" s="2">
        <v>0.1</v>
      </c>
      <c r="L875" t="s">
        <v>39</v>
      </c>
      <c r="M875" t="s">
        <v>23</v>
      </c>
      <c r="N875" s="1">
        <v>46099</v>
      </c>
      <c r="O875" s="1">
        <v>46099</v>
      </c>
      <c r="P875" s="5">
        <f>Orders[[#This Row],[Quantity]]*Orders[[#This Row],[Unit Price]]</f>
        <v>699</v>
      </c>
      <c r="Q875" s="5">
        <f>Orders[[#This Row],[Gross Sales]]*Orders[[#This Row],[Discount %]]</f>
        <v>69.900000000000006</v>
      </c>
      <c r="R875" s="5">
        <f>Orders[[#This Row],[Gross Sales]]-Orders[[#This Row],[Discount Amount]]</f>
        <v>629.1</v>
      </c>
      <c r="S875">
        <f>IF(Orders[[#This Row],[Actual Delivery Date]]="","",Orders[[#This Row],[Actual Delivery Date]]-Orders[[#This Row],[Order Date]])</f>
        <v>5</v>
      </c>
      <c r="T875" t="str">
        <f>IF(Orders[[#This Row],[Actual Delivery Date]]="","Pending",IF(Orders[[#This Row],[Actual Delivery Date]]&lt;=Orders[[#This Row],[Expected Delivery Date]],"On Time","Late"))</f>
        <v>On Time</v>
      </c>
      <c r="U875" t="str">
        <f>TEXT(Orders[[#This Row],[Order Date]],"mmm")</f>
        <v>Mar</v>
      </c>
      <c r="V875" s="8">
        <f>DATE(YEAR(Orders[[#This Row],[Order Date]]),MONTH(Orders[[#This Row],[Order Date]]),1)</f>
        <v>46082</v>
      </c>
      <c r="W875" s="5">
        <f>IF(Orders[[#This Row],[Order Status]]="Cancelled",Orders[[#This Row],[Net Sales]],0)</f>
        <v>0</v>
      </c>
    </row>
    <row r="876" spans="1:23" x14ac:dyDescent="0.3">
      <c r="A876" t="s">
        <v>1521</v>
      </c>
      <c r="B876" s="7">
        <v>46064</v>
      </c>
      <c r="C876" t="s">
        <v>748</v>
      </c>
      <c r="D876" t="s">
        <v>333</v>
      </c>
      <c r="E876" t="s">
        <v>18</v>
      </c>
      <c r="F876" t="s">
        <v>43</v>
      </c>
      <c r="G876" t="s">
        <v>206</v>
      </c>
      <c r="H876" t="s">
        <v>30</v>
      </c>
      <c r="I876">
        <v>3</v>
      </c>
      <c r="J876" s="5">
        <v>1199</v>
      </c>
      <c r="K876" s="2">
        <v>0.15</v>
      </c>
      <c r="L876" t="s">
        <v>31</v>
      </c>
      <c r="M876" t="s">
        <v>23</v>
      </c>
      <c r="N876" s="1">
        <v>46071</v>
      </c>
      <c r="O876" s="1">
        <v>46065</v>
      </c>
      <c r="P876" s="5">
        <f>Orders[[#This Row],[Quantity]]*Orders[[#This Row],[Unit Price]]</f>
        <v>3597</v>
      </c>
      <c r="Q876" s="5">
        <f>Orders[[#This Row],[Gross Sales]]*Orders[[#This Row],[Discount %]]</f>
        <v>539.54999999999995</v>
      </c>
      <c r="R876" s="5">
        <f>Orders[[#This Row],[Gross Sales]]-Orders[[#This Row],[Discount Amount]]</f>
        <v>3057.45</v>
      </c>
      <c r="S876">
        <f>IF(Orders[[#This Row],[Actual Delivery Date]]="","",Orders[[#This Row],[Actual Delivery Date]]-Orders[[#This Row],[Order Date]])</f>
        <v>1</v>
      </c>
      <c r="T876" t="str">
        <f>IF(Orders[[#This Row],[Actual Delivery Date]]="","Pending",IF(Orders[[#This Row],[Actual Delivery Date]]&lt;=Orders[[#This Row],[Expected Delivery Date]],"On Time","Late"))</f>
        <v>On Time</v>
      </c>
      <c r="U876" t="str">
        <f>TEXT(Orders[[#This Row],[Order Date]],"mmm")</f>
        <v>Feb</v>
      </c>
      <c r="V876" s="8">
        <f>DATE(YEAR(Orders[[#This Row],[Order Date]]),MONTH(Orders[[#This Row],[Order Date]]),1)</f>
        <v>46054</v>
      </c>
      <c r="W876" s="5">
        <f>IF(Orders[[#This Row],[Order Status]]="Cancelled",Orders[[#This Row],[Net Sales]],0)</f>
        <v>0</v>
      </c>
    </row>
    <row r="877" spans="1:23" x14ac:dyDescent="0.3">
      <c r="A877" t="s">
        <v>1522</v>
      </c>
      <c r="B877" s="7">
        <v>46178</v>
      </c>
      <c r="C877" t="s">
        <v>861</v>
      </c>
      <c r="D877" t="s">
        <v>189</v>
      </c>
      <c r="E877" t="s">
        <v>27</v>
      </c>
      <c r="F877" t="s">
        <v>51</v>
      </c>
      <c r="G877" t="s">
        <v>57</v>
      </c>
      <c r="H877" t="s">
        <v>58</v>
      </c>
      <c r="I877">
        <v>3</v>
      </c>
      <c r="J877" s="5">
        <v>499</v>
      </c>
      <c r="K877" s="2">
        <v>0.05</v>
      </c>
      <c r="L877" t="s">
        <v>39</v>
      </c>
      <c r="M877" t="s">
        <v>23</v>
      </c>
      <c r="N877" s="1">
        <v>46180</v>
      </c>
      <c r="O877" s="1">
        <v>46179</v>
      </c>
      <c r="P877" s="5">
        <f>Orders[[#This Row],[Quantity]]*Orders[[#This Row],[Unit Price]]</f>
        <v>1497</v>
      </c>
      <c r="Q877" s="5">
        <f>Orders[[#This Row],[Gross Sales]]*Orders[[#This Row],[Discount %]]</f>
        <v>74.850000000000009</v>
      </c>
      <c r="R877" s="5">
        <f>Orders[[#This Row],[Gross Sales]]-Orders[[#This Row],[Discount Amount]]</f>
        <v>1422.15</v>
      </c>
      <c r="S877">
        <f>IF(Orders[[#This Row],[Actual Delivery Date]]="","",Orders[[#This Row],[Actual Delivery Date]]-Orders[[#This Row],[Order Date]])</f>
        <v>1</v>
      </c>
      <c r="T877" t="str">
        <f>IF(Orders[[#This Row],[Actual Delivery Date]]="","Pending",IF(Orders[[#This Row],[Actual Delivery Date]]&lt;=Orders[[#This Row],[Expected Delivery Date]],"On Time","Late"))</f>
        <v>On Time</v>
      </c>
      <c r="U877" t="str">
        <f>TEXT(Orders[[#This Row],[Order Date]],"mmm")</f>
        <v>Jun</v>
      </c>
      <c r="V877" s="8">
        <f>DATE(YEAR(Orders[[#This Row],[Order Date]]),MONTH(Orders[[#This Row],[Order Date]]),1)</f>
        <v>46174</v>
      </c>
      <c r="W877" s="5">
        <f>IF(Orders[[#This Row],[Order Status]]="Cancelled",Orders[[#This Row],[Net Sales]],0)</f>
        <v>0</v>
      </c>
    </row>
    <row r="878" spans="1:23" x14ac:dyDescent="0.3">
      <c r="A878" t="s">
        <v>1523</v>
      </c>
      <c r="B878" s="7">
        <v>46216</v>
      </c>
      <c r="C878" t="s">
        <v>155</v>
      </c>
      <c r="D878" t="s">
        <v>894</v>
      </c>
      <c r="E878" t="s">
        <v>18</v>
      </c>
      <c r="F878" t="s">
        <v>43</v>
      </c>
      <c r="G878" t="s">
        <v>160</v>
      </c>
      <c r="H878" t="s">
        <v>45</v>
      </c>
      <c r="I878">
        <v>2</v>
      </c>
      <c r="J878" s="5">
        <v>1499</v>
      </c>
      <c r="K878" s="2">
        <v>0.15</v>
      </c>
      <c r="L878" t="s">
        <v>70</v>
      </c>
      <c r="M878" t="s">
        <v>47</v>
      </c>
      <c r="N878" s="1">
        <v>46219</v>
      </c>
      <c r="O878" s="1"/>
      <c r="P878" s="5">
        <f>Orders[[#This Row],[Quantity]]*Orders[[#This Row],[Unit Price]]</f>
        <v>2998</v>
      </c>
      <c r="Q878" s="5">
        <f>Orders[[#This Row],[Gross Sales]]*Orders[[#This Row],[Discount %]]</f>
        <v>449.7</v>
      </c>
      <c r="R878" s="5">
        <f>Orders[[#This Row],[Gross Sales]]-Orders[[#This Row],[Discount Amount]]</f>
        <v>2548.3000000000002</v>
      </c>
      <c r="S878" t="str">
        <f>IF(Orders[[#This Row],[Actual Delivery Date]]="","",Orders[[#This Row],[Actual Delivery Date]]-Orders[[#This Row],[Order Date]])</f>
        <v/>
      </c>
      <c r="T878" t="str">
        <f>IF(Orders[[#This Row],[Actual Delivery Date]]="","Pending",IF(Orders[[#This Row],[Actual Delivery Date]]&lt;=Orders[[#This Row],[Expected Delivery Date]],"On Time","Late"))</f>
        <v>Pending</v>
      </c>
      <c r="U878" t="str">
        <f>TEXT(Orders[[#This Row],[Order Date]],"mmm")</f>
        <v>Jul</v>
      </c>
      <c r="V878" s="8">
        <f>DATE(YEAR(Orders[[#This Row],[Order Date]]),MONTH(Orders[[#This Row],[Order Date]]),1)</f>
        <v>46204</v>
      </c>
      <c r="W878" s="5">
        <f>IF(Orders[[#This Row],[Order Status]]="Cancelled",Orders[[#This Row],[Net Sales]],0)</f>
        <v>0</v>
      </c>
    </row>
    <row r="879" spans="1:23" x14ac:dyDescent="0.3">
      <c r="A879" t="s">
        <v>1524</v>
      </c>
      <c r="B879" s="7">
        <v>46198</v>
      </c>
      <c r="C879" t="s">
        <v>262</v>
      </c>
      <c r="D879" t="s">
        <v>34</v>
      </c>
      <c r="E879" t="s">
        <v>18</v>
      </c>
      <c r="F879" t="s">
        <v>121</v>
      </c>
      <c r="G879" t="s">
        <v>20</v>
      </c>
      <c r="H879" t="s">
        <v>21</v>
      </c>
      <c r="I879">
        <v>1</v>
      </c>
      <c r="J879" s="5">
        <v>1799</v>
      </c>
      <c r="K879" s="2">
        <v>0</v>
      </c>
      <c r="L879" t="s">
        <v>31</v>
      </c>
      <c r="M879" t="s">
        <v>23</v>
      </c>
      <c r="N879" s="1">
        <v>46200</v>
      </c>
      <c r="O879" s="1">
        <v>46199</v>
      </c>
      <c r="P879" s="5">
        <f>Orders[[#This Row],[Quantity]]*Orders[[#This Row],[Unit Price]]</f>
        <v>1799</v>
      </c>
      <c r="Q879" s="5">
        <f>Orders[[#This Row],[Gross Sales]]*Orders[[#This Row],[Discount %]]</f>
        <v>0</v>
      </c>
      <c r="R879" s="5">
        <f>Orders[[#This Row],[Gross Sales]]-Orders[[#This Row],[Discount Amount]]</f>
        <v>1799</v>
      </c>
      <c r="S879">
        <f>IF(Orders[[#This Row],[Actual Delivery Date]]="","",Orders[[#This Row],[Actual Delivery Date]]-Orders[[#This Row],[Order Date]])</f>
        <v>1</v>
      </c>
      <c r="T879" t="str">
        <f>IF(Orders[[#This Row],[Actual Delivery Date]]="","Pending",IF(Orders[[#This Row],[Actual Delivery Date]]&lt;=Orders[[#This Row],[Expected Delivery Date]],"On Time","Late"))</f>
        <v>On Time</v>
      </c>
      <c r="U879" t="str">
        <f>TEXT(Orders[[#This Row],[Order Date]],"mmm")</f>
        <v>Jun</v>
      </c>
      <c r="V879" s="8">
        <f>DATE(YEAR(Orders[[#This Row],[Order Date]]),MONTH(Orders[[#This Row],[Order Date]]),1)</f>
        <v>46174</v>
      </c>
      <c r="W879" s="5">
        <f>IF(Orders[[#This Row],[Order Status]]="Cancelled",Orders[[#This Row],[Net Sales]],0)</f>
        <v>0</v>
      </c>
    </row>
    <row r="880" spans="1:23" x14ac:dyDescent="0.3">
      <c r="A880" t="s">
        <v>1525</v>
      </c>
      <c r="B880" s="7">
        <v>46062</v>
      </c>
      <c r="C880" t="s">
        <v>867</v>
      </c>
      <c r="D880" t="s">
        <v>345</v>
      </c>
      <c r="E880" t="s">
        <v>18</v>
      </c>
      <c r="F880" t="s">
        <v>19</v>
      </c>
      <c r="G880" t="s">
        <v>104</v>
      </c>
      <c r="H880" t="s">
        <v>38</v>
      </c>
      <c r="I880">
        <v>1</v>
      </c>
      <c r="J880" s="5">
        <v>999</v>
      </c>
      <c r="K880" s="2">
        <v>0.15</v>
      </c>
      <c r="L880" t="s">
        <v>31</v>
      </c>
      <c r="M880" t="s">
        <v>23</v>
      </c>
      <c r="N880" s="1">
        <v>46064</v>
      </c>
      <c r="O880" s="1">
        <v>46063</v>
      </c>
      <c r="P880" s="5">
        <f>Orders[[#This Row],[Quantity]]*Orders[[#This Row],[Unit Price]]</f>
        <v>999</v>
      </c>
      <c r="Q880" s="5">
        <f>Orders[[#This Row],[Gross Sales]]*Orders[[#This Row],[Discount %]]</f>
        <v>149.85</v>
      </c>
      <c r="R880" s="5">
        <f>Orders[[#This Row],[Gross Sales]]-Orders[[#This Row],[Discount Amount]]</f>
        <v>849.15</v>
      </c>
      <c r="S880">
        <f>IF(Orders[[#This Row],[Actual Delivery Date]]="","",Orders[[#This Row],[Actual Delivery Date]]-Orders[[#This Row],[Order Date]])</f>
        <v>1</v>
      </c>
      <c r="T880" t="str">
        <f>IF(Orders[[#This Row],[Actual Delivery Date]]="","Pending",IF(Orders[[#This Row],[Actual Delivery Date]]&lt;=Orders[[#This Row],[Expected Delivery Date]],"On Time","Late"))</f>
        <v>On Time</v>
      </c>
      <c r="U880" t="str">
        <f>TEXT(Orders[[#This Row],[Order Date]],"mmm")</f>
        <v>Feb</v>
      </c>
      <c r="V880" s="8">
        <f>DATE(YEAR(Orders[[#This Row],[Order Date]]),MONTH(Orders[[#This Row],[Order Date]]),1)</f>
        <v>46054</v>
      </c>
      <c r="W880" s="5">
        <f>IF(Orders[[#This Row],[Order Status]]="Cancelled",Orders[[#This Row],[Net Sales]],0)</f>
        <v>0</v>
      </c>
    </row>
    <row r="881" spans="1:23" x14ac:dyDescent="0.3">
      <c r="A881" t="s">
        <v>1526</v>
      </c>
      <c r="B881" s="7">
        <v>46062</v>
      </c>
      <c r="C881" t="s">
        <v>98</v>
      </c>
      <c r="D881" t="s">
        <v>308</v>
      </c>
      <c r="E881" t="s">
        <v>79</v>
      </c>
      <c r="F881" t="s">
        <v>170</v>
      </c>
      <c r="G881" t="s">
        <v>75</v>
      </c>
      <c r="H881" t="s">
        <v>45</v>
      </c>
      <c r="I881">
        <v>1</v>
      </c>
      <c r="J881" s="5">
        <v>799</v>
      </c>
      <c r="K881" s="2">
        <v>0.2</v>
      </c>
      <c r="L881" t="s">
        <v>31</v>
      </c>
      <c r="M881" t="s">
        <v>23</v>
      </c>
      <c r="N881" s="1">
        <v>46069</v>
      </c>
      <c r="O881" s="1">
        <v>46065</v>
      </c>
      <c r="P881" s="5">
        <f>Orders[[#This Row],[Quantity]]*Orders[[#This Row],[Unit Price]]</f>
        <v>799</v>
      </c>
      <c r="Q881" s="5">
        <f>Orders[[#This Row],[Gross Sales]]*Orders[[#This Row],[Discount %]]</f>
        <v>159.80000000000001</v>
      </c>
      <c r="R881" s="5">
        <f>Orders[[#This Row],[Gross Sales]]-Orders[[#This Row],[Discount Amount]]</f>
        <v>639.20000000000005</v>
      </c>
      <c r="S881">
        <f>IF(Orders[[#This Row],[Actual Delivery Date]]="","",Orders[[#This Row],[Actual Delivery Date]]-Orders[[#This Row],[Order Date]])</f>
        <v>3</v>
      </c>
      <c r="T881" t="str">
        <f>IF(Orders[[#This Row],[Actual Delivery Date]]="","Pending",IF(Orders[[#This Row],[Actual Delivery Date]]&lt;=Orders[[#This Row],[Expected Delivery Date]],"On Time","Late"))</f>
        <v>On Time</v>
      </c>
      <c r="U881" t="str">
        <f>TEXT(Orders[[#This Row],[Order Date]],"mmm")</f>
        <v>Feb</v>
      </c>
      <c r="V881" s="8">
        <f>DATE(YEAR(Orders[[#This Row],[Order Date]]),MONTH(Orders[[#This Row],[Order Date]]),1)</f>
        <v>46054</v>
      </c>
      <c r="W881" s="5">
        <f>IF(Orders[[#This Row],[Order Status]]="Cancelled",Orders[[#This Row],[Net Sales]],0)</f>
        <v>0</v>
      </c>
    </row>
    <row r="882" spans="1:23" x14ac:dyDescent="0.3">
      <c r="A882" t="s">
        <v>1527</v>
      </c>
      <c r="B882" s="7">
        <v>46357</v>
      </c>
      <c r="C882" t="s">
        <v>421</v>
      </c>
      <c r="D882" t="s">
        <v>603</v>
      </c>
      <c r="E882" t="s">
        <v>35</v>
      </c>
      <c r="F882" t="s">
        <v>36</v>
      </c>
      <c r="G882" t="s">
        <v>91</v>
      </c>
      <c r="H882" t="s">
        <v>30</v>
      </c>
      <c r="I882">
        <v>1</v>
      </c>
      <c r="J882" s="5">
        <v>3299</v>
      </c>
      <c r="K882" s="2">
        <v>0.1</v>
      </c>
      <c r="L882" t="s">
        <v>46</v>
      </c>
      <c r="M882" t="s">
        <v>59</v>
      </c>
      <c r="N882" s="1">
        <v>46363</v>
      </c>
      <c r="O882" s="1">
        <v>46358</v>
      </c>
      <c r="P882" s="5">
        <f>Orders[[#This Row],[Quantity]]*Orders[[#This Row],[Unit Price]]</f>
        <v>3299</v>
      </c>
      <c r="Q882" s="5">
        <f>Orders[[#This Row],[Gross Sales]]*Orders[[#This Row],[Discount %]]</f>
        <v>329.90000000000003</v>
      </c>
      <c r="R882" s="5">
        <f>Orders[[#This Row],[Gross Sales]]-Orders[[#This Row],[Discount Amount]]</f>
        <v>2969.1</v>
      </c>
      <c r="S882">
        <f>IF(Orders[[#This Row],[Actual Delivery Date]]="","",Orders[[#This Row],[Actual Delivery Date]]-Orders[[#This Row],[Order Date]])</f>
        <v>1</v>
      </c>
      <c r="T882" t="str">
        <f>IF(Orders[[#This Row],[Actual Delivery Date]]="","Pending",IF(Orders[[#This Row],[Actual Delivery Date]]&lt;=Orders[[#This Row],[Expected Delivery Date]],"On Time","Late"))</f>
        <v>On Time</v>
      </c>
      <c r="U882" t="str">
        <f>TEXT(Orders[[#This Row],[Order Date]],"mmm")</f>
        <v>Dec</v>
      </c>
      <c r="V882" s="8">
        <f>DATE(YEAR(Orders[[#This Row],[Order Date]]),MONTH(Orders[[#This Row],[Order Date]]),1)</f>
        <v>46357</v>
      </c>
      <c r="W882" s="5">
        <f>IF(Orders[[#This Row],[Order Status]]="Cancelled",Orders[[#This Row],[Net Sales]],0)</f>
        <v>2969.1</v>
      </c>
    </row>
    <row r="883" spans="1:23" x14ac:dyDescent="0.3">
      <c r="A883" t="s">
        <v>1528</v>
      </c>
      <c r="B883" s="7">
        <v>46093</v>
      </c>
      <c r="C883" t="s">
        <v>1460</v>
      </c>
      <c r="D883" t="s">
        <v>658</v>
      </c>
      <c r="E883" t="s">
        <v>79</v>
      </c>
      <c r="F883" t="s">
        <v>80</v>
      </c>
      <c r="G883" t="s">
        <v>52</v>
      </c>
      <c r="H883" t="s">
        <v>45</v>
      </c>
      <c r="I883">
        <v>3</v>
      </c>
      <c r="J883" s="5">
        <v>1299</v>
      </c>
      <c r="K883" s="2">
        <v>0.2</v>
      </c>
      <c r="L883" t="s">
        <v>31</v>
      </c>
      <c r="M883" t="s">
        <v>23</v>
      </c>
      <c r="N883" s="1">
        <v>46100</v>
      </c>
      <c r="O883" s="1">
        <v>46094</v>
      </c>
      <c r="P883" s="5">
        <f>Orders[[#This Row],[Quantity]]*Orders[[#This Row],[Unit Price]]</f>
        <v>3897</v>
      </c>
      <c r="Q883" s="5">
        <f>Orders[[#This Row],[Gross Sales]]*Orders[[#This Row],[Discount %]]</f>
        <v>779.40000000000009</v>
      </c>
      <c r="R883" s="5">
        <f>Orders[[#This Row],[Gross Sales]]-Orders[[#This Row],[Discount Amount]]</f>
        <v>3117.6</v>
      </c>
      <c r="S883">
        <f>IF(Orders[[#This Row],[Actual Delivery Date]]="","",Orders[[#This Row],[Actual Delivery Date]]-Orders[[#This Row],[Order Date]])</f>
        <v>1</v>
      </c>
      <c r="T883" t="str">
        <f>IF(Orders[[#This Row],[Actual Delivery Date]]="","Pending",IF(Orders[[#This Row],[Actual Delivery Date]]&lt;=Orders[[#This Row],[Expected Delivery Date]],"On Time","Late"))</f>
        <v>On Time</v>
      </c>
      <c r="U883" t="str">
        <f>TEXT(Orders[[#This Row],[Order Date]],"mmm")</f>
        <v>Mar</v>
      </c>
      <c r="V883" s="8">
        <f>DATE(YEAR(Orders[[#This Row],[Order Date]]),MONTH(Orders[[#This Row],[Order Date]]),1)</f>
        <v>46082</v>
      </c>
      <c r="W883" s="5">
        <f>IF(Orders[[#This Row],[Order Status]]="Cancelled",Orders[[#This Row],[Net Sales]],0)</f>
        <v>0</v>
      </c>
    </row>
    <row r="884" spans="1:23" x14ac:dyDescent="0.3">
      <c r="A884" t="s">
        <v>1529</v>
      </c>
      <c r="B884" s="7">
        <v>46081</v>
      </c>
      <c r="C884" t="s">
        <v>113</v>
      </c>
      <c r="D884" t="s">
        <v>197</v>
      </c>
      <c r="E884" t="s">
        <v>18</v>
      </c>
      <c r="F884" t="s">
        <v>95</v>
      </c>
      <c r="G884" t="s">
        <v>57</v>
      </c>
      <c r="H884" t="s">
        <v>58</v>
      </c>
      <c r="I884">
        <v>1</v>
      </c>
      <c r="J884" s="5">
        <v>499</v>
      </c>
      <c r="K884" s="2">
        <v>0</v>
      </c>
      <c r="L884" t="s">
        <v>46</v>
      </c>
      <c r="M884" t="s">
        <v>23</v>
      </c>
      <c r="N884" s="1">
        <v>46087</v>
      </c>
      <c r="O884" s="1">
        <v>46082</v>
      </c>
      <c r="P884" s="5">
        <f>Orders[[#This Row],[Quantity]]*Orders[[#This Row],[Unit Price]]</f>
        <v>499</v>
      </c>
      <c r="Q884" s="5">
        <f>Orders[[#This Row],[Gross Sales]]*Orders[[#This Row],[Discount %]]</f>
        <v>0</v>
      </c>
      <c r="R884" s="5">
        <f>Orders[[#This Row],[Gross Sales]]-Orders[[#This Row],[Discount Amount]]</f>
        <v>499</v>
      </c>
      <c r="S884">
        <f>IF(Orders[[#This Row],[Actual Delivery Date]]="","",Orders[[#This Row],[Actual Delivery Date]]-Orders[[#This Row],[Order Date]])</f>
        <v>1</v>
      </c>
      <c r="T884" t="str">
        <f>IF(Orders[[#This Row],[Actual Delivery Date]]="","Pending",IF(Orders[[#This Row],[Actual Delivery Date]]&lt;=Orders[[#This Row],[Expected Delivery Date]],"On Time","Late"))</f>
        <v>On Time</v>
      </c>
      <c r="U884" t="str">
        <f>TEXT(Orders[[#This Row],[Order Date]],"mmm")</f>
        <v>Feb</v>
      </c>
      <c r="V884" s="8">
        <f>DATE(YEAR(Orders[[#This Row],[Order Date]]),MONTH(Orders[[#This Row],[Order Date]]),1)</f>
        <v>46054</v>
      </c>
      <c r="W884" s="5">
        <f>IF(Orders[[#This Row],[Order Status]]="Cancelled",Orders[[#This Row],[Net Sales]],0)</f>
        <v>0</v>
      </c>
    </row>
    <row r="885" spans="1:23" x14ac:dyDescent="0.3">
      <c r="A885" t="s">
        <v>1530</v>
      </c>
      <c r="B885" s="7">
        <v>46219</v>
      </c>
      <c r="C885" t="s">
        <v>1020</v>
      </c>
      <c r="D885" t="s">
        <v>1124</v>
      </c>
      <c r="E885" t="s">
        <v>79</v>
      </c>
      <c r="F885" t="s">
        <v>170</v>
      </c>
      <c r="G885" t="s">
        <v>160</v>
      </c>
      <c r="H885" t="s">
        <v>45</v>
      </c>
      <c r="I885">
        <v>1</v>
      </c>
      <c r="J885" s="5">
        <v>1499</v>
      </c>
      <c r="K885" s="2">
        <v>0.05</v>
      </c>
      <c r="L885" t="s">
        <v>31</v>
      </c>
      <c r="M885" t="s">
        <v>23</v>
      </c>
      <c r="N885" s="1">
        <v>46222</v>
      </c>
      <c r="O885" s="1">
        <v>46222</v>
      </c>
      <c r="P885" s="5">
        <f>Orders[[#This Row],[Quantity]]*Orders[[#This Row],[Unit Price]]</f>
        <v>1499</v>
      </c>
      <c r="Q885" s="5">
        <f>Orders[[#This Row],[Gross Sales]]*Orders[[#This Row],[Discount %]]</f>
        <v>74.95</v>
      </c>
      <c r="R885" s="5">
        <f>Orders[[#This Row],[Gross Sales]]-Orders[[#This Row],[Discount Amount]]</f>
        <v>1424.05</v>
      </c>
      <c r="S885">
        <f>IF(Orders[[#This Row],[Actual Delivery Date]]="","",Orders[[#This Row],[Actual Delivery Date]]-Orders[[#This Row],[Order Date]])</f>
        <v>3</v>
      </c>
      <c r="T885" t="str">
        <f>IF(Orders[[#This Row],[Actual Delivery Date]]="","Pending",IF(Orders[[#This Row],[Actual Delivery Date]]&lt;=Orders[[#This Row],[Expected Delivery Date]],"On Time","Late"))</f>
        <v>On Time</v>
      </c>
      <c r="U885" t="str">
        <f>TEXT(Orders[[#This Row],[Order Date]],"mmm")</f>
        <v>Jul</v>
      </c>
      <c r="V885" s="8">
        <f>DATE(YEAR(Orders[[#This Row],[Order Date]]),MONTH(Orders[[#This Row],[Order Date]]),1)</f>
        <v>46204</v>
      </c>
      <c r="W885" s="5">
        <f>IF(Orders[[#This Row],[Order Status]]="Cancelled",Orders[[#This Row],[Net Sales]],0)</f>
        <v>0</v>
      </c>
    </row>
    <row r="886" spans="1:23" x14ac:dyDescent="0.3">
      <c r="A886" t="s">
        <v>1531</v>
      </c>
      <c r="B886" s="7">
        <v>46195</v>
      </c>
      <c r="C886" t="s">
        <v>178</v>
      </c>
      <c r="D886" t="s">
        <v>1252</v>
      </c>
      <c r="E886" t="s">
        <v>18</v>
      </c>
      <c r="F886" t="s">
        <v>121</v>
      </c>
      <c r="G886" t="s">
        <v>44</v>
      </c>
      <c r="H886" t="s">
        <v>45</v>
      </c>
      <c r="I886">
        <v>4</v>
      </c>
      <c r="J886" s="5">
        <v>1799</v>
      </c>
      <c r="K886" s="2">
        <v>0.1</v>
      </c>
      <c r="L886" t="s">
        <v>22</v>
      </c>
      <c r="M886" t="s">
        <v>23</v>
      </c>
      <c r="N886" s="1">
        <v>46197</v>
      </c>
      <c r="O886" s="1">
        <v>46197</v>
      </c>
      <c r="P886" s="5">
        <f>Orders[[#This Row],[Quantity]]*Orders[[#This Row],[Unit Price]]</f>
        <v>7196</v>
      </c>
      <c r="Q886" s="5">
        <f>Orders[[#This Row],[Gross Sales]]*Orders[[#This Row],[Discount %]]</f>
        <v>719.6</v>
      </c>
      <c r="R886" s="5">
        <f>Orders[[#This Row],[Gross Sales]]-Orders[[#This Row],[Discount Amount]]</f>
        <v>6476.4</v>
      </c>
      <c r="S886">
        <f>IF(Orders[[#This Row],[Actual Delivery Date]]="","",Orders[[#This Row],[Actual Delivery Date]]-Orders[[#This Row],[Order Date]])</f>
        <v>2</v>
      </c>
      <c r="T886" t="str">
        <f>IF(Orders[[#This Row],[Actual Delivery Date]]="","Pending",IF(Orders[[#This Row],[Actual Delivery Date]]&lt;=Orders[[#This Row],[Expected Delivery Date]],"On Time","Late"))</f>
        <v>On Time</v>
      </c>
      <c r="U886" t="str">
        <f>TEXT(Orders[[#This Row],[Order Date]],"mmm")</f>
        <v>Jun</v>
      </c>
      <c r="V886" s="8">
        <f>DATE(YEAR(Orders[[#This Row],[Order Date]]),MONTH(Orders[[#This Row],[Order Date]]),1)</f>
        <v>46174</v>
      </c>
      <c r="W886" s="5">
        <f>IF(Orders[[#This Row],[Order Status]]="Cancelled",Orders[[#This Row],[Net Sales]],0)</f>
        <v>0</v>
      </c>
    </row>
    <row r="887" spans="1:23" x14ac:dyDescent="0.3">
      <c r="A887" t="s">
        <v>1532</v>
      </c>
      <c r="B887" s="7">
        <v>46260</v>
      </c>
      <c r="C887" t="s">
        <v>315</v>
      </c>
      <c r="D887" t="s">
        <v>103</v>
      </c>
      <c r="E887" t="s">
        <v>18</v>
      </c>
      <c r="F887" t="s">
        <v>43</v>
      </c>
      <c r="G887" t="s">
        <v>87</v>
      </c>
      <c r="H887" t="s">
        <v>21</v>
      </c>
      <c r="I887">
        <v>1</v>
      </c>
      <c r="J887" s="5">
        <v>1899</v>
      </c>
      <c r="K887" s="2">
        <v>0.2</v>
      </c>
      <c r="L887" t="s">
        <v>22</v>
      </c>
      <c r="M887" t="s">
        <v>23</v>
      </c>
      <c r="N887" s="1">
        <v>46263</v>
      </c>
      <c r="O887" s="1">
        <v>46267</v>
      </c>
      <c r="P887" s="5">
        <f>Orders[[#This Row],[Quantity]]*Orders[[#This Row],[Unit Price]]</f>
        <v>1899</v>
      </c>
      <c r="Q887" s="5">
        <f>Orders[[#This Row],[Gross Sales]]*Orders[[#This Row],[Discount %]]</f>
        <v>379.8</v>
      </c>
      <c r="R887" s="5">
        <f>Orders[[#This Row],[Gross Sales]]-Orders[[#This Row],[Discount Amount]]</f>
        <v>1519.2</v>
      </c>
      <c r="S887">
        <f>IF(Orders[[#This Row],[Actual Delivery Date]]="","",Orders[[#This Row],[Actual Delivery Date]]-Orders[[#This Row],[Order Date]])</f>
        <v>7</v>
      </c>
      <c r="T887" t="str">
        <f>IF(Orders[[#This Row],[Actual Delivery Date]]="","Pending",IF(Orders[[#This Row],[Actual Delivery Date]]&lt;=Orders[[#This Row],[Expected Delivery Date]],"On Time","Late"))</f>
        <v>Late</v>
      </c>
      <c r="U887" t="str">
        <f>TEXT(Orders[[#This Row],[Order Date]],"mmm")</f>
        <v>Aug</v>
      </c>
      <c r="V887" s="8">
        <f>DATE(YEAR(Orders[[#This Row],[Order Date]]),MONTH(Orders[[#This Row],[Order Date]]),1)</f>
        <v>46235</v>
      </c>
      <c r="W887" s="5">
        <f>IF(Orders[[#This Row],[Order Status]]="Cancelled",Orders[[#This Row],[Net Sales]],0)</f>
        <v>0</v>
      </c>
    </row>
    <row r="888" spans="1:23" x14ac:dyDescent="0.3">
      <c r="A888" t="s">
        <v>1533</v>
      </c>
      <c r="B888" s="7">
        <v>46150</v>
      </c>
      <c r="C888" t="s">
        <v>377</v>
      </c>
      <c r="D888" t="s">
        <v>292</v>
      </c>
      <c r="E888" t="s">
        <v>18</v>
      </c>
      <c r="F888" t="s">
        <v>121</v>
      </c>
      <c r="G888" t="s">
        <v>64</v>
      </c>
      <c r="H888" t="s">
        <v>21</v>
      </c>
      <c r="I888">
        <v>3</v>
      </c>
      <c r="J888" s="5">
        <v>699</v>
      </c>
      <c r="K888" s="2">
        <v>0.1</v>
      </c>
      <c r="L888" t="s">
        <v>46</v>
      </c>
      <c r="M888" t="s">
        <v>47</v>
      </c>
      <c r="N888" s="1">
        <v>46155</v>
      </c>
      <c r="O888" s="1"/>
      <c r="P888" s="5">
        <f>Orders[[#This Row],[Quantity]]*Orders[[#This Row],[Unit Price]]</f>
        <v>2097</v>
      </c>
      <c r="Q888" s="5">
        <f>Orders[[#This Row],[Gross Sales]]*Orders[[#This Row],[Discount %]]</f>
        <v>209.70000000000002</v>
      </c>
      <c r="R888" s="5">
        <f>Orders[[#This Row],[Gross Sales]]-Orders[[#This Row],[Discount Amount]]</f>
        <v>1887.3</v>
      </c>
      <c r="S888" t="str">
        <f>IF(Orders[[#This Row],[Actual Delivery Date]]="","",Orders[[#This Row],[Actual Delivery Date]]-Orders[[#This Row],[Order Date]])</f>
        <v/>
      </c>
      <c r="T888" t="str">
        <f>IF(Orders[[#This Row],[Actual Delivery Date]]="","Pending",IF(Orders[[#This Row],[Actual Delivery Date]]&lt;=Orders[[#This Row],[Expected Delivery Date]],"On Time","Late"))</f>
        <v>Pending</v>
      </c>
      <c r="U888" t="str">
        <f>TEXT(Orders[[#This Row],[Order Date]],"mmm")</f>
        <v>May</v>
      </c>
      <c r="V888" s="8">
        <f>DATE(YEAR(Orders[[#This Row],[Order Date]]),MONTH(Orders[[#This Row],[Order Date]]),1)</f>
        <v>46143</v>
      </c>
      <c r="W888" s="5">
        <f>IF(Orders[[#This Row],[Order Status]]="Cancelled",Orders[[#This Row],[Net Sales]],0)</f>
        <v>0</v>
      </c>
    </row>
    <row r="889" spans="1:23" x14ac:dyDescent="0.3">
      <c r="A889" t="s">
        <v>1534</v>
      </c>
      <c r="B889" s="7">
        <v>46029</v>
      </c>
      <c r="C889" t="s">
        <v>363</v>
      </c>
      <c r="D889" t="s">
        <v>518</v>
      </c>
      <c r="E889" t="s">
        <v>35</v>
      </c>
      <c r="F889" t="s">
        <v>36</v>
      </c>
      <c r="G889" t="s">
        <v>87</v>
      </c>
      <c r="H889" t="s">
        <v>21</v>
      </c>
      <c r="I889">
        <v>1</v>
      </c>
      <c r="J889" s="5">
        <v>1899</v>
      </c>
      <c r="K889" s="2">
        <v>0.2</v>
      </c>
      <c r="L889" t="s">
        <v>46</v>
      </c>
      <c r="M889" t="s">
        <v>82</v>
      </c>
      <c r="N889" s="1">
        <v>46033</v>
      </c>
      <c r="O889" s="1">
        <v>46033</v>
      </c>
      <c r="P889" s="5">
        <f>Orders[[#This Row],[Quantity]]*Orders[[#This Row],[Unit Price]]</f>
        <v>1899</v>
      </c>
      <c r="Q889" s="5">
        <f>Orders[[#This Row],[Gross Sales]]*Orders[[#This Row],[Discount %]]</f>
        <v>379.8</v>
      </c>
      <c r="R889" s="5">
        <f>Orders[[#This Row],[Gross Sales]]-Orders[[#This Row],[Discount Amount]]</f>
        <v>1519.2</v>
      </c>
      <c r="S889">
        <f>IF(Orders[[#This Row],[Actual Delivery Date]]="","",Orders[[#This Row],[Actual Delivery Date]]-Orders[[#This Row],[Order Date]])</f>
        <v>4</v>
      </c>
      <c r="T889" t="str">
        <f>IF(Orders[[#This Row],[Actual Delivery Date]]="","Pending",IF(Orders[[#This Row],[Actual Delivery Date]]&lt;=Orders[[#This Row],[Expected Delivery Date]],"On Time","Late"))</f>
        <v>On Time</v>
      </c>
      <c r="U889" t="str">
        <f>TEXT(Orders[[#This Row],[Order Date]],"mmm")</f>
        <v>Jan</v>
      </c>
      <c r="V889" s="8">
        <f>DATE(YEAR(Orders[[#This Row],[Order Date]]),MONTH(Orders[[#This Row],[Order Date]]),1)</f>
        <v>46023</v>
      </c>
      <c r="W889" s="5">
        <f>IF(Orders[[#This Row],[Order Status]]="Cancelled",Orders[[#This Row],[Net Sales]],0)</f>
        <v>0</v>
      </c>
    </row>
    <row r="890" spans="1:23" x14ac:dyDescent="0.3">
      <c r="A890" t="s">
        <v>1535</v>
      </c>
      <c r="B890" s="7">
        <v>46206</v>
      </c>
      <c r="C890" t="s">
        <v>1028</v>
      </c>
      <c r="D890" t="s">
        <v>1083</v>
      </c>
      <c r="E890" t="s">
        <v>79</v>
      </c>
      <c r="F890" t="s">
        <v>86</v>
      </c>
      <c r="G890" t="s">
        <v>147</v>
      </c>
      <c r="H890" t="s">
        <v>58</v>
      </c>
      <c r="I890">
        <v>2</v>
      </c>
      <c r="J890" s="5">
        <v>399</v>
      </c>
      <c r="K890" s="2">
        <v>0.2</v>
      </c>
      <c r="L890" t="s">
        <v>31</v>
      </c>
      <c r="M890" t="s">
        <v>23</v>
      </c>
      <c r="N890" s="1">
        <v>46208</v>
      </c>
      <c r="O890" s="1">
        <v>46207</v>
      </c>
      <c r="P890" s="5">
        <f>Orders[[#This Row],[Quantity]]*Orders[[#This Row],[Unit Price]]</f>
        <v>798</v>
      </c>
      <c r="Q890" s="5">
        <f>Orders[[#This Row],[Gross Sales]]*Orders[[#This Row],[Discount %]]</f>
        <v>159.60000000000002</v>
      </c>
      <c r="R890" s="5">
        <f>Orders[[#This Row],[Gross Sales]]-Orders[[#This Row],[Discount Amount]]</f>
        <v>638.4</v>
      </c>
      <c r="S890">
        <f>IF(Orders[[#This Row],[Actual Delivery Date]]="","",Orders[[#This Row],[Actual Delivery Date]]-Orders[[#This Row],[Order Date]])</f>
        <v>1</v>
      </c>
      <c r="T890" t="str">
        <f>IF(Orders[[#This Row],[Actual Delivery Date]]="","Pending",IF(Orders[[#This Row],[Actual Delivery Date]]&lt;=Orders[[#This Row],[Expected Delivery Date]],"On Time","Late"))</f>
        <v>On Time</v>
      </c>
      <c r="U890" t="str">
        <f>TEXT(Orders[[#This Row],[Order Date]],"mmm")</f>
        <v>Jul</v>
      </c>
      <c r="V890" s="8">
        <f>DATE(YEAR(Orders[[#This Row],[Order Date]]),MONTH(Orders[[#This Row],[Order Date]]),1)</f>
        <v>46204</v>
      </c>
      <c r="W890" s="5">
        <f>IF(Orders[[#This Row],[Order Status]]="Cancelled",Orders[[#This Row],[Net Sales]],0)</f>
        <v>0</v>
      </c>
    </row>
    <row r="891" spans="1:23" x14ac:dyDescent="0.3">
      <c r="A891" t="s">
        <v>1536</v>
      </c>
      <c r="B891" s="7">
        <v>46155</v>
      </c>
      <c r="C891" t="s">
        <v>1485</v>
      </c>
      <c r="D891" t="s">
        <v>176</v>
      </c>
      <c r="E891" t="s">
        <v>35</v>
      </c>
      <c r="F891" t="s">
        <v>135</v>
      </c>
      <c r="G891" t="s">
        <v>180</v>
      </c>
      <c r="H891" t="s">
        <v>58</v>
      </c>
      <c r="I891">
        <v>3</v>
      </c>
      <c r="J891" s="5">
        <v>599</v>
      </c>
      <c r="K891" s="2">
        <v>0.1</v>
      </c>
      <c r="L891" t="s">
        <v>46</v>
      </c>
      <c r="M891" t="s">
        <v>82</v>
      </c>
      <c r="N891" s="1">
        <v>46160</v>
      </c>
      <c r="O891" s="1">
        <v>46157</v>
      </c>
      <c r="P891" s="5">
        <f>Orders[[#This Row],[Quantity]]*Orders[[#This Row],[Unit Price]]</f>
        <v>1797</v>
      </c>
      <c r="Q891" s="5">
        <f>Orders[[#This Row],[Gross Sales]]*Orders[[#This Row],[Discount %]]</f>
        <v>179.70000000000002</v>
      </c>
      <c r="R891" s="5">
        <f>Orders[[#This Row],[Gross Sales]]-Orders[[#This Row],[Discount Amount]]</f>
        <v>1617.3</v>
      </c>
      <c r="S891">
        <f>IF(Orders[[#This Row],[Actual Delivery Date]]="","",Orders[[#This Row],[Actual Delivery Date]]-Orders[[#This Row],[Order Date]])</f>
        <v>2</v>
      </c>
      <c r="T891" t="str">
        <f>IF(Orders[[#This Row],[Actual Delivery Date]]="","Pending",IF(Orders[[#This Row],[Actual Delivery Date]]&lt;=Orders[[#This Row],[Expected Delivery Date]],"On Time","Late"))</f>
        <v>On Time</v>
      </c>
      <c r="U891" t="str">
        <f>TEXT(Orders[[#This Row],[Order Date]],"mmm")</f>
        <v>May</v>
      </c>
      <c r="V891" s="8">
        <f>DATE(YEAR(Orders[[#This Row],[Order Date]]),MONTH(Orders[[#This Row],[Order Date]]),1)</f>
        <v>46143</v>
      </c>
      <c r="W891" s="5">
        <f>IF(Orders[[#This Row],[Order Status]]="Cancelled",Orders[[#This Row],[Net Sales]],0)</f>
        <v>0</v>
      </c>
    </row>
    <row r="892" spans="1:23" x14ac:dyDescent="0.3">
      <c r="A892" t="s">
        <v>1537</v>
      </c>
      <c r="B892" s="7">
        <v>46373</v>
      </c>
      <c r="C892" t="s">
        <v>1245</v>
      </c>
      <c r="D892" t="s">
        <v>1387</v>
      </c>
      <c r="E892" t="s">
        <v>27</v>
      </c>
      <c r="F892" t="s">
        <v>28</v>
      </c>
      <c r="G892" t="s">
        <v>52</v>
      </c>
      <c r="H892" t="s">
        <v>45</v>
      </c>
      <c r="I892">
        <v>2</v>
      </c>
      <c r="J892" s="5">
        <v>1299</v>
      </c>
      <c r="K892" s="2">
        <v>0.15</v>
      </c>
      <c r="L892" t="s">
        <v>22</v>
      </c>
      <c r="M892" t="s">
        <v>23</v>
      </c>
      <c r="N892" s="1">
        <v>46375</v>
      </c>
      <c r="O892" s="1">
        <v>46374</v>
      </c>
      <c r="P892" s="5">
        <f>Orders[[#This Row],[Quantity]]*Orders[[#This Row],[Unit Price]]</f>
        <v>2598</v>
      </c>
      <c r="Q892" s="5">
        <f>Orders[[#This Row],[Gross Sales]]*Orders[[#This Row],[Discount %]]</f>
        <v>389.7</v>
      </c>
      <c r="R892" s="5">
        <f>Orders[[#This Row],[Gross Sales]]-Orders[[#This Row],[Discount Amount]]</f>
        <v>2208.3000000000002</v>
      </c>
      <c r="S892">
        <f>IF(Orders[[#This Row],[Actual Delivery Date]]="","",Orders[[#This Row],[Actual Delivery Date]]-Orders[[#This Row],[Order Date]])</f>
        <v>1</v>
      </c>
      <c r="T892" t="str">
        <f>IF(Orders[[#This Row],[Actual Delivery Date]]="","Pending",IF(Orders[[#This Row],[Actual Delivery Date]]&lt;=Orders[[#This Row],[Expected Delivery Date]],"On Time","Late"))</f>
        <v>On Time</v>
      </c>
      <c r="U892" t="str">
        <f>TEXT(Orders[[#This Row],[Order Date]],"mmm")</f>
        <v>Dec</v>
      </c>
      <c r="V892" s="8">
        <f>DATE(YEAR(Orders[[#This Row],[Order Date]]),MONTH(Orders[[#This Row],[Order Date]]),1)</f>
        <v>46357</v>
      </c>
      <c r="W892" s="5">
        <f>IF(Orders[[#This Row],[Order Status]]="Cancelled",Orders[[#This Row],[Net Sales]],0)</f>
        <v>0</v>
      </c>
    </row>
    <row r="893" spans="1:23" x14ac:dyDescent="0.3">
      <c r="A893" t="s">
        <v>1538</v>
      </c>
      <c r="B893" s="7">
        <v>46045</v>
      </c>
      <c r="C893" t="s">
        <v>182</v>
      </c>
      <c r="D893" t="s">
        <v>143</v>
      </c>
      <c r="E893" t="s">
        <v>35</v>
      </c>
      <c r="F893" t="s">
        <v>135</v>
      </c>
      <c r="G893" t="s">
        <v>87</v>
      </c>
      <c r="H893" t="s">
        <v>21</v>
      </c>
      <c r="I893">
        <v>2</v>
      </c>
      <c r="J893" s="5">
        <v>1899</v>
      </c>
      <c r="K893" s="2">
        <v>0.1</v>
      </c>
      <c r="L893" t="s">
        <v>39</v>
      </c>
      <c r="M893" t="s">
        <v>23</v>
      </c>
      <c r="N893" s="1">
        <v>46051</v>
      </c>
      <c r="O893" s="1">
        <v>46050</v>
      </c>
      <c r="P893" s="5">
        <f>Orders[[#This Row],[Quantity]]*Orders[[#This Row],[Unit Price]]</f>
        <v>3798</v>
      </c>
      <c r="Q893" s="5">
        <f>Orders[[#This Row],[Gross Sales]]*Orders[[#This Row],[Discount %]]</f>
        <v>379.8</v>
      </c>
      <c r="R893" s="5">
        <f>Orders[[#This Row],[Gross Sales]]-Orders[[#This Row],[Discount Amount]]</f>
        <v>3418.2</v>
      </c>
      <c r="S893">
        <f>IF(Orders[[#This Row],[Actual Delivery Date]]="","",Orders[[#This Row],[Actual Delivery Date]]-Orders[[#This Row],[Order Date]])</f>
        <v>5</v>
      </c>
      <c r="T893" t="str">
        <f>IF(Orders[[#This Row],[Actual Delivery Date]]="","Pending",IF(Orders[[#This Row],[Actual Delivery Date]]&lt;=Orders[[#This Row],[Expected Delivery Date]],"On Time","Late"))</f>
        <v>On Time</v>
      </c>
      <c r="U893" t="str">
        <f>TEXT(Orders[[#This Row],[Order Date]],"mmm")</f>
        <v>Jan</v>
      </c>
      <c r="V893" s="8">
        <f>DATE(YEAR(Orders[[#This Row],[Order Date]]),MONTH(Orders[[#This Row],[Order Date]]),1)</f>
        <v>46023</v>
      </c>
      <c r="W893" s="5">
        <f>IF(Orders[[#This Row],[Order Status]]="Cancelled",Orders[[#This Row],[Net Sales]],0)</f>
        <v>0</v>
      </c>
    </row>
    <row r="894" spans="1:23" x14ac:dyDescent="0.3">
      <c r="A894" t="s">
        <v>1539</v>
      </c>
      <c r="B894" s="7">
        <v>46371</v>
      </c>
      <c r="C894" t="s">
        <v>168</v>
      </c>
      <c r="D894" t="s">
        <v>641</v>
      </c>
      <c r="E894" t="s">
        <v>27</v>
      </c>
      <c r="F894" t="s">
        <v>51</v>
      </c>
      <c r="G894" t="s">
        <v>91</v>
      </c>
      <c r="H894" t="s">
        <v>30</v>
      </c>
      <c r="I894">
        <v>1</v>
      </c>
      <c r="J894" s="5">
        <v>3299</v>
      </c>
      <c r="K894" s="2">
        <v>0.15</v>
      </c>
      <c r="L894" t="s">
        <v>46</v>
      </c>
      <c r="M894" t="s">
        <v>23</v>
      </c>
      <c r="N894" s="1">
        <v>46373</v>
      </c>
      <c r="O894" s="1">
        <v>46373</v>
      </c>
      <c r="P894" s="5">
        <f>Orders[[#This Row],[Quantity]]*Orders[[#This Row],[Unit Price]]</f>
        <v>3299</v>
      </c>
      <c r="Q894" s="5">
        <f>Orders[[#This Row],[Gross Sales]]*Orders[[#This Row],[Discount %]]</f>
        <v>494.84999999999997</v>
      </c>
      <c r="R894" s="5">
        <f>Orders[[#This Row],[Gross Sales]]-Orders[[#This Row],[Discount Amount]]</f>
        <v>2804.15</v>
      </c>
      <c r="S894">
        <f>IF(Orders[[#This Row],[Actual Delivery Date]]="","",Orders[[#This Row],[Actual Delivery Date]]-Orders[[#This Row],[Order Date]])</f>
        <v>2</v>
      </c>
      <c r="T894" t="str">
        <f>IF(Orders[[#This Row],[Actual Delivery Date]]="","Pending",IF(Orders[[#This Row],[Actual Delivery Date]]&lt;=Orders[[#This Row],[Expected Delivery Date]],"On Time","Late"))</f>
        <v>On Time</v>
      </c>
      <c r="U894" t="str">
        <f>TEXT(Orders[[#This Row],[Order Date]],"mmm")</f>
        <v>Dec</v>
      </c>
      <c r="V894" s="8">
        <f>DATE(YEAR(Orders[[#This Row],[Order Date]]),MONTH(Orders[[#This Row],[Order Date]]),1)</f>
        <v>46357</v>
      </c>
      <c r="W894" s="5">
        <f>IF(Orders[[#This Row],[Order Status]]="Cancelled",Orders[[#This Row],[Net Sales]],0)</f>
        <v>0</v>
      </c>
    </row>
    <row r="895" spans="1:23" x14ac:dyDescent="0.3">
      <c r="A895" t="s">
        <v>1540</v>
      </c>
      <c r="B895" s="7">
        <v>46038</v>
      </c>
      <c r="C895" t="s">
        <v>727</v>
      </c>
      <c r="D895" t="s">
        <v>547</v>
      </c>
      <c r="E895" t="s">
        <v>35</v>
      </c>
      <c r="F895" t="s">
        <v>63</v>
      </c>
      <c r="G895" t="s">
        <v>87</v>
      </c>
      <c r="H895" t="s">
        <v>21</v>
      </c>
      <c r="I895">
        <v>1</v>
      </c>
      <c r="J895" s="5">
        <v>1899</v>
      </c>
      <c r="K895" s="2">
        <v>0</v>
      </c>
      <c r="L895" t="s">
        <v>46</v>
      </c>
      <c r="M895" t="s">
        <v>23</v>
      </c>
      <c r="N895" s="1">
        <v>46044</v>
      </c>
      <c r="O895" s="1">
        <v>46043</v>
      </c>
      <c r="P895" s="5">
        <f>Orders[[#This Row],[Quantity]]*Orders[[#This Row],[Unit Price]]</f>
        <v>1899</v>
      </c>
      <c r="Q895" s="5">
        <f>Orders[[#This Row],[Gross Sales]]*Orders[[#This Row],[Discount %]]</f>
        <v>0</v>
      </c>
      <c r="R895" s="5">
        <f>Orders[[#This Row],[Gross Sales]]-Orders[[#This Row],[Discount Amount]]</f>
        <v>1899</v>
      </c>
      <c r="S895">
        <f>IF(Orders[[#This Row],[Actual Delivery Date]]="","",Orders[[#This Row],[Actual Delivery Date]]-Orders[[#This Row],[Order Date]])</f>
        <v>5</v>
      </c>
      <c r="T895" t="str">
        <f>IF(Orders[[#This Row],[Actual Delivery Date]]="","Pending",IF(Orders[[#This Row],[Actual Delivery Date]]&lt;=Orders[[#This Row],[Expected Delivery Date]],"On Time","Late"))</f>
        <v>On Time</v>
      </c>
      <c r="U895" t="str">
        <f>TEXT(Orders[[#This Row],[Order Date]],"mmm")</f>
        <v>Jan</v>
      </c>
      <c r="V895" s="8">
        <f>DATE(YEAR(Orders[[#This Row],[Order Date]]),MONTH(Orders[[#This Row],[Order Date]]),1)</f>
        <v>46023</v>
      </c>
      <c r="W895" s="5">
        <f>IF(Orders[[#This Row],[Order Status]]="Cancelled",Orders[[#This Row],[Net Sales]],0)</f>
        <v>0</v>
      </c>
    </row>
    <row r="896" spans="1:23" x14ac:dyDescent="0.3">
      <c r="A896" t="s">
        <v>1541</v>
      </c>
      <c r="B896" s="7">
        <v>46039</v>
      </c>
      <c r="C896" t="s">
        <v>625</v>
      </c>
      <c r="D896" t="s">
        <v>1094</v>
      </c>
      <c r="E896" t="s">
        <v>35</v>
      </c>
      <c r="F896" t="s">
        <v>68</v>
      </c>
      <c r="G896" t="s">
        <v>228</v>
      </c>
      <c r="H896" t="s">
        <v>58</v>
      </c>
      <c r="I896">
        <v>2</v>
      </c>
      <c r="J896" s="5">
        <v>1499</v>
      </c>
      <c r="K896" s="2">
        <v>0.05</v>
      </c>
      <c r="L896" t="s">
        <v>70</v>
      </c>
      <c r="M896" t="s">
        <v>82</v>
      </c>
      <c r="N896" s="1">
        <v>46046</v>
      </c>
      <c r="O896" s="1">
        <v>46040</v>
      </c>
      <c r="P896" s="5">
        <f>Orders[[#This Row],[Quantity]]*Orders[[#This Row],[Unit Price]]</f>
        <v>2998</v>
      </c>
      <c r="Q896" s="5">
        <f>Orders[[#This Row],[Gross Sales]]*Orders[[#This Row],[Discount %]]</f>
        <v>149.9</v>
      </c>
      <c r="R896" s="5">
        <f>Orders[[#This Row],[Gross Sales]]-Orders[[#This Row],[Discount Amount]]</f>
        <v>2848.1</v>
      </c>
      <c r="S896">
        <f>IF(Orders[[#This Row],[Actual Delivery Date]]="","",Orders[[#This Row],[Actual Delivery Date]]-Orders[[#This Row],[Order Date]])</f>
        <v>1</v>
      </c>
      <c r="T896" t="str">
        <f>IF(Orders[[#This Row],[Actual Delivery Date]]="","Pending",IF(Orders[[#This Row],[Actual Delivery Date]]&lt;=Orders[[#This Row],[Expected Delivery Date]],"On Time","Late"))</f>
        <v>On Time</v>
      </c>
      <c r="U896" t="str">
        <f>TEXT(Orders[[#This Row],[Order Date]],"mmm")</f>
        <v>Jan</v>
      </c>
      <c r="V896" s="8">
        <f>DATE(YEAR(Orders[[#This Row],[Order Date]]),MONTH(Orders[[#This Row],[Order Date]]),1)</f>
        <v>46023</v>
      </c>
      <c r="W896" s="5">
        <f>IF(Orders[[#This Row],[Order Status]]="Cancelled",Orders[[#This Row],[Net Sales]],0)</f>
        <v>0</v>
      </c>
    </row>
    <row r="897" spans="1:23" x14ac:dyDescent="0.3">
      <c r="A897" t="s">
        <v>1542</v>
      </c>
      <c r="B897" s="7">
        <v>46333</v>
      </c>
      <c r="C897" t="s">
        <v>630</v>
      </c>
      <c r="D897" t="s">
        <v>313</v>
      </c>
      <c r="E897" t="s">
        <v>79</v>
      </c>
      <c r="F897" t="s">
        <v>86</v>
      </c>
      <c r="G897" t="s">
        <v>81</v>
      </c>
      <c r="H897" t="s">
        <v>30</v>
      </c>
      <c r="I897">
        <v>2</v>
      </c>
      <c r="J897" s="5">
        <v>899</v>
      </c>
      <c r="K897" s="2">
        <v>0.2</v>
      </c>
      <c r="L897" t="s">
        <v>22</v>
      </c>
      <c r="M897" t="s">
        <v>23</v>
      </c>
      <c r="N897" s="1">
        <v>46337</v>
      </c>
      <c r="O897" s="1">
        <v>46336</v>
      </c>
      <c r="P897" s="5">
        <f>Orders[[#This Row],[Quantity]]*Orders[[#This Row],[Unit Price]]</f>
        <v>1798</v>
      </c>
      <c r="Q897" s="5">
        <f>Orders[[#This Row],[Gross Sales]]*Orders[[#This Row],[Discount %]]</f>
        <v>359.6</v>
      </c>
      <c r="R897" s="5">
        <f>Orders[[#This Row],[Gross Sales]]-Orders[[#This Row],[Discount Amount]]</f>
        <v>1438.4</v>
      </c>
      <c r="S897">
        <f>IF(Orders[[#This Row],[Actual Delivery Date]]="","",Orders[[#This Row],[Actual Delivery Date]]-Orders[[#This Row],[Order Date]])</f>
        <v>3</v>
      </c>
      <c r="T897" t="str">
        <f>IF(Orders[[#This Row],[Actual Delivery Date]]="","Pending",IF(Orders[[#This Row],[Actual Delivery Date]]&lt;=Orders[[#This Row],[Expected Delivery Date]],"On Time","Late"))</f>
        <v>On Time</v>
      </c>
      <c r="U897" t="str">
        <f>TEXT(Orders[[#This Row],[Order Date]],"mmm")</f>
        <v>Nov</v>
      </c>
      <c r="V897" s="8">
        <f>DATE(YEAR(Orders[[#This Row],[Order Date]]),MONTH(Orders[[#This Row],[Order Date]]),1)</f>
        <v>46327</v>
      </c>
      <c r="W897" s="5">
        <f>IF(Orders[[#This Row],[Order Status]]="Cancelled",Orders[[#This Row],[Net Sales]],0)</f>
        <v>0</v>
      </c>
    </row>
    <row r="898" spans="1:23" x14ac:dyDescent="0.3">
      <c r="A898" t="s">
        <v>1543</v>
      </c>
      <c r="B898" s="7">
        <v>46184</v>
      </c>
      <c r="C898" t="s">
        <v>66</v>
      </c>
      <c r="D898" t="s">
        <v>850</v>
      </c>
      <c r="E898" t="s">
        <v>27</v>
      </c>
      <c r="F898" t="s">
        <v>51</v>
      </c>
      <c r="G898" t="s">
        <v>96</v>
      </c>
      <c r="H898" t="s">
        <v>38</v>
      </c>
      <c r="I898">
        <v>2</v>
      </c>
      <c r="J898" s="5">
        <v>1599</v>
      </c>
      <c r="K898" s="2">
        <v>0</v>
      </c>
      <c r="L898" t="s">
        <v>31</v>
      </c>
      <c r="M898" t="s">
        <v>23</v>
      </c>
      <c r="N898" s="1">
        <v>46191</v>
      </c>
      <c r="O898" s="1">
        <v>46195</v>
      </c>
      <c r="P898" s="5">
        <f>Orders[[#This Row],[Quantity]]*Orders[[#This Row],[Unit Price]]</f>
        <v>3198</v>
      </c>
      <c r="Q898" s="5">
        <f>Orders[[#This Row],[Gross Sales]]*Orders[[#This Row],[Discount %]]</f>
        <v>0</v>
      </c>
      <c r="R898" s="5">
        <f>Orders[[#This Row],[Gross Sales]]-Orders[[#This Row],[Discount Amount]]</f>
        <v>3198</v>
      </c>
      <c r="S898">
        <f>IF(Orders[[#This Row],[Actual Delivery Date]]="","",Orders[[#This Row],[Actual Delivery Date]]-Orders[[#This Row],[Order Date]])</f>
        <v>11</v>
      </c>
      <c r="T898" t="str">
        <f>IF(Orders[[#This Row],[Actual Delivery Date]]="","Pending",IF(Orders[[#This Row],[Actual Delivery Date]]&lt;=Orders[[#This Row],[Expected Delivery Date]],"On Time","Late"))</f>
        <v>Late</v>
      </c>
      <c r="U898" t="str">
        <f>TEXT(Orders[[#This Row],[Order Date]],"mmm")</f>
        <v>Jun</v>
      </c>
      <c r="V898" s="8">
        <f>DATE(YEAR(Orders[[#This Row],[Order Date]]),MONTH(Orders[[#This Row],[Order Date]]),1)</f>
        <v>46174</v>
      </c>
      <c r="W898" s="5">
        <f>IF(Orders[[#This Row],[Order Status]]="Cancelled",Orders[[#This Row],[Net Sales]],0)</f>
        <v>0</v>
      </c>
    </row>
    <row r="899" spans="1:23" x14ac:dyDescent="0.3">
      <c r="A899" t="s">
        <v>1544</v>
      </c>
      <c r="B899" s="7">
        <v>46332</v>
      </c>
      <c r="C899" t="s">
        <v>802</v>
      </c>
      <c r="D899" t="s">
        <v>513</v>
      </c>
      <c r="E899" t="s">
        <v>35</v>
      </c>
      <c r="F899" t="s">
        <v>135</v>
      </c>
      <c r="G899" t="s">
        <v>218</v>
      </c>
      <c r="H899" t="s">
        <v>21</v>
      </c>
      <c r="I899">
        <v>1</v>
      </c>
      <c r="J899" s="5">
        <v>2999</v>
      </c>
      <c r="K899" s="2">
        <v>0.15</v>
      </c>
      <c r="L899" t="s">
        <v>31</v>
      </c>
      <c r="M899" t="s">
        <v>47</v>
      </c>
      <c r="N899" s="1">
        <v>46335</v>
      </c>
      <c r="O899" s="1"/>
      <c r="P899" s="5">
        <f>Orders[[#This Row],[Quantity]]*Orders[[#This Row],[Unit Price]]</f>
        <v>2999</v>
      </c>
      <c r="Q899" s="5">
        <f>Orders[[#This Row],[Gross Sales]]*Orders[[#This Row],[Discount %]]</f>
        <v>449.84999999999997</v>
      </c>
      <c r="R899" s="5">
        <f>Orders[[#This Row],[Gross Sales]]-Orders[[#This Row],[Discount Amount]]</f>
        <v>2549.15</v>
      </c>
      <c r="S899" t="str">
        <f>IF(Orders[[#This Row],[Actual Delivery Date]]="","",Orders[[#This Row],[Actual Delivery Date]]-Orders[[#This Row],[Order Date]])</f>
        <v/>
      </c>
      <c r="T899" t="str">
        <f>IF(Orders[[#This Row],[Actual Delivery Date]]="","Pending",IF(Orders[[#This Row],[Actual Delivery Date]]&lt;=Orders[[#This Row],[Expected Delivery Date]],"On Time","Late"))</f>
        <v>Pending</v>
      </c>
      <c r="U899" t="str">
        <f>TEXT(Orders[[#This Row],[Order Date]],"mmm")</f>
        <v>Nov</v>
      </c>
      <c r="V899" s="8">
        <f>DATE(YEAR(Orders[[#This Row],[Order Date]]),MONTH(Orders[[#This Row],[Order Date]]),1)</f>
        <v>46327</v>
      </c>
      <c r="W899" s="5">
        <f>IF(Orders[[#This Row],[Order Status]]="Cancelled",Orders[[#This Row],[Net Sales]],0)</f>
        <v>0</v>
      </c>
    </row>
    <row r="900" spans="1:23" x14ac:dyDescent="0.3">
      <c r="A900" t="s">
        <v>1545</v>
      </c>
      <c r="B900" s="7">
        <v>46169</v>
      </c>
      <c r="C900" t="s">
        <v>188</v>
      </c>
      <c r="D900" t="s">
        <v>1166</v>
      </c>
      <c r="E900" t="s">
        <v>79</v>
      </c>
      <c r="F900" t="s">
        <v>108</v>
      </c>
      <c r="G900" t="s">
        <v>91</v>
      </c>
      <c r="H900" t="s">
        <v>30</v>
      </c>
      <c r="I900">
        <v>1</v>
      </c>
      <c r="J900" s="5">
        <v>3299</v>
      </c>
      <c r="K900" s="2">
        <v>0</v>
      </c>
      <c r="L900" t="s">
        <v>39</v>
      </c>
      <c r="M900" t="s">
        <v>23</v>
      </c>
      <c r="N900" s="1">
        <v>46174</v>
      </c>
      <c r="O900" s="1">
        <v>46171</v>
      </c>
      <c r="P900" s="5">
        <f>Orders[[#This Row],[Quantity]]*Orders[[#This Row],[Unit Price]]</f>
        <v>3299</v>
      </c>
      <c r="Q900" s="5">
        <f>Orders[[#This Row],[Gross Sales]]*Orders[[#This Row],[Discount %]]</f>
        <v>0</v>
      </c>
      <c r="R900" s="5">
        <f>Orders[[#This Row],[Gross Sales]]-Orders[[#This Row],[Discount Amount]]</f>
        <v>3299</v>
      </c>
      <c r="S900">
        <f>IF(Orders[[#This Row],[Actual Delivery Date]]="","",Orders[[#This Row],[Actual Delivery Date]]-Orders[[#This Row],[Order Date]])</f>
        <v>2</v>
      </c>
      <c r="T900" t="str">
        <f>IF(Orders[[#This Row],[Actual Delivery Date]]="","Pending",IF(Orders[[#This Row],[Actual Delivery Date]]&lt;=Orders[[#This Row],[Expected Delivery Date]],"On Time","Late"))</f>
        <v>On Time</v>
      </c>
      <c r="U900" t="str">
        <f>TEXT(Orders[[#This Row],[Order Date]],"mmm")</f>
        <v>May</v>
      </c>
      <c r="V900" s="8">
        <f>DATE(YEAR(Orders[[#This Row],[Order Date]]),MONTH(Orders[[#This Row],[Order Date]]),1)</f>
        <v>46143</v>
      </c>
      <c r="W900" s="5">
        <f>IF(Orders[[#This Row],[Order Status]]="Cancelled",Orders[[#This Row],[Net Sales]],0)</f>
        <v>0</v>
      </c>
    </row>
    <row r="901" spans="1:23" x14ac:dyDescent="0.3">
      <c r="A901" t="s">
        <v>1546</v>
      </c>
      <c r="B901" s="7">
        <v>46108</v>
      </c>
      <c r="C901" t="s">
        <v>1337</v>
      </c>
      <c r="D901" t="s">
        <v>1476</v>
      </c>
      <c r="E901" t="s">
        <v>27</v>
      </c>
      <c r="F901" t="s">
        <v>56</v>
      </c>
      <c r="G901" t="s">
        <v>147</v>
      </c>
      <c r="H901" t="s">
        <v>58</v>
      </c>
      <c r="I901">
        <v>1</v>
      </c>
      <c r="J901" s="5">
        <v>399</v>
      </c>
      <c r="K901" s="2">
        <v>0.1</v>
      </c>
      <c r="L901" t="s">
        <v>22</v>
      </c>
      <c r="M901" t="s">
        <v>59</v>
      </c>
      <c r="N901" s="1">
        <v>46113</v>
      </c>
      <c r="O901" s="1">
        <v>46110</v>
      </c>
      <c r="P901" s="5">
        <f>Orders[[#This Row],[Quantity]]*Orders[[#This Row],[Unit Price]]</f>
        <v>399</v>
      </c>
      <c r="Q901" s="5">
        <f>Orders[[#This Row],[Gross Sales]]*Orders[[#This Row],[Discount %]]</f>
        <v>39.900000000000006</v>
      </c>
      <c r="R901" s="5">
        <f>Orders[[#This Row],[Gross Sales]]-Orders[[#This Row],[Discount Amount]]</f>
        <v>359.1</v>
      </c>
      <c r="S901">
        <f>IF(Orders[[#This Row],[Actual Delivery Date]]="","",Orders[[#This Row],[Actual Delivery Date]]-Orders[[#This Row],[Order Date]])</f>
        <v>2</v>
      </c>
      <c r="T901" t="str">
        <f>IF(Orders[[#This Row],[Actual Delivery Date]]="","Pending",IF(Orders[[#This Row],[Actual Delivery Date]]&lt;=Orders[[#This Row],[Expected Delivery Date]],"On Time","Late"))</f>
        <v>On Time</v>
      </c>
      <c r="U901" t="str">
        <f>TEXT(Orders[[#This Row],[Order Date]],"mmm")</f>
        <v>Mar</v>
      </c>
      <c r="V901" s="8">
        <f>DATE(YEAR(Orders[[#This Row],[Order Date]]),MONTH(Orders[[#This Row],[Order Date]]),1)</f>
        <v>46082</v>
      </c>
      <c r="W901" s="5">
        <f>IF(Orders[[#This Row],[Order Status]]="Cancelled",Orders[[#This Row],[Net Sales]],0)</f>
        <v>359.1</v>
      </c>
    </row>
    <row r="902" spans="1:23" x14ac:dyDescent="0.3">
      <c r="A902" t="s">
        <v>1547</v>
      </c>
      <c r="B902" s="7">
        <v>46286</v>
      </c>
      <c r="C902" t="s">
        <v>502</v>
      </c>
      <c r="D902" t="s">
        <v>1073</v>
      </c>
      <c r="E902" t="s">
        <v>18</v>
      </c>
      <c r="F902" t="s">
        <v>95</v>
      </c>
      <c r="G902" t="s">
        <v>52</v>
      </c>
      <c r="H902" t="s">
        <v>45</v>
      </c>
      <c r="I902">
        <v>3</v>
      </c>
      <c r="J902" s="5">
        <v>1299</v>
      </c>
      <c r="K902" s="2">
        <v>0.15</v>
      </c>
      <c r="L902" t="s">
        <v>70</v>
      </c>
      <c r="M902" t="s">
        <v>23</v>
      </c>
      <c r="N902" s="1">
        <v>46289</v>
      </c>
      <c r="O902" s="1">
        <v>46289</v>
      </c>
      <c r="P902" s="5">
        <f>Orders[[#This Row],[Quantity]]*Orders[[#This Row],[Unit Price]]</f>
        <v>3897</v>
      </c>
      <c r="Q902" s="5">
        <f>Orders[[#This Row],[Gross Sales]]*Orders[[#This Row],[Discount %]]</f>
        <v>584.54999999999995</v>
      </c>
      <c r="R902" s="5">
        <f>Orders[[#This Row],[Gross Sales]]-Orders[[#This Row],[Discount Amount]]</f>
        <v>3312.45</v>
      </c>
      <c r="S902">
        <f>IF(Orders[[#This Row],[Actual Delivery Date]]="","",Orders[[#This Row],[Actual Delivery Date]]-Orders[[#This Row],[Order Date]])</f>
        <v>3</v>
      </c>
      <c r="T902" t="str">
        <f>IF(Orders[[#This Row],[Actual Delivery Date]]="","Pending",IF(Orders[[#This Row],[Actual Delivery Date]]&lt;=Orders[[#This Row],[Expected Delivery Date]],"On Time","Late"))</f>
        <v>On Time</v>
      </c>
      <c r="U902" t="str">
        <f>TEXT(Orders[[#This Row],[Order Date]],"mmm")</f>
        <v>Sep</v>
      </c>
      <c r="V902" s="8">
        <f>DATE(YEAR(Orders[[#This Row],[Order Date]]),MONTH(Orders[[#This Row],[Order Date]]),1)</f>
        <v>46266</v>
      </c>
      <c r="W902" s="5">
        <f>IF(Orders[[#This Row],[Order Status]]="Cancelled",Orders[[#This Row],[Net Sales]],0)</f>
        <v>0</v>
      </c>
    </row>
    <row r="903" spans="1:23" x14ac:dyDescent="0.3">
      <c r="A903" t="s">
        <v>1548</v>
      </c>
      <c r="B903" s="7">
        <v>46334</v>
      </c>
      <c r="C903" t="s">
        <v>384</v>
      </c>
      <c r="D903" t="s">
        <v>1006</v>
      </c>
      <c r="E903" t="s">
        <v>18</v>
      </c>
      <c r="F903" t="s">
        <v>121</v>
      </c>
      <c r="G903" t="s">
        <v>87</v>
      </c>
      <c r="H903" t="s">
        <v>21</v>
      </c>
      <c r="I903">
        <v>2</v>
      </c>
      <c r="J903" s="5">
        <v>1899</v>
      </c>
      <c r="K903" s="2">
        <v>0</v>
      </c>
      <c r="L903" t="s">
        <v>39</v>
      </c>
      <c r="M903" t="s">
        <v>59</v>
      </c>
      <c r="N903" s="1">
        <v>46338</v>
      </c>
      <c r="O903" s="1">
        <v>46342</v>
      </c>
      <c r="P903" s="5">
        <f>Orders[[#This Row],[Quantity]]*Orders[[#This Row],[Unit Price]]</f>
        <v>3798</v>
      </c>
      <c r="Q903" s="5">
        <f>Orders[[#This Row],[Gross Sales]]*Orders[[#This Row],[Discount %]]</f>
        <v>0</v>
      </c>
      <c r="R903" s="5">
        <f>Orders[[#This Row],[Gross Sales]]-Orders[[#This Row],[Discount Amount]]</f>
        <v>3798</v>
      </c>
      <c r="S903">
        <f>IF(Orders[[#This Row],[Actual Delivery Date]]="","",Orders[[#This Row],[Actual Delivery Date]]-Orders[[#This Row],[Order Date]])</f>
        <v>8</v>
      </c>
      <c r="T903" t="str">
        <f>IF(Orders[[#This Row],[Actual Delivery Date]]="","Pending",IF(Orders[[#This Row],[Actual Delivery Date]]&lt;=Orders[[#This Row],[Expected Delivery Date]],"On Time","Late"))</f>
        <v>Late</v>
      </c>
      <c r="U903" t="str">
        <f>TEXT(Orders[[#This Row],[Order Date]],"mmm")</f>
        <v>Nov</v>
      </c>
      <c r="V903" s="8">
        <f>DATE(YEAR(Orders[[#This Row],[Order Date]]),MONTH(Orders[[#This Row],[Order Date]]),1)</f>
        <v>46327</v>
      </c>
      <c r="W903" s="5">
        <f>IF(Orders[[#This Row],[Order Status]]="Cancelled",Orders[[#This Row],[Net Sales]],0)</f>
        <v>3798</v>
      </c>
    </row>
    <row r="904" spans="1:23" x14ac:dyDescent="0.3">
      <c r="A904" t="s">
        <v>1549</v>
      </c>
      <c r="B904" s="7">
        <v>46324</v>
      </c>
      <c r="C904" t="s">
        <v>310</v>
      </c>
      <c r="D904" t="s">
        <v>189</v>
      </c>
      <c r="E904" t="s">
        <v>35</v>
      </c>
      <c r="F904" t="s">
        <v>63</v>
      </c>
      <c r="G904" t="s">
        <v>37</v>
      </c>
      <c r="H904" t="s">
        <v>38</v>
      </c>
      <c r="I904">
        <v>4</v>
      </c>
      <c r="J904" s="5">
        <v>699</v>
      </c>
      <c r="K904" s="2">
        <v>0.2</v>
      </c>
      <c r="L904" t="s">
        <v>39</v>
      </c>
      <c r="M904" t="s">
        <v>23</v>
      </c>
      <c r="N904" s="1">
        <v>46326</v>
      </c>
      <c r="O904" s="1">
        <v>46326</v>
      </c>
      <c r="P904" s="5">
        <f>Orders[[#This Row],[Quantity]]*Orders[[#This Row],[Unit Price]]</f>
        <v>2796</v>
      </c>
      <c r="Q904" s="5">
        <f>Orders[[#This Row],[Gross Sales]]*Orders[[#This Row],[Discount %]]</f>
        <v>559.20000000000005</v>
      </c>
      <c r="R904" s="5">
        <f>Orders[[#This Row],[Gross Sales]]-Orders[[#This Row],[Discount Amount]]</f>
        <v>2236.8000000000002</v>
      </c>
      <c r="S904">
        <f>IF(Orders[[#This Row],[Actual Delivery Date]]="","",Orders[[#This Row],[Actual Delivery Date]]-Orders[[#This Row],[Order Date]])</f>
        <v>2</v>
      </c>
      <c r="T904" t="str">
        <f>IF(Orders[[#This Row],[Actual Delivery Date]]="","Pending",IF(Orders[[#This Row],[Actual Delivery Date]]&lt;=Orders[[#This Row],[Expected Delivery Date]],"On Time","Late"))</f>
        <v>On Time</v>
      </c>
      <c r="U904" t="str">
        <f>TEXT(Orders[[#This Row],[Order Date]],"mmm")</f>
        <v>Oct</v>
      </c>
      <c r="V904" s="8">
        <f>DATE(YEAR(Orders[[#This Row],[Order Date]]),MONTH(Orders[[#This Row],[Order Date]]),1)</f>
        <v>46296</v>
      </c>
      <c r="W904" s="5">
        <f>IF(Orders[[#This Row],[Order Status]]="Cancelled",Orders[[#This Row],[Net Sales]],0)</f>
        <v>0</v>
      </c>
    </row>
    <row r="905" spans="1:23" x14ac:dyDescent="0.3">
      <c r="A905" t="s">
        <v>1550</v>
      </c>
      <c r="B905" s="7">
        <v>46324</v>
      </c>
      <c r="C905" t="s">
        <v>608</v>
      </c>
      <c r="D905" t="s">
        <v>954</v>
      </c>
      <c r="E905" t="s">
        <v>35</v>
      </c>
      <c r="F905" t="s">
        <v>63</v>
      </c>
      <c r="G905" t="s">
        <v>69</v>
      </c>
      <c r="H905" t="s">
        <v>38</v>
      </c>
      <c r="I905">
        <v>1</v>
      </c>
      <c r="J905" s="5">
        <v>3499</v>
      </c>
      <c r="K905" s="2">
        <v>0</v>
      </c>
      <c r="L905" t="s">
        <v>31</v>
      </c>
      <c r="M905" t="s">
        <v>23</v>
      </c>
      <c r="N905" s="1">
        <v>46329</v>
      </c>
      <c r="O905" s="1">
        <v>46329</v>
      </c>
      <c r="P905" s="5">
        <f>Orders[[#This Row],[Quantity]]*Orders[[#This Row],[Unit Price]]</f>
        <v>3499</v>
      </c>
      <c r="Q905" s="5">
        <f>Orders[[#This Row],[Gross Sales]]*Orders[[#This Row],[Discount %]]</f>
        <v>0</v>
      </c>
      <c r="R905" s="5">
        <f>Orders[[#This Row],[Gross Sales]]-Orders[[#This Row],[Discount Amount]]</f>
        <v>3499</v>
      </c>
      <c r="S905">
        <f>IF(Orders[[#This Row],[Actual Delivery Date]]="","",Orders[[#This Row],[Actual Delivery Date]]-Orders[[#This Row],[Order Date]])</f>
        <v>5</v>
      </c>
      <c r="T905" t="str">
        <f>IF(Orders[[#This Row],[Actual Delivery Date]]="","Pending",IF(Orders[[#This Row],[Actual Delivery Date]]&lt;=Orders[[#This Row],[Expected Delivery Date]],"On Time","Late"))</f>
        <v>On Time</v>
      </c>
      <c r="U905" t="str">
        <f>TEXT(Orders[[#This Row],[Order Date]],"mmm")</f>
        <v>Oct</v>
      </c>
      <c r="V905" s="8">
        <f>DATE(YEAR(Orders[[#This Row],[Order Date]]),MONTH(Orders[[#This Row],[Order Date]]),1)</f>
        <v>46296</v>
      </c>
      <c r="W905" s="5">
        <f>IF(Orders[[#This Row],[Order Status]]="Cancelled",Orders[[#This Row],[Net Sales]],0)</f>
        <v>0</v>
      </c>
    </row>
    <row r="906" spans="1:23" x14ac:dyDescent="0.3">
      <c r="A906" t="s">
        <v>1551</v>
      </c>
      <c r="B906" s="7">
        <v>46186</v>
      </c>
      <c r="C906" t="s">
        <v>139</v>
      </c>
      <c r="D906" t="s">
        <v>453</v>
      </c>
      <c r="E906" t="s">
        <v>79</v>
      </c>
      <c r="F906" t="s">
        <v>80</v>
      </c>
      <c r="G906" t="s">
        <v>218</v>
      </c>
      <c r="H906" t="s">
        <v>21</v>
      </c>
      <c r="I906">
        <v>3</v>
      </c>
      <c r="J906" s="5">
        <v>2999</v>
      </c>
      <c r="K906" s="2">
        <v>0.05</v>
      </c>
      <c r="L906" t="s">
        <v>39</v>
      </c>
      <c r="M906" t="s">
        <v>82</v>
      </c>
      <c r="N906" s="1">
        <v>46193</v>
      </c>
      <c r="O906" s="1">
        <v>46195</v>
      </c>
      <c r="P906" s="5">
        <f>Orders[[#This Row],[Quantity]]*Orders[[#This Row],[Unit Price]]</f>
        <v>8997</v>
      </c>
      <c r="Q906" s="5">
        <f>Orders[[#This Row],[Gross Sales]]*Orders[[#This Row],[Discount %]]</f>
        <v>449.85</v>
      </c>
      <c r="R906" s="5">
        <f>Orders[[#This Row],[Gross Sales]]-Orders[[#This Row],[Discount Amount]]</f>
        <v>8547.15</v>
      </c>
      <c r="S906">
        <f>IF(Orders[[#This Row],[Actual Delivery Date]]="","",Orders[[#This Row],[Actual Delivery Date]]-Orders[[#This Row],[Order Date]])</f>
        <v>9</v>
      </c>
      <c r="T906" t="str">
        <f>IF(Orders[[#This Row],[Actual Delivery Date]]="","Pending",IF(Orders[[#This Row],[Actual Delivery Date]]&lt;=Orders[[#This Row],[Expected Delivery Date]],"On Time","Late"))</f>
        <v>Late</v>
      </c>
      <c r="U906" t="str">
        <f>TEXT(Orders[[#This Row],[Order Date]],"mmm")</f>
        <v>Jun</v>
      </c>
      <c r="V906" s="8">
        <f>DATE(YEAR(Orders[[#This Row],[Order Date]]),MONTH(Orders[[#This Row],[Order Date]]),1)</f>
        <v>46174</v>
      </c>
      <c r="W906" s="5">
        <f>IF(Orders[[#This Row],[Order Status]]="Cancelled",Orders[[#This Row],[Net Sales]],0)</f>
        <v>0</v>
      </c>
    </row>
    <row r="907" spans="1:23" x14ac:dyDescent="0.3">
      <c r="A907" t="s">
        <v>1552</v>
      </c>
      <c r="B907" s="7">
        <v>46168</v>
      </c>
      <c r="C907" t="s">
        <v>1070</v>
      </c>
      <c r="D907" t="s">
        <v>1387</v>
      </c>
      <c r="E907" t="s">
        <v>35</v>
      </c>
      <c r="F907" t="s">
        <v>36</v>
      </c>
      <c r="G907" t="s">
        <v>153</v>
      </c>
      <c r="H907" t="s">
        <v>45</v>
      </c>
      <c r="I907">
        <v>1</v>
      </c>
      <c r="J907" s="5">
        <v>1999</v>
      </c>
      <c r="K907" s="2">
        <v>0.1</v>
      </c>
      <c r="L907" t="s">
        <v>46</v>
      </c>
      <c r="M907" t="s">
        <v>23</v>
      </c>
      <c r="N907" s="1">
        <v>46173</v>
      </c>
      <c r="O907" s="1">
        <v>46170</v>
      </c>
      <c r="P907" s="5">
        <f>Orders[[#This Row],[Quantity]]*Orders[[#This Row],[Unit Price]]</f>
        <v>1999</v>
      </c>
      <c r="Q907" s="5">
        <f>Orders[[#This Row],[Gross Sales]]*Orders[[#This Row],[Discount %]]</f>
        <v>199.9</v>
      </c>
      <c r="R907" s="5">
        <f>Orders[[#This Row],[Gross Sales]]-Orders[[#This Row],[Discount Amount]]</f>
        <v>1799.1</v>
      </c>
      <c r="S907">
        <f>IF(Orders[[#This Row],[Actual Delivery Date]]="","",Orders[[#This Row],[Actual Delivery Date]]-Orders[[#This Row],[Order Date]])</f>
        <v>2</v>
      </c>
      <c r="T907" t="str">
        <f>IF(Orders[[#This Row],[Actual Delivery Date]]="","Pending",IF(Orders[[#This Row],[Actual Delivery Date]]&lt;=Orders[[#This Row],[Expected Delivery Date]],"On Time","Late"))</f>
        <v>On Time</v>
      </c>
      <c r="U907" t="str">
        <f>TEXT(Orders[[#This Row],[Order Date]],"mmm")</f>
        <v>May</v>
      </c>
      <c r="V907" s="8">
        <f>DATE(YEAR(Orders[[#This Row],[Order Date]]),MONTH(Orders[[#This Row],[Order Date]]),1)</f>
        <v>46143</v>
      </c>
      <c r="W907" s="5">
        <f>IF(Orders[[#This Row],[Order Status]]="Cancelled",Orders[[#This Row],[Net Sales]],0)</f>
        <v>0</v>
      </c>
    </row>
    <row r="908" spans="1:23" x14ac:dyDescent="0.3">
      <c r="A908" t="s">
        <v>1553</v>
      </c>
      <c r="B908" s="7">
        <v>46072</v>
      </c>
      <c r="C908" t="s">
        <v>786</v>
      </c>
      <c r="D908" t="s">
        <v>901</v>
      </c>
      <c r="E908" t="s">
        <v>18</v>
      </c>
      <c r="F908" t="s">
        <v>95</v>
      </c>
      <c r="G908" t="s">
        <v>20</v>
      </c>
      <c r="H908" t="s">
        <v>21</v>
      </c>
      <c r="I908">
        <v>1</v>
      </c>
      <c r="J908" s="5">
        <v>1799</v>
      </c>
      <c r="K908" s="2">
        <v>0.2</v>
      </c>
      <c r="L908" t="s">
        <v>31</v>
      </c>
      <c r="M908" t="s">
        <v>23</v>
      </c>
      <c r="N908" s="1">
        <v>46078</v>
      </c>
      <c r="O908" s="1">
        <v>46080</v>
      </c>
      <c r="P908" s="5">
        <f>Orders[[#This Row],[Quantity]]*Orders[[#This Row],[Unit Price]]</f>
        <v>1799</v>
      </c>
      <c r="Q908" s="5">
        <f>Orders[[#This Row],[Gross Sales]]*Orders[[#This Row],[Discount %]]</f>
        <v>359.8</v>
      </c>
      <c r="R908" s="5">
        <f>Orders[[#This Row],[Gross Sales]]-Orders[[#This Row],[Discount Amount]]</f>
        <v>1439.2</v>
      </c>
      <c r="S908">
        <f>IF(Orders[[#This Row],[Actual Delivery Date]]="","",Orders[[#This Row],[Actual Delivery Date]]-Orders[[#This Row],[Order Date]])</f>
        <v>8</v>
      </c>
      <c r="T908" t="str">
        <f>IF(Orders[[#This Row],[Actual Delivery Date]]="","Pending",IF(Orders[[#This Row],[Actual Delivery Date]]&lt;=Orders[[#This Row],[Expected Delivery Date]],"On Time","Late"))</f>
        <v>Late</v>
      </c>
      <c r="U908" t="str">
        <f>TEXT(Orders[[#This Row],[Order Date]],"mmm")</f>
        <v>Feb</v>
      </c>
      <c r="V908" s="8">
        <f>DATE(YEAR(Orders[[#This Row],[Order Date]]),MONTH(Orders[[#This Row],[Order Date]]),1)</f>
        <v>46054</v>
      </c>
      <c r="W908" s="5">
        <f>IF(Orders[[#This Row],[Order Status]]="Cancelled",Orders[[#This Row],[Net Sales]],0)</f>
        <v>0</v>
      </c>
    </row>
    <row r="909" spans="1:23" x14ac:dyDescent="0.3">
      <c r="A909" t="s">
        <v>1554</v>
      </c>
      <c r="B909" s="7">
        <v>46315</v>
      </c>
      <c r="C909" t="s">
        <v>849</v>
      </c>
      <c r="D909" t="s">
        <v>308</v>
      </c>
      <c r="E909" t="s">
        <v>18</v>
      </c>
      <c r="F909" t="s">
        <v>121</v>
      </c>
      <c r="G909" t="s">
        <v>131</v>
      </c>
      <c r="H909" t="s">
        <v>38</v>
      </c>
      <c r="I909">
        <v>1</v>
      </c>
      <c r="J909" s="5">
        <v>899</v>
      </c>
      <c r="K909" s="2">
        <v>0.15</v>
      </c>
      <c r="L909" t="s">
        <v>22</v>
      </c>
      <c r="M909" t="s">
        <v>23</v>
      </c>
      <c r="N909" s="1">
        <v>46320</v>
      </c>
      <c r="O909" s="1">
        <v>46316</v>
      </c>
      <c r="P909" s="5">
        <f>Orders[[#This Row],[Quantity]]*Orders[[#This Row],[Unit Price]]</f>
        <v>899</v>
      </c>
      <c r="Q909" s="5">
        <f>Orders[[#This Row],[Gross Sales]]*Orders[[#This Row],[Discount %]]</f>
        <v>134.85</v>
      </c>
      <c r="R909" s="5">
        <f>Orders[[#This Row],[Gross Sales]]-Orders[[#This Row],[Discount Amount]]</f>
        <v>764.15</v>
      </c>
      <c r="S909">
        <f>IF(Orders[[#This Row],[Actual Delivery Date]]="","",Orders[[#This Row],[Actual Delivery Date]]-Orders[[#This Row],[Order Date]])</f>
        <v>1</v>
      </c>
      <c r="T909" t="str">
        <f>IF(Orders[[#This Row],[Actual Delivery Date]]="","Pending",IF(Orders[[#This Row],[Actual Delivery Date]]&lt;=Orders[[#This Row],[Expected Delivery Date]],"On Time","Late"))</f>
        <v>On Time</v>
      </c>
      <c r="U909" t="str">
        <f>TEXT(Orders[[#This Row],[Order Date]],"mmm")</f>
        <v>Oct</v>
      </c>
      <c r="V909" s="8">
        <f>DATE(YEAR(Orders[[#This Row],[Order Date]]),MONTH(Orders[[#This Row],[Order Date]]),1)</f>
        <v>46296</v>
      </c>
      <c r="W909" s="5">
        <f>IF(Orders[[#This Row],[Order Status]]="Cancelled",Orders[[#This Row],[Net Sales]],0)</f>
        <v>0</v>
      </c>
    </row>
    <row r="910" spans="1:23" x14ac:dyDescent="0.3">
      <c r="A910" t="s">
        <v>1555</v>
      </c>
      <c r="B910" s="7">
        <v>46093</v>
      </c>
      <c r="C910" t="s">
        <v>110</v>
      </c>
      <c r="D910" t="s">
        <v>1109</v>
      </c>
      <c r="E910" t="s">
        <v>79</v>
      </c>
      <c r="F910" t="s">
        <v>170</v>
      </c>
      <c r="G910" t="s">
        <v>64</v>
      </c>
      <c r="H910" t="s">
        <v>21</v>
      </c>
      <c r="I910">
        <v>5</v>
      </c>
      <c r="J910" s="5">
        <v>699</v>
      </c>
      <c r="K910" s="2">
        <v>0</v>
      </c>
      <c r="L910" t="s">
        <v>46</v>
      </c>
      <c r="M910" t="s">
        <v>82</v>
      </c>
      <c r="N910" s="1">
        <v>46095</v>
      </c>
      <c r="O910" s="1">
        <v>46094</v>
      </c>
      <c r="P910" s="5">
        <f>Orders[[#This Row],[Quantity]]*Orders[[#This Row],[Unit Price]]</f>
        <v>3495</v>
      </c>
      <c r="Q910" s="5">
        <f>Orders[[#This Row],[Gross Sales]]*Orders[[#This Row],[Discount %]]</f>
        <v>0</v>
      </c>
      <c r="R910" s="5">
        <f>Orders[[#This Row],[Gross Sales]]-Orders[[#This Row],[Discount Amount]]</f>
        <v>3495</v>
      </c>
      <c r="S910">
        <f>IF(Orders[[#This Row],[Actual Delivery Date]]="","",Orders[[#This Row],[Actual Delivery Date]]-Orders[[#This Row],[Order Date]])</f>
        <v>1</v>
      </c>
      <c r="T910" t="str">
        <f>IF(Orders[[#This Row],[Actual Delivery Date]]="","Pending",IF(Orders[[#This Row],[Actual Delivery Date]]&lt;=Orders[[#This Row],[Expected Delivery Date]],"On Time","Late"))</f>
        <v>On Time</v>
      </c>
      <c r="U910" t="str">
        <f>TEXT(Orders[[#This Row],[Order Date]],"mmm")</f>
        <v>Mar</v>
      </c>
      <c r="V910" s="8">
        <f>DATE(YEAR(Orders[[#This Row],[Order Date]]),MONTH(Orders[[#This Row],[Order Date]]),1)</f>
        <v>46082</v>
      </c>
      <c r="W910" s="5">
        <f>IF(Orders[[#This Row],[Order Status]]="Cancelled",Orders[[#This Row],[Net Sales]],0)</f>
        <v>0</v>
      </c>
    </row>
    <row r="911" spans="1:23" x14ac:dyDescent="0.3">
      <c r="A911" t="s">
        <v>1556</v>
      </c>
      <c r="B911" s="7">
        <v>46345</v>
      </c>
      <c r="C911" t="s">
        <v>280</v>
      </c>
      <c r="D911" t="s">
        <v>221</v>
      </c>
      <c r="E911" t="s">
        <v>27</v>
      </c>
      <c r="F911" t="s">
        <v>51</v>
      </c>
      <c r="G911" t="s">
        <v>218</v>
      </c>
      <c r="H911" t="s">
        <v>21</v>
      </c>
      <c r="I911">
        <v>2</v>
      </c>
      <c r="J911" s="5">
        <v>2999</v>
      </c>
      <c r="K911" s="2">
        <v>0</v>
      </c>
      <c r="L911" t="s">
        <v>46</v>
      </c>
      <c r="M911" t="s">
        <v>23</v>
      </c>
      <c r="N911" s="1">
        <v>46350</v>
      </c>
      <c r="O911" s="1">
        <v>46350</v>
      </c>
      <c r="P911" s="5">
        <f>Orders[[#This Row],[Quantity]]*Orders[[#This Row],[Unit Price]]</f>
        <v>5998</v>
      </c>
      <c r="Q911" s="5">
        <f>Orders[[#This Row],[Gross Sales]]*Orders[[#This Row],[Discount %]]</f>
        <v>0</v>
      </c>
      <c r="R911" s="5">
        <f>Orders[[#This Row],[Gross Sales]]-Orders[[#This Row],[Discount Amount]]</f>
        <v>5998</v>
      </c>
      <c r="S911">
        <f>IF(Orders[[#This Row],[Actual Delivery Date]]="","",Orders[[#This Row],[Actual Delivery Date]]-Orders[[#This Row],[Order Date]])</f>
        <v>5</v>
      </c>
      <c r="T911" t="str">
        <f>IF(Orders[[#This Row],[Actual Delivery Date]]="","Pending",IF(Orders[[#This Row],[Actual Delivery Date]]&lt;=Orders[[#This Row],[Expected Delivery Date]],"On Time","Late"))</f>
        <v>On Time</v>
      </c>
      <c r="U911" t="str">
        <f>TEXT(Orders[[#This Row],[Order Date]],"mmm")</f>
        <v>Nov</v>
      </c>
      <c r="V911" s="8">
        <f>DATE(YEAR(Orders[[#This Row],[Order Date]]),MONTH(Orders[[#This Row],[Order Date]]),1)</f>
        <v>46327</v>
      </c>
      <c r="W911" s="5">
        <f>IF(Orders[[#This Row],[Order Status]]="Cancelled",Orders[[#This Row],[Net Sales]],0)</f>
        <v>0</v>
      </c>
    </row>
    <row r="912" spans="1:23" x14ac:dyDescent="0.3">
      <c r="A912" t="s">
        <v>1557</v>
      </c>
      <c r="B912" s="7">
        <v>46323</v>
      </c>
      <c r="C912" t="s">
        <v>748</v>
      </c>
      <c r="D912" t="s">
        <v>231</v>
      </c>
      <c r="E912" t="s">
        <v>18</v>
      </c>
      <c r="F912" t="s">
        <v>19</v>
      </c>
      <c r="G912" t="s">
        <v>37</v>
      </c>
      <c r="H912" t="s">
        <v>38</v>
      </c>
      <c r="I912">
        <v>1</v>
      </c>
      <c r="J912" s="5">
        <v>699</v>
      </c>
      <c r="K912" s="2">
        <v>0.05</v>
      </c>
      <c r="L912" t="s">
        <v>31</v>
      </c>
      <c r="M912" t="s">
        <v>23</v>
      </c>
      <c r="N912" s="1">
        <v>46328</v>
      </c>
      <c r="O912" s="1">
        <v>46325</v>
      </c>
      <c r="P912" s="5">
        <f>Orders[[#This Row],[Quantity]]*Orders[[#This Row],[Unit Price]]</f>
        <v>699</v>
      </c>
      <c r="Q912" s="5">
        <f>Orders[[#This Row],[Gross Sales]]*Orders[[#This Row],[Discount %]]</f>
        <v>34.950000000000003</v>
      </c>
      <c r="R912" s="5">
        <f>Orders[[#This Row],[Gross Sales]]-Orders[[#This Row],[Discount Amount]]</f>
        <v>664.05</v>
      </c>
      <c r="S912">
        <f>IF(Orders[[#This Row],[Actual Delivery Date]]="","",Orders[[#This Row],[Actual Delivery Date]]-Orders[[#This Row],[Order Date]])</f>
        <v>2</v>
      </c>
      <c r="T912" t="str">
        <f>IF(Orders[[#This Row],[Actual Delivery Date]]="","Pending",IF(Orders[[#This Row],[Actual Delivery Date]]&lt;=Orders[[#This Row],[Expected Delivery Date]],"On Time","Late"))</f>
        <v>On Time</v>
      </c>
      <c r="U912" t="str">
        <f>TEXT(Orders[[#This Row],[Order Date]],"mmm")</f>
        <v>Oct</v>
      </c>
      <c r="V912" s="8">
        <f>DATE(YEAR(Orders[[#This Row],[Order Date]]),MONTH(Orders[[#This Row],[Order Date]]),1)</f>
        <v>46296</v>
      </c>
      <c r="W912" s="5">
        <f>IF(Orders[[#This Row],[Order Status]]="Cancelled",Orders[[#This Row],[Net Sales]],0)</f>
        <v>0</v>
      </c>
    </row>
    <row r="913" spans="1:23" x14ac:dyDescent="0.3">
      <c r="A913" t="s">
        <v>1558</v>
      </c>
      <c r="B913" s="7">
        <v>46132</v>
      </c>
      <c r="C913" t="s">
        <v>971</v>
      </c>
      <c r="D913" t="s">
        <v>526</v>
      </c>
      <c r="E913" t="s">
        <v>27</v>
      </c>
      <c r="F913" t="s">
        <v>56</v>
      </c>
      <c r="G913" t="s">
        <v>44</v>
      </c>
      <c r="H913" t="s">
        <v>45</v>
      </c>
      <c r="I913">
        <v>1</v>
      </c>
      <c r="J913" s="5">
        <v>1799</v>
      </c>
      <c r="K913" s="2">
        <v>0</v>
      </c>
      <c r="L913" t="s">
        <v>70</v>
      </c>
      <c r="M913" t="s">
        <v>47</v>
      </c>
      <c r="N913" s="1">
        <v>46138</v>
      </c>
      <c r="O913" s="1"/>
      <c r="P913" s="5">
        <f>Orders[[#This Row],[Quantity]]*Orders[[#This Row],[Unit Price]]</f>
        <v>1799</v>
      </c>
      <c r="Q913" s="5">
        <f>Orders[[#This Row],[Gross Sales]]*Orders[[#This Row],[Discount %]]</f>
        <v>0</v>
      </c>
      <c r="R913" s="5">
        <f>Orders[[#This Row],[Gross Sales]]-Orders[[#This Row],[Discount Amount]]</f>
        <v>1799</v>
      </c>
      <c r="S913" t="str">
        <f>IF(Orders[[#This Row],[Actual Delivery Date]]="","",Orders[[#This Row],[Actual Delivery Date]]-Orders[[#This Row],[Order Date]])</f>
        <v/>
      </c>
      <c r="T913" t="str">
        <f>IF(Orders[[#This Row],[Actual Delivery Date]]="","Pending",IF(Orders[[#This Row],[Actual Delivery Date]]&lt;=Orders[[#This Row],[Expected Delivery Date]],"On Time","Late"))</f>
        <v>Pending</v>
      </c>
      <c r="U913" t="str">
        <f>TEXT(Orders[[#This Row],[Order Date]],"mmm")</f>
        <v>Apr</v>
      </c>
      <c r="V913" s="8">
        <f>DATE(YEAR(Orders[[#This Row],[Order Date]]),MONTH(Orders[[#This Row],[Order Date]]),1)</f>
        <v>46113</v>
      </c>
      <c r="W913" s="5">
        <f>IF(Orders[[#This Row],[Order Status]]="Cancelled",Orders[[#This Row],[Net Sales]],0)</f>
        <v>0</v>
      </c>
    </row>
    <row r="914" spans="1:23" x14ac:dyDescent="0.3">
      <c r="A914" t="s">
        <v>1559</v>
      </c>
      <c r="B914" s="7">
        <v>46217</v>
      </c>
      <c r="C914" t="s">
        <v>543</v>
      </c>
      <c r="D914" t="s">
        <v>227</v>
      </c>
      <c r="E914" t="s">
        <v>18</v>
      </c>
      <c r="F914" t="s">
        <v>43</v>
      </c>
      <c r="G914" t="s">
        <v>87</v>
      </c>
      <c r="H914" t="s">
        <v>21</v>
      </c>
      <c r="I914">
        <v>2</v>
      </c>
      <c r="J914" s="5">
        <v>1899</v>
      </c>
      <c r="K914" s="2">
        <v>0.05</v>
      </c>
      <c r="L914" t="s">
        <v>46</v>
      </c>
      <c r="M914" t="s">
        <v>23</v>
      </c>
      <c r="N914" s="1">
        <v>46223</v>
      </c>
      <c r="O914" s="1">
        <v>46219</v>
      </c>
      <c r="P914" s="5">
        <f>Orders[[#This Row],[Quantity]]*Orders[[#This Row],[Unit Price]]</f>
        <v>3798</v>
      </c>
      <c r="Q914" s="5">
        <f>Orders[[#This Row],[Gross Sales]]*Orders[[#This Row],[Discount %]]</f>
        <v>189.9</v>
      </c>
      <c r="R914" s="5">
        <f>Orders[[#This Row],[Gross Sales]]-Orders[[#This Row],[Discount Amount]]</f>
        <v>3608.1</v>
      </c>
      <c r="S914">
        <f>IF(Orders[[#This Row],[Actual Delivery Date]]="","",Orders[[#This Row],[Actual Delivery Date]]-Orders[[#This Row],[Order Date]])</f>
        <v>2</v>
      </c>
      <c r="T914" t="str">
        <f>IF(Orders[[#This Row],[Actual Delivery Date]]="","Pending",IF(Orders[[#This Row],[Actual Delivery Date]]&lt;=Orders[[#This Row],[Expected Delivery Date]],"On Time","Late"))</f>
        <v>On Time</v>
      </c>
      <c r="U914" t="str">
        <f>TEXT(Orders[[#This Row],[Order Date]],"mmm")</f>
        <v>Jul</v>
      </c>
      <c r="V914" s="8">
        <f>DATE(YEAR(Orders[[#This Row],[Order Date]]),MONTH(Orders[[#This Row],[Order Date]]),1)</f>
        <v>46204</v>
      </c>
      <c r="W914" s="5">
        <f>IF(Orders[[#This Row],[Order Status]]="Cancelled",Orders[[#This Row],[Net Sales]],0)</f>
        <v>0</v>
      </c>
    </row>
    <row r="915" spans="1:23" x14ac:dyDescent="0.3">
      <c r="A915" t="s">
        <v>1560</v>
      </c>
      <c r="B915" s="7">
        <v>46329</v>
      </c>
      <c r="C915" t="s">
        <v>391</v>
      </c>
      <c r="D915" t="s">
        <v>481</v>
      </c>
      <c r="E915" t="s">
        <v>35</v>
      </c>
      <c r="F915" t="s">
        <v>63</v>
      </c>
      <c r="G915" t="s">
        <v>57</v>
      </c>
      <c r="H915" t="s">
        <v>58</v>
      </c>
      <c r="I915">
        <v>1</v>
      </c>
      <c r="J915" s="5">
        <v>499</v>
      </c>
      <c r="K915" s="2">
        <v>0.15</v>
      </c>
      <c r="L915" t="s">
        <v>46</v>
      </c>
      <c r="M915" t="s">
        <v>23</v>
      </c>
      <c r="N915" s="1">
        <v>46332</v>
      </c>
      <c r="O915" s="1">
        <v>46331</v>
      </c>
      <c r="P915" s="5">
        <f>Orders[[#This Row],[Quantity]]*Orders[[#This Row],[Unit Price]]</f>
        <v>499</v>
      </c>
      <c r="Q915" s="5">
        <f>Orders[[#This Row],[Gross Sales]]*Orders[[#This Row],[Discount %]]</f>
        <v>74.849999999999994</v>
      </c>
      <c r="R915" s="5">
        <f>Orders[[#This Row],[Gross Sales]]-Orders[[#This Row],[Discount Amount]]</f>
        <v>424.15</v>
      </c>
      <c r="S915">
        <f>IF(Orders[[#This Row],[Actual Delivery Date]]="","",Orders[[#This Row],[Actual Delivery Date]]-Orders[[#This Row],[Order Date]])</f>
        <v>2</v>
      </c>
      <c r="T915" t="str">
        <f>IF(Orders[[#This Row],[Actual Delivery Date]]="","Pending",IF(Orders[[#This Row],[Actual Delivery Date]]&lt;=Orders[[#This Row],[Expected Delivery Date]],"On Time","Late"))</f>
        <v>On Time</v>
      </c>
      <c r="U915" t="str">
        <f>TEXT(Orders[[#This Row],[Order Date]],"mmm")</f>
        <v>Nov</v>
      </c>
      <c r="V915" s="8">
        <f>DATE(YEAR(Orders[[#This Row],[Order Date]]),MONTH(Orders[[#This Row],[Order Date]]),1)</f>
        <v>46327</v>
      </c>
      <c r="W915" s="5">
        <f>IF(Orders[[#This Row],[Order Status]]="Cancelled",Orders[[#This Row],[Net Sales]],0)</f>
        <v>0</v>
      </c>
    </row>
    <row r="916" spans="1:23" x14ac:dyDescent="0.3">
      <c r="A916" t="s">
        <v>1561</v>
      </c>
      <c r="B916" s="7">
        <v>46113</v>
      </c>
      <c r="C916" t="s">
        <v>440</v>
      </c>
      <c r="D916" t="s">
        <v>901</v>
      </c>
      <c r="E916" t="s">
        <v>35</v>
      </c>
      <c r="F916" t="s">
        <v>68</v>
      </c>
      <c r="G916" t="s">
        <v>147</v>
      </c>
      <c r="H916" t="s">
        <v>58</v>
      </c>
      <c r="I916">
        <v>2</v>
      </c>
      <c r="J916" s="5">
        <v>399</v>
      </c>
      <c r="K916" s="2">
        <v>0.1</v>
      </c>
      <c r="L916" t="s">
        <v>39</v>
      </c>
      <c r="M916" t="s">
        <v>23</v>
      </c>
      <c r="N916" s="1">
        <v>46120</v>
      </c>
      <c r="O916" s="1">
        <v>46115</v>
      </c>
      <c r="P916" s="5">
        <f>Orders[[#This Row],[Quantity]]*Orders[[#This Row],[Unit Price]]</f>
        <v>798</v>
      </c>
      <c r="Q916" s="5">
        <f>Orders[[#This Row],[Gross Sales]]*Orders[[#This Row],[Discount %]]</f>
        <v>79.800000000000011</v>
      </c>
      <c r="R916" s="5">
        <f>Orders[[#This Row],[Gross Sales]]-Orders[[#This Row],[Discount Amount]]</f>
        <v>718.2</v>
      </c>
      <c r="S916">
        <f>IF(Orders[[#This Row],[Actual Delivery Date]]="","",Orders[[#This Row],[Actual Delivery Date]]-Orders[[#This Row],[Order Date]])</f>
        <v>2</v>
      </c>
      <c r="T916" t="str">
        <f>IF(Orders[[#This Row],[Actual Delivery Date]]="","Pending",IF(Orders[[#This Row],[Actual Delivery Date]]&lt;=Orders[[#This Row],[Expected Delivery Date]],"On Time","Late"))</f>
        <v>On Time</v>
      </c>
      <c r="U916" t="str">
        <f>TEXT(Orders[[#This Row],[Order Date]],"mmm")</f>
        <v>Apr</v>
      </c>
      <c r="V916" s="8">
        <f>DATE(YEAR(Orders[[#This Row],[Order Date]]),MONTH(Orders[[#This Row],[Order Date]]),1)</f>
        <v>46113</v>
      </c>
      <c r="W916" s="5">
        <f>IF(Orders[[#This Row],[Order Status]]="Cancelled",Orders[[#This Row],[Net Sales]],0)</f>
        <v>0</v>
      </c>
    </row>
    <row r="917" spans="1:23" x14ac:dyDescent="0.3">
      <c r="A917" t="s">
        <v>1562</v>
      </c>
      <c r="B917" s="7">
        <v>46160</v>
      </c>
      <c r="C917" t="s">
        <v>1160</v>
      </c>
      <c r="D917" t="s">
        <v>639</v>
      </c>
      <c r="E917" t="s">
        <v>79</v>
      </c>
      <c r="F917" t="s">
        <v>108</v>
      </c>
      <c r="G917" t="s">
        <v>153</v>
      </c>
      <c r="H917" t="s">
        <v>45</v>
      </c>
      <c r="I917">
        <v>2</v>
      </c>
      <c r="J917" s="5">
        <v>1999</v>
      </c>
      <c r="K917" s="2">
        <v>0.15</v>
      </c>
      <c r="L917" t="s">
        <v>39</v>
      </c>
      <c r="M917" t="s">
        <v>47</v>
      </c>
      <c r="N917" s="1">
        <v>46164</v>
      </c>
      <c r="O917" s="1"/>
      <c r="P917" s="5">
        <f>Orders[[#This Row],[Quantity]]*Orders[[#This Row],[Unit Price]]</f>
        <v>3998</v>
      </c>
      <c r="Q917" s="5">
        <f>Orders[[#This Row],[Gross Sales]]*Orders[[#This Row],[Discount %]]</f>
        <v>599.69999999999993</v>
      </c>
      <c r="R917" s="5">
        <f>Orders[[#This Row],[Gross Sales]]-Orders[[#This Row],[Discount Amount]]</f>
        <v>3398.3</v>
      </c>
      <c r="S917" t="str">
        <f>IF(Orders[[#This Row],[Actual Delivery Date]]="","",Orders[[#This Row],[Actual Delivery Date]]-Orders[[#This Row],[Order Date]])</f>
        <v/>
      </c>
      <c r="T917" t="str">
        <f>IF(Orders[[#This Row],[Actual Delivery Date]]="","Pending",IF(Orders[[#This Row],[Actual Delivery Date]]&lt;=Orders[[#This Row],[Expected Delivery Date]],"On Time","Late"))</f>
        <v>Pending</v>
      </c>
      <c r="U917" t="str">
        <f>TEXT(Orders[[#This Row],[Order Date]],"mmm")</f>
        <v>May</v>
      </c>
      <c r="V917" s="8">
        <f>DATE(YEAR(Orders[[#This Row],[Order Date]]),MONTH(Orders[[#This Row],[Order Date]]),1)</f>
        <v>46143</v>
      </c>
      <c r="W917" s="5">
        <f>IF(Orders[[#This Row],[Order Status]]="Cancelled",Orders[[#This Row],[Net Sales]],0)</f>
        <v>0</v>
      </c>
    </row>
    <row r="918" spans="1:23" x14ac:dyDescent="0.3">
      <c r="A918" t="s">
        <v>1563</v>
      </c>
      <c r="B918" s="7">
        <v>46227</v>
      </c>
      <c r="C918" t="s">
        <v>1043</v>
      </c>
      <c r="D918" t="s">
        <v>509</v>
      </c>
      <c r="E918" t="s">
        <v>79</v>
      </c>
      <c r="F918" t="s">
        <v>170</v>
      </c>
      <c r="G918" t="s">
        <v>57</v>
      </c>
      <c r="H918" t="s">
        <v>58</v>
      </c>
      <c r="I918">
        <v>1</v>
      </c>
      <c r="J918" s="5">
        <v>499</v>
      </c>
      <c r="K918" s="2">
        <v>0</v>
      </c>
      <c r="L918" t="s">
        <v>46</v>
      </c>
      <c r="M918" t="s">
        <v>23</v>
      </c>
      <c r="N918" s="1">
        <v>46234</v>
      </c>
      <c r="O918" s="1">
        <v>46233</v>
      </c>
      <c r="P918" s="5">
        <f>Orders[[#This Row],[Quantity]]*Orders[[#This Row],[Unit Price]]</f>
        <v>499</v>
      </c>
      <c r="Q918" s="5">
        <f>Orders[[#This Row],[Gross Sales]]*Orders[[#This Row],[Discount %]]</f>
        <v>0</v>
      </c>
      <c r="R918" s="5">
        <f>Orders[[#This Row],[Gross Sales]]-Orders[[#This Row],[Discount Amount]]</f>
        <v>499</v>
      </c>
      <c r="S918">
        <f>IF(Orders[[#This Row],[Actual Delivery Date]]="","",Orders[[#This Row],[Actual Delivery Date]]-Orders[[#This Row],[Order Date]])</f>
        <v>6</v>
      </c>
      <c r="T918" t="str">
        <f>IF(Orders[[#This Row],[Actual Delivery Date]]="","Pending",IF(Orders[[#This Row],[Actual Delivery Date]]&lt;=Orders[[#This Row],[Expected Delivery Date]],"On Time","Late"))</f>
        <v>On Time</v>
      </c>
      <c r="U918" t="str">
        <f>TEXT(Orders[[#This Row],[Order Date]],"mmm")</f>
        <v>Jul</v>
      </c>
      <c r="V918" s="8">
        <f>DATE(YEAR(Orders[[#This Row],[Order Date]]),MONTH(Orders[[#This Row],[Order Date]]),1)</f>
        <v>46204</v>
      </c>
      <c r="W918" s="5">
        <f>IF(Orders[[#This Row],[Order Status]]="Cancelled",Orders[[#This Row],[Net Sales]],0)</f>
        <v>0</v>
      </c>
    </row>
    <row r="919" spans="1:23" x14ac:dyDescent="0.3">
      <c r="A919" t="s">
        <v>1564</v>
      </c>
      <c r="B919" s="7">
        <v>46108</v>
      </c>
      <c r="C919" t="s">
        <v>430</v>
      </c>
      <c r="D919" t="s">
        <v>529</v>
      </c>
      <c r="E919" t="s">
        <v>79</v>
      </c>
      <c r="F919" t="s">
        <v>170</v>
      </c>
      <c r="G919" t="s">
        <v>69</v>
      </c>
      <c r="H919" t="s">
        <v>38</v>
      </c>
      <c r="I919">
        <v>2</v>
      </c>
      <c r="J919" s="5">
        <v>3499</v>
      </c>
      <c r="K919" s="2">
        <v>0</v>
      </c>
      <c r="L919" t="s">
        <v>22</v>
      </c>
      <c r="M919" t="s">
        <v>47</v>
      </c>
      <c r="N919" s="1">
        <v>46112</v>
      </c>
      <c r="O919" s="1"/>
      <c r="P919" s="5">
        <f>Orders[[#This Row],[Quantity]]*Orders[[#This Row],[Unit Price]]</f>
        <v>6998</v>
      </c>
      <c r="Q919" s="5">
        <f>Orders[[#This Row],[Gross Sales]]*Orders[[#This Row],[Discount %]]</f>
        <v>0</v>
      </c>
      <c r="R919" s="5">
        <f>Orders[[#This Row],[Gross Sales]]-Orders[[#This Row],[Discount Amount]]</f>
        <v>6998</v>
      </c>
      <c r="S919" t="str">
        <f>IF(Orders[[#This Row],[Actual Delivery Date]]="","",Orders[[#This Row],[Actual Delivery Date]]-Orders[[#This Row],[Order Date]])</f>
        <v/>
      </c>
      <c r="T919" t="str">
        <f>IF(Orders[[#This Row],[Actual Delivery Date]]="","Pending",IF(Orders[[#This Row],[Actual Delivery Date]]&lt;=Orders[[#This Row],[Expected Delivery Date]],"On Time","Late"))</f>
        <v>Pending</v>
      </c>
      <c r="U919" t="str">
        <f>TEXT(Orders[[#This Row],[Order Date]],"mmm")</f>
        <v>Mar</v>
      </c>
      <c r="V919" s="8">
        <f>DATE(YEAR(Orders[[#This Row],[Order Date]]),MONTH(Orders[[#This Row],[Order Date]]),1)</f>
        <v>46082</v>
      </c>
      <c r="W919" s="5">
        <f>IF(Orders[[#This Row],[Order Status]]="Cancelled",Orders[[#This Row],[Net Sales]],0)</f>
        <v>0</v>
      </c>
    </row>
    <row r="920" spans="1:23" x14ac:dyDescent="0.3">
      <c r="A920" t="s">
        <v>1565</v>
      </c>
      <c r="B920" s="7">
        <v>46383</v>
      </c>
      <c r="C920" t="s">
        <v>66</v>
      </c>
      <c r="D920" t="s">
        <v>34</v>
      </c>
      <c r="E920" t="s">
        <v>18</v>
      </c>
      <c r="F920" t="s">
        <v>19</v>
      </c>
      <c r="G920" t="s">
        <v>147</v>
      </c>
      <c r="H920" t="s">
        <v>58</v>
      </c>
      <c r="I920">
        <v>1</v>
      </c>
      <c r="J920" s="5">
        <v>399</v>
      </c>
      <c r="K920" s="2">
        <v>0.1</v>
      </c>
      <c r="L920" t="s">
        <v>22</v>
      </c>
      <c r="M920" t="s">
        <v>23</v>
      </c>
      <c r="N920" s="1">
        <v>46390</v>
      </c>
      <c r="O920" s="1">
        <v>46385</v>
      </c>
      <c r="P920" s="5">
        <f>Orders[[#This Row],[Quantity]]*Orders[[#This Row],[Unit Price]]</f>
        <v>399</v>
      </c>
      <c r="Q920" s="5">
        <f>Orders[[#This Row],[Gross Sales]]*Orders[[#This Row],[Discount %]]</f>
        <v>39.900000000000006</v>
      </c>
      <c r="R920" s="5">
        <f>Orders[[#This Row],[Gross Sales]]-Orders[[#This Row],[Discount Amount]]</f>
        <v>359.1</v>
      </c>
      <c r="S920">
        <f>IF(Orders[[#This Row],[Actual Delivery Date]]="","",Orders[[#This Row],[Actual Delivery Date]]-Orders[[#This Row],[Order Date]])</f>
        <v>2</v>
      </c>
      <c r="T920" t="str">
        <f>IF(Orders[[#This Row],[Actual Delivery Date]]="","Pending",IF(Orders[[#This Row],[Actual Delivery Date]]&lt;=Orders[[#This Row],[Expected Delivery Date]],"On Time","Late"))</f>
        <v>On Time</v>
      </c>
      <c r="U920" t="str">
        <f>TEXT(Orders[[#This Row],[Order Date]],"mmm")</f>
        <v>Dec</v>
      </c>
      <c r="V920" s="8">
        <f>DATE(YEAR(Orders[[#This Row],[Order Date]]),MONTH(Orders[[#This Row],[Order Date]]),1)</f>
        <v>46357</v>
      </c>
      <c r="W920" s="5">
        <f>IF(Orders[[#This Row],[Order Status]]="Cancelled",Orders[[#This Row],[Net Sales]],0)</f>
        <v>0</v>
      </c>
    </row>
    <row r="921" spans="1:23" x14ac:dyDescent="0.3">
      <c r="A921" t="s">
        <v>1566</v>
      </c>
      <c r="B921" s="7">
        <v>46140</v>
      </c>
      <c r="C921" t="s">
        <v>611</v>
      </c>
      <c r="D921" t="s">
        <v>835</v>
      </c>
      <c r="E921" t="s">
        <v>27</v>
      </c>
      <c r="F921" t="s">
        <v>56</v>
      </c>
      <c r="G921" t="s">
        <v>100</v>
      </c>
      <c r="H921" t="s">
        <v>30</v>
      </c>
      <c r="I921">
        <v>1</v>
      </c>
      <c r="J921" s="5">
        <v>2499</v>
      </c>
      <c r="K921" s="2">
        <v>0.05</v>
      </c>
      <c r="L921" t="s">
        <v>46</v>
      </c>
      <c r="M921" t="s">
        <v>23</v>
      </c>
      <c r="N921" s="1">
        <v>46145</v>
      </c>
      <c r="O921" s="1">
        <v>46142</v>
      </c>
      <c r="P921" s="5">
        <f>Orders[[#This Row],[Quantity]]*Orders[[#This Row],[Unit Price]]</f>
        <v>2499</v>
      </c>
      <c r="Q921" s="5">
        <f>Orders[[#This Row],[Gross Sales]]*Orders[[#This Row],[Discount %]]</f>
        <v>124.95</v>
      </c>
      <c r="R921" s="5">
        <f>Orders[[#This Row],[Gross Sales]]-Orders[[#This Row],[Discount Amount]]</f>
        <v>2374.0500000000002</v>
      </c>
      <c r="S921">
        <f>IF(Orders[[#This Row],[Actual Delivery Date]]="","",Orders[[#This Row],[Actual Delivery Date]]-Orders[[#This Row],[Order Date]])</f>
        <v>2</v>
      </c>
      <c r="T921" t="str">
        <f>IF(Orders[[#This Row],[Actual Delivery Date]]="","Pending",IF(Orders[[#This Row],[Actual Delivery Date]]&lt;=Orders[[#This Row],[Expected Delivery Date]],"On Time","Late"))</f>
        <v>On Time</v>
      </c>
      <c r="U921" t="str">
        <f>TEXT(Orders[[#This Row],[Order Date]],"mmm")</f>
        <v>Apr</v>
      </c>
      <c r="V921" s="8">
        <f>DATE(YEAR(Orders[[#This Row],[Order Date]]),MONTH(Orders[[#This Row],[Order Date]]),1)</f>
        <v>46113</v>
      </c>
      <c r="W921" s="5">
        <f>IF(Orders[[#This Row],[Order Status]]="Cancelled",Orders[[#This Row],[Net Sales]],0)</f>
        <v>0</v>
      </c>
    </row>
    <row r="922" spans="1:23" x14ac:dyDescent="0.3">
      <c r="A922" t="s">
        <v>1567</v>
      </c>
      <c r="B922" s="7">
        <v>46271</v>
      </c>
      <c r="C922" t="s">
        <v>605</v>
      </c>
      <c r="D922" t="s">
        <v>650</v>
      </c>
      <c r="E922" t="s">
        <v>18</v>
      </c>
      <c r="F922" t="s">
        <v>19</v>
      </c>
      <c r="G922" t="s">
        <v>100</v>
      </c>
      <c r="H922" t="s">
        <v>30</v>
      </c>
      <c r="I922">
        <v>1</v>
      </c>
      <c r="J922" s="5">
        <v>2499</v>
      </c>
      <c r="K922" s="2">
        <v>0.1</v>
      </c>
      <c r="L922" t="s">
        <v>46</v>
      </c>
      <c r="M922" t="s">
        <v>23</v>
      </c>
      <c r="N922" s="1">
        <v>46274</v>
      </c>
      <c r="O922" s="1">
        <v>46274</v>
      </c>
      <c r="P922" s="5">
        <f>Orders[[#This Row],[Quantity]]*Orders[[#This Row],[Unit Price]]</f>
        <v>2499</v>
      </c>
      <c r="Q922" s="5">
        <f>Orders[[#This Row],[Gross Sales]]*Orders[[#This Row],[Discount %]]</f>
        <v>249.9</v>
      </c>
      <c r="R922" s="5">
        <f>Orders[[#This Row],[Gross Sales]]-Orders[[#This Row],[Discount Amount]]</f>
        <v>2249.1</v>
      </c>
      <c r="S922">
        <f>IF(Orders[[#This Row],[Actual Delivery Date]]="","",Orders[[#This Row],[Actual Delivery Date]]-Orders[[#This Row],[Order Date]])</f>
        <v>3</v>
      </c>
      <c r="T922" t="str">
        <f>IF(Orders[[#This Row],[Actual Delivery Date]]="","Pending",IF(Orders[[#This Row],[Actual Delivery Date]]&lt;=Orders[[#This Row],[Expected Delivery Date]],"On Time","Late"))</f>
        <v>On Time</v>
      </c>
      <c r="U922" t="str">
        <f>TEXT(Orders[[#This Row],[Order Date]],"mmm")</f>
        <v>Sep</v>
      </c>
      <c r="V922" s="8">
        <f>DATE(YEAR(Orders[[#This Row],[Order Date]]),MONTH(Orders[[#This Row],[Order Date]]),1)</f>
        <v>46266</v>
      </c>
      <c r="W922" s="5">
        <f>IF(Orders[[#This Row],[Order Status]]="Cancelled",Orders[[#This Row],[Net Sales]],0)</f>
        <v>0</v>
      </c>
    </row>
    <row r="923" spans="1:23" x14ac:dyDescent="0.3">
      <c r="A923" t="s">
        <v>1568</v>
      </c>
      <c r="B923" s="7">
        <v>46090</v>
      </c>
      <c r="C923" t="s">
        <v>1569</v>
      </c>
      <c r="D923" t="s">
        <v>837</v>
      </c>
      <c r="E923" t="s">
        <v>35</v>
      </c>
      <c r="F923" t="s">
        <v>135</v>
      </c>
      <c r="G923" t="s">
        <v>57</v>
      </c>
      <c r="H923" t="s">
        <v>58</v>
      </c>
      <c r="I923">
        <v>3</v>
      </c>
      <c r="J923" s="5">
        <v>499</v>
      </c>
      <c r="K923" s="2">
        <v>0.1</v>
      </c>
      <c r="L923" t="s">
        <v>39</v>
      </c>
      <c r="M923" t="s">
        <v>23</v>
      </c>
      <c r="N923" s="1">
        <v>46092</v>
      </c>
      <c r="O923" s="1">
        <v>46092</v>
      </c>
      <c r="P923" s="5">
        <f>Orders[[#This Row],[Quantity]]*Orders[[#This Row],[Unit Price]]</f>
        <v>1497</v>
      </c>
      <c r="Q923" s="5">
        <f>Orders[[#This Row],[Gross Sales]]*Orders[[#This Row],[Discount %]]</f>
        <v>149.70000000000002</v>
      </c>
      <c r="R923" s="5">
        <f>Orders[[#This Row],[Gross Sales]]-Orders[[#This Row],[Discount Amount]]</f>
        <v>1347.3</v>
      </c>
      <c r="S923">
        <f>IF(Orders[[#This Row],[Actual Delivery Date]]="","",Orders[[#This Row],[Actual Delivery Date]]-Orders[[#This Row],[Order Date]])</f>
        <v>2</v>
      </c>
      <c r="T923" t="str">
        <f>IF(Orders[[#This Row],[Actual Delivery Date]]="","Pending",IF(Orders[[#This Row],[Actual Delivery Date]]&lt;=Orders[[#This Row],[Expected Delivery Date]],"On Time","Late"))</f>
        <v>On Time</v>
      </c>
      <c r="U923" t="str">
        <f>TEXT(Orders[[#This Row],[Order Date]],"mmm")</f>
        <v>Mar</v>
      </c>
      <c r="V923" s="8">
        <f>DATE(YEAR(Orders[[#This Row],[Order Date]]),MONTH(Orders[[#This Row],[Order Date]]),1)</f>
        <v>46082</v>
      </c>
      <c r="W923" s="5">
        <f>IF(Orders[[#This Row],[Order Status]]="Cancelled",Orders[[#This Row],[Net Sales]],0)</f>
        <v>0</v>
      </c>
    </row>
    <row r="924" spans="1:23" x14ac:dyDescent="0.3">
      <c r="A924" t="s">
        <v>1570</v>
      </c>
      <c r="B924" s="7">
        <v>46122</v>
      </c>
      <c r="C924" t="s">
        <v>706</v>
      </c>
      <c r="D924" t="s">
        <v>392</v>
      </c>
      <c r="E924" t="s">
        <v>27</v>
      </c>
      <c r="F924" t="s">
        <v>28</v>
      </c>
      <c r="G924" t="s">
        <v>100</v>
      </c>
      <c r="H924" t="s">
        <v>30</v>
      </c>
      <c r="I924">
        <v>3</v>
      </c>
      <c r="J924" s="5">
        <v>2499</v>
      </c>
      <c r="K924" s="2">
        <v>0.1</v>
      </c>
      <c r="L924" t="s">
        <v>46</v>
      </c>
      <c r="M924" t="s">
        <v>23</v>
      </c>
      <c r="N924" s="1">
        <v>46128</v>
      </c>
      <c r="O924" s="1">
        <v>46125</v>
      </c>
      <c r="P924" s="5">
        <f>Orders[[#This Row],[Quantity]]*Orders[[#This Row],[Unit Price]]</f>
        <v>7497</v>
      </c>
      <c r="Q924" s="5">
        <f>Orders[[#This Row],[Gross Sales]]*Orders[[#This Row],[Discount %]]</f>
        <v>749.7</v>
      </c>
      <c r="R924" s="5">
        <f>Orders[[#This Row],[Gross Sales]]-Orders[[#This Row],[Discount Amount]]</f>
        <v>6747.3</v>
      </c>
      <c r="S924">
        <f>IF(Orders[[#This Row],[Actual Delivery Date]]="","",Orders[[#This Row],[Actual Delivery Date]]-Orders[[#This Row],[Order Date]])</f>
        <v>3</v>
      </c>
      <c r="T924" t="str">
        <f>IF(Orders[[#This Row],[Actual Delivery Date]]="","Pending",IF(Orders[[#This Row],[Actual Delivery Date]]&lt;=Orders[[#This Row],[Expected Delivery Date]],"On Time","Late"))</f>
        <v>On Time</v>
      </c>
      <c r="U924" t="str">
        <f>TEXT(Orders[[#This Row],[Order Date]],"mmm")</f>
        <v>Apr</v>
      </c>
      <c r="V924" s="8">
        <f>DATE(YEAR(Orders[[#This Row],[Order Date]]),MONTH(Orders[[#This Row],[Order Date]]),1)</f>
        <v>46113</v>
      </c>
      <c r="W924" s="5">
        <f>IF(Orders[[#This Row],[Order Status]]="Cancelled",Orders[[#This Row],[Net Sales]],0)</f>
        <v>0</v>
      </c>
    </row>
    <row r="925" spans="1:23" x14ac:dyDescent="0.3">
      <c r="A925" t="s">
        <v>1571</v>
      </c>
      <c r="B925" s="7">
        <v>46264</v>
      </c>
      <c r="C925" t="s">
        <v>987</v>
      </c>
      <c r="D925" t="s">
        <v>907</v>
      </c>
      <c r="E925" t="s">
        <v>27</v>
      </c>
      <c r="F925" t="s">
        <v>28</v>
      </c>
      <c r="G925" t="s">
        <v>87</v>
      </c>
      <c r="H925" t="s">
        <v>21</v>
      </c>
      <c r="I925">
        <v>1</v>
      </c>
      <c r="J925" s="5">
        <v>1899</v>
      </c>
      <c r="K925" s="2">
        <v>0.15</v>
      </c>
      <c r="L925" t="s">
        <v>39</v>
      </c>
      <c r="M925" t="s">
        <v>23</v>
      </c>
      <c r="N925" s="1">
        <v>46269</v>
      </c>
      <c r="O925" s="1">
        <v>46268</v>
      </c>
      <c r="P925" s="5">
        <f>Orders[[#This Row],[Quantity]]*Orders[[#This Row],[Unit Price]]</f>
        <v>1899</v>
      </c>
      <c r="Q925" s="5">
        <f>Orders[[#This Row],[Gross Sales]]*Orders[[#This Row],[Discount %]]</f>
        <v>284.84999999999997</v>
      </c>
      <c r="R925" s="5">
        <f>Orders[[#This Row],[Gross Sales]]-Orders[[#This Row],[Discount Amount]]</f>
        <v>1614.15</v>
      </c>
      <c r="S925">
        <f>IF(Orders[[#This Row],[Actual Delivery Date]]="","",Orders[[#This Row],[Actual Delivery Date]]-Orders[[#This Row],[Order Date]])</f>
        <v>4</v>
      </c>
      <c r="T925" t="str">
        <f>IF(Orders[[#This Row],[Actual Delivery Date]]="","Pending",IF(Orders[[#This Row],[Actual Delivery Date]]&lt;=Orders[[#This Row],[Expected Delivery Date]],"On Time","Late"))</f>
        <v>On Time</v>
      </c>
      <c r="U925" t="str">
        <f>TEXT(Orders[[#This Row],[Order Date]],"mmm")</f>
        <v>Aug</v>
      </c>
      <c r="V925" s="8">
        <f>DATE(YEAR(Orders[[#This Row],[Order Date]]),MONTH(Orders[[#This Row],[Order Date]]),1)</f>
        <v>46235</v>
      </c>
      <c r="W925" s="5">
        <f>IF(Orders[[#This Row],[Order Status]]="Cancelled",Orders[[#This Row],[Net Sales]],0)</f>
        <v>0</v>
      </c>
    </row>
    <row r="926" spans="1:23" x14ac:dyDescent="0.3">
      <c r="A926" t="s">
        <v>1572</v>
      </c>
      <c r="B926" s="7">
        <v>46224</v>
      </c>
      <c r="C926" t="s">
        <v>806</v>
      </c>
      <c r="D926" t="s">
        <v>227</v>
      </c>
      <c r="E926" t="s">
        <v>27</v>
      </c>
      <c r="F926" t="s">
        <v>74</v>
      </c>
      <c r="G926" t="s">
        <v>160</v>
      </c>
      <c r="H926" t="s">
        <v>45</v>
      </c>
      <c r="I926">
        <v>4</v>
      </c>
      <c r="J926" s="5">
        <v>1499</v>
      </c>
      <c r="K926" s="2">
        <v>0.2</v>
      </c>
      <c r="L926" t="s">
        <v>39</v>
      </c>
      <c r="M926" t="s">
        <v>23</v>
      </c>
      <c r="N926" s="1">
        <v>46227</v>
      </c>
      <c r="O926" s="1">
        <v>46225</v>
      </c>
      <c r="P926" s="5">
        <f>Orders[[#This Row],[Quantity]]*Orders[[#This Row],[Unit Price]]</f>
        <v>5996</v>
      </c>
      <c r="Q926" s="5">
        <f>Orders[[#This Row],[Gross Sales]]*Orders[[#This Row],[Discount %]]</f>
        <v>1199.2</v>
      </c>
      <c r="R926" s="5">
        <f>Orders[[#This Row],[Gross Sales]]-Orders[[#This Row],[Discount Amount]]</f>
        <v>4796.8</v>
      </c>
      <c r="S926">
        <f>IF(Orders[[#This Row],[Actual Delivery Date]]="","",Orders[[#This Row],[Actual Delivery Date]]-Orders[[#This Row],[Order Date]])</f>
        <v>1</v>
      </c>
      <c r="T926" t="str">
        <f>IF(Orders[[#This Row],[Actual Delivery Date]]="","Pending",IF(Orders[[#This Row],[Actual Delivery Date]]&lt;=Orders[[#This Row],[Expected Delivery Date]],"On Time","Late"))</f>
        <v>On Time</v>
      </c>
      <c r="U926" t="str">
        <f>TEXT(Orders[[#This Row],[Order Date]],"mmm")</f>
        <v>Jul</v>
      </c>
      <c r="V926" s="8">
        <f>DATE(YEAR(Orders[[#This Row],[Order Date]]),MONTH(Orders[[#This Row],[Order Date]]),1)</f>
        <v>46204</v>
      </c>
      <c r="W926" s="5">
        <f>IF(Orders[[#This Row],[Order Status]]="Cancelled",Orders[[#This Row],[Net Sales]],0)</f>
        <v>0</v>
      </c>
    </row>
    <row r="927" spans="1:23" x14ac:dyDescent="0.3">
      <c r="A927" t="s">
        <v>1573</v>
      </c>
      <c r="B927" s="7">
        <v>46078</v>
      </c>
      <c r="C927" t="s">
        <v>329</v>
      </c>
      <c r="D927" t="s">
        <v>352</v>
      </c>
      <c r="E927" t="s">
        <v>79</v>
      </c>
      <c r="F927" t="s">
        <v>80</v>
      </c>
      <c r="G927" t="s">
        <v>228</v>
      </c>
      <c r="H927" t="s">
        <v>58</v>
      </c>
      <c r="I927">
        <v>2</v>
      </c>
      <c r="J927" s="5">
        <v>1499</v>
      </c>
      <c r="K927" s="2">
        <v>0.1</v>
      </c>
      <c r="L927" t="s">
        <v>31</v>
      </c>
      <c r="M927" t="s">
        <v>82</v>
      </c>
      <c r="N927" s="1">
        <v>46085</v>
      </c>
      <c r="O927" s="1">
        <v>46086</v>
      </c>
      <c r="P927" s="5">
        <f>Orders[[#This Row],[Quantity]]*Orders[[#This Row],[Unit Price]]</f>
        <v>2998</v>
      </c>
      <c r="Q927" s="5">
        <f>Orders[[#This Row],[Gross Sales]]*Orders[[#This Row],[Discount %]]</f>
        <v>299.8</v>
      </c>
      <c r="R927" s="5">
        <f>Orders[[#This Row],[Gross Sales]]-Orders[[#This Row],[Discount Amount]]</f>
        <v>2698.2</v>
      </c>
      <c r="S927">
        <f>IF(Orders[[#This Row],[Actual Delivery Date]]="","",Orders[[#This Row],[Actual Delivery Date]]-Orders[[#This Row],[Order Date]])</f>
        <v>8</v>
      </c>
      <c r="T927" t="str">
        <f>IF(Orders[[#This Row],[Actual Delivery Date]]="","Pending",IF(Orders[[#This Row],[Actual Delivery Date]]&lt;=Orders[[#This Row],[Expected Delivery Date]],"On Time","Late"))</f>
        <v>Late</v>
      </c>
      <c r="U927" t="str">
        <f>TEXT(Orders[[#This Row],[Order Date]],"mmm")</f>
        <v>Feb</v>
      </c>
      <c r="V927" s="8">
        <f>DATE(YEAR(Orders[[#This Row],[Order Date]]),MONTH(Orders[[#This Row],[Order Date]]),1)</f>
        <v>46054</v>
      </c>
      <c r="W927" s="5">
        <f>IF(Orders[[#This Row],[Order Status]]="Cancelled",Orders[[#This Row],[Net Sales]],0)</f>
        <v>0</v>
      </c>
    </row>
    <row r="928" spans="1:23" x14ac:dyDescent="0.3">
      <c r="A928" t="s">
        <v>1574</v>
      </c>
      <c r="B928" s="7">
        <v>46065</v>
      </c>
      <c r="C928" t="s">
        <v>1450</v>
      </c>
      <c r="D928" t="s">
        <v>596</v>
      </c>
      <c r="E928" t="s">
        <v>27</v>
      </c>
      <c r="F928" t="s">
        <v>74</v>
      </c>
      <c r="G928" t="s">
        <v>29</v>
      </c>
      <c r="H928" t="s">
        <v>30</v>
      </c>
      <c r="I928">
        <v>1</v>
      </c>
      <c r="J928" s="5">
        <v>599</v>
      </c>
      <c r="K928" s="2">
        <v>0.2</v>
      </c>
      <c r="L928" t="s">
        <v>70</v>
      </c>
      <c r="M928" t="s">
        <v>47</v>
      </c>
      <c r="N928" s="1">
        <v>46072</v>
      </c>
      <c r="O928" s="1"/>
      <c r="P928" s="5">
        <f>Orders[[#This Row],[Quantity]]*Orders[[#This Row],[Unit Price]]</f>
        <v>599</v>
      </c>
      <c r="Q928" s="5">
        <f>Orders[[#This Row],[Gross Sales]]*Orders[[#This Row],[Discount %]]</f>
        <v>119.80000000000001</v>
      </c>
      <c r="R928" s="5">
        <f>Orders[[#This Row],[Gross Sales]]-Orders[[#This Row],[Discount Amount]]</f>
        <v>479.2</v>
      </c>
      <c r="S928" t="str">
        <f>IF(Orders[[#This Row],[Actual Delivery Date]]="","",Orders[[#This Row],[Actual Delivery Date]]-Orders[[#This Row],[Order Date]])</f>
        <v/>
      </c>
      <c r="T928" t="str">
        <f>IF(Orders[[#This Row],[Actual Delivery Date]]="","Pending",IF(Orders[[#This Row],[Actual Delivery Date]]&lt;=Orders[[#This Row],[Expected Delivery Date]],"On Time","Late"))</f>
        <v>Pending</v>
      </c>
      <c r="U928" t="str">
        <f>TEXT(Orders[[#This Row],[Order Date]],"mmm")</f>
        <v>Feb</v>
      </c>
      <c r="V928" s="8">
        <f>DATE(YEAR(Orders[[#This Row],[Order Date]]),MONTH(Orders[[#This Row],[Order Date]]),1)</f>
        <v>46054</v>
      </c>
      <c r="W928" s="5">
        <f>IF(Orders[[#This Row],[Order Status]]="Cancelled",Orders[[#This Row],[Net Sales]],0)</f>
        <v>0</v>
      </c>
    </row>
    <row r="929" spans="1:23" x14ac:dyDescent="0.3">
      <c r="A929" t="s">
        <v>1575</v>
      </c>
      <c r="B929" s="7">
        <v>46182</v>
      </c>
      <c r="C929" t="s">
        <v>1158</v>
      </c>
      <c r="D929" t="s">
        <v>620</v>
      </c>
      <c r="E929" t="s">
        <v>18</v>
      </c>
      <c r="F929" t="s">
        <v>43</v>
      </c>
      <c r="G929" t="s">
        <v>218</v>
      </c>
      <c r="H929" t="s">
        <v>21</v>
      </c>
      <c r="I929">
        <v>2</v>
      </c>
      <c r="J929" s="5">
        <v>2999</v>
      </c>
      <c r="K929" s="2">
        <v>0.05</v>
      </c>
      <c r="L929" t="s">
        <v>39</v>
      </c>
      <c r="M929" t="s">
        <v>23</v>
      </c>
      <c r="N929" s="1">
        <v>46189</v>
      </c>
      <c r="O929" s="1">
        <v>46186</v>
      </c>
      <c r="P929" s="5">
        <f>Orders[[#This Row],[Quantity]]*Orders[[#This Row],[Unit Price]]</f>
        <v>5998</v>
      </c>
      <c r="Q929" s="5">
        <f>Orders[[#This Row],[Gross Sales]]*Orders[[#This Row],[Discount %]]</f>
        <v>299.90000000000003</v>
      </c>
      <c r="R929" s="5">
        <f>Orders[[#This Row],[Gross Sales]]-Orders[[#This Row],[Discount Amount]]</f>
        <v>5698.1</v>
      </c>
      <c r="S929">
        <f>IF(Orders[[#This Row],[Actual Delivery Date]]="","",Orders[[#This Row],[Actual Delivery Date]]-Orders[[#This Row],[Order Date]])</f>
        <v>4</v>
      </c>
      <c r="T929" t="str">
        <f>IF(Orders[[#This Row],[Actual Delivery Date]]="","Pending",IF(Orders[[#This Row],[Actual Delivery Date]]&lt;=Orders[[#This Row],[Expected Delivery Date]],"On Time","Late"))</f>
        <v>On Time</v>
      </c>
      <c r="U929" t="str">
        <f>TEXT(Orders[[#This Row],[Order Date]],"mmm")</f>
        <v>Jun</v>
      </c>
      <c r="V929" s="8">
        <f>DATE(YEAR(Orders[[#This Row],[Order Date]]),MONTH(Orders[[#This Row],[Order Date]]),1)</f>
        <v>46174</v>
      </c>
      <c r="W929" s="5">
        <f>IF(Orders[[#This Row],[Order Status]]="Cancelled",Orders[[#This Row],[Net Sales]],0)</f>
        <v>0</v>
      </c>
    </row>
    <row r="930" spans="1:23" x14ac:dyDescent="0.3">
      <c r="A930" t="s">
        <v>1576</v>
      </c>
      <c r="B930" s="7">
        <v>46183</v>
      </c>
      <c r="C930" t="s">
        <v>1063</v>
      </c>
      <c r="D930" t="s">
        <v>781</v>
      </c>
      <c r="E930" t="s">
        <v>27</v>
      </c>
      <c r="F930" t="s">
        <v>74</v>
      </c>
      <c r="G930" t="s">
        <v>100</v>
      </c>
      <c r="H930" t="s">
        <v>30</v>
      </c>
      <c r="I930">
        <v>4</v>
      </c>
      <c r="J930" s="5">
        <v>2499</v>
      </c>
      <c r="K930" s="2">
        <v>0.05</v>
      </c>
      <c r="L930" t="s">
        <v>46</v>
      </c>
      <c r="M930" t="s">
        <v>23</v>
      </c>
      <c r="N930" s="1">
        <v>46190</v>
      </c>
      <c r="O930" s="1">
        <v>46188</v>
      </c>
      <c r="P930" s="5">
        <f>Orders[[#This Row],[Quantity]]*Orders[[#This Row],[Unit Price]]</f>
        <v>9996</v>
      </c>
      <c r="Q930" s="5">
        <f>Orders[[#This Row],[Gross Sales]]*Orders[[#This Row],[Discount %]]</f>
        <v>499.8</v>
      </c>
      <c r="R930" s="5">
        <f>Orders[[#This Row],[Gross Sales]]-Orders[[#This Row],[Discount Amount]]</f>
        <v>9496.2000000000007</v>
      </c>
      <c r="S930">
        <f>IF(Orders[[#This Row],[Actual Delivery Date]]="","",Orders[[#This Row],[Actual Delivery Date]]-Orders[[#This Row],[Order Date]])</f>
        <v>5</v>
      </c>
      <c r="T930" t="str">
        <f>IF(Orders[[#This Row],[Actual Delivery Date]]="","Pending",IF(Orders[[#This Row],[Actual Delivery Date]]&lt;=Orders[[#This Row],[Expected Delivery Date]],"On Time","Late"))</f>
        <v>On Time</v>
      </c>
      <c r="U930" t="str">
        <f>TEXT(Orders[[#This Row],[Order Date]],"mmm")</f>
        <v>Jun</v>
      </c>
      <c r="V930" s="8">
        <f>DATE(YEAR(Orders[[#This Row],[Order Date]]),MONTH(Orders[[#This Row],[Order Date]]),1)</f>
        <v>46174</v>
      </c>
      <c r="W930" s="5">
        <f>IF(Orders[[#This Row],[Order Status]]="Cancelled",Orders[[#This Row],[Net Sales]],0)</f>
        <v>0</v>
      </c>
    </row>
    <row r="931" spans="1:23" x14ac:dyDescent="0.3">
      <c r="A931" t="s">
        <v>1577</v>
      </c>
      <c r="B931" s="7">
        <v>46029</v>
      </c>
      <c r="C931" t="s">
        <v>377</v>
      </c>
      <c r="D931" t="s">
        <v>246</v>
      </c>
      <c r="E931" t="s">
        <v>79</v>
      </c>
      <c r="F931" t="s">
        <v>86</v>
      </c>
      <c r="G931" t="s">
        <v>180</v>
      </c>
      <c r="H931" t="s">
        <v>58</v>
      </c>
      <c r="I931">
        <v>1</v>
      </c>
      <c r="J931" s="5">
        <v>599</v>
      </c>
      <c r="K931" s="2">
        <v>0</v>
      </c>
      <c r="L931" t="s">
        <v>31</v>
      </c>
      <c r="M931" t="s">
        <v>23</v>
      </c>
      <c r="N931" s="1">
        <v>46034</v>
      </c>
      <c r="O931" s="1">
        <v>46030</v>
      </c>
      <c r="P931" s="5">
        <f>Orders[[#This Row],[Quantity]]*Orders[[#This Row],[Unit Price]]</f>
        <v>599</v>
      </c>
      <c r="Q931" s="5">
        <f>Orders[[#This Row],[Gross Sales]]*Orders[[#This Row],[Discount %]]</f>
        <v>0</v>
      </c>
      <c r="R931" s="5">
        <f>Orders[[#This Row],[Gross Sales]]-Orders[[#This Row],[Discount Amount]]</f>
        <v>599</v>
      </c>
      <c r="S931">
        <f>IF(Orders[[#This Row],[Actual Delivery Date]]="","",Orders[[#This Row],[Actual Delivery Date]]-Orders[[#This Row],[Order Date]])</f>
        <v>1</v>
      </c>
      <c r="T931" t="str">
        <f>IF(Orders[[#This Row],[Actual Delivery Date]]="","Pending",IF(Orders[[#This Row],[Actual Delivery Date]]&lt;=Orders[[#This Row],[Expected Delivery Date]],"On Time","Late"))</f>
        <v>On Time</v>
      </c>
      <c r="U931" t="str">
        <f>TEXT(Orders[[#This Row],[Order Date]],"mmm")</f>
        <v>Jan</v>
      </c>
      <c r="V931" s="8">
        <f>DATE(YEAR(Orders[[#This Row],[Order Date]]),MONTH(Orders[[#This Row],[Order Date]]),1)</f>
        <v>46023</v>
      </c>
      <c r="W931" s="5">
        <f>IF(Orders[[#This Row],[Order Status]]="Cancelled",Orders[[#This Row],[Net Sales]],0)</f>
        <v>0</v>
      </c>
    </row>
    <row r="932" spans="1:23" x14ac:dyDescent="0.3">
      <c r="A932" t="s">
        <v>1578</v>
      </c>
      <c r="B932" s="7">
        <v>46094</v>
      </c>
      <c r="C932" t="s">
        <v>1188</v>
      </c>
      <c r="D932" t="s">
        <v>654</v>
      </c>
      <c r="E932" t="s">
        <v>79</v>
      </c>
      <c r="F932" t="s">
        <v>108</v>
      </c>
      <c r="G932" t="s">
        <v>100</v>
      </c>
      <c r="H932" t="s">
        <v>30</v>
      </c>
      <c r="I932">
        <v>2</v>
      </c>
      <c r="J932" s="5">
        <v>2499</v>
      </c>
      <c r="K932" s="2">
        <v>0.2</v>
      </c>
      <c r="L932" t="s">
        <v>70</v>
      </c>
      <c r="M932" t="s">
        <v>23</v>
      </c>
      <c r="N932" s="1">
        <v>46096</v>
      </c>
      <c r="O932" s="1">
        <v>46096</v>
      </c>
      <c r="P932" s="5">
        <f>Orders[[#This Row],[Quantity]]*Orders[[#This Row],[Unit Price]]</f>
        <v>4998</v>
      </c>
      <c r="Q932" s="5">
        <f>Orders[[#This Row],[Gross Sales]]*Orders[[#This Row],[Discount %]]</f>
        <v>999.6</v>
      </c>
      <c r="R932" s="5">
        <f>Orders[[#This Row],[Gross Sales]]-Orders[[#This Row],[Discount Amount]]</f>
        <v>3998.4</v>
      </c>
      <c r="S932">
        <f>IF(Orders[[#This Row],[Actual Delivery Date]]="","",Orders[[#This Row],[Actual Delivery Date]]-Orders[[#This Row],[Order Date]])</f>
        <v>2</v>
      </c>
      <c r="T932" t="str">
        <f>IF(Orders[[#This Row],[Actual Delivery Date]]="","Pending",IF(Orders[[#This Row],[Actual Delivery Date]]&lt;=Orders[[#This Row],[Expected Delivery Date]],"On Time","Late"))</f>
        <v>On Time</v>
      </c>
      <c r="U932" t="str">
        <f>TEXT(Orders[[#This Row],[Order Date]],"mmm")</f>
        <v>Mar</v>
      </c>
      <c r="V932" s="8">
        <f>DATE(YEAR(Orders[[#This Row],[Order Date]]),MONTH(Orders[[#This Row],[Order Date]]),1)</f>
        <v>46082</v>
      </c>
      <c r="W932" s="5">
        <f>IF(Orders[[#This Row],[Order Status]]="Cancelled",Orders[[#This Row],[Net Sales]],0)</f>
        <v>0</v>
      </c>
    </row>
    <row r="933" spans="1:23" x14ac:dyDescent="0.3">
      <c r="A933" t="s">
        <v>1579</v>
      </c>
      <c r="B933" s="7">
        <v>46095</v>
      </c>
      <c r="C933" t="s">
        <v>268</v>
      </c>
      <c r="D933" t="s">
        <v>800</v>
      </c>
      <c r="E933" t="s">
        <v>35</v>
      </c>
      <c r="F933" t="s">
        <v>36</v>
      </c>
      <c r="G933" t="s">
        <v>29</v>
      </c>
      <c r="H933" t="s">
        <v>30</v>
      </c>
      <c r="I933">
        <v>1</v>
      </c>
      <c r="J933" s="5">
        <v>599</v>
      </c>
      <c r="K933" s="2">
        <v>0.05</v>
      </c>
      <c r="L933" t="s">
        <v>22</v>
      </c>
      <c r="M933" t="s">
        <v>59</v>
      </c>
      <c r="N933" s="1">
        <v>46099</v>
      </c>
      <c r="O933" s="1">
        <v>46098</v>
      </c>
      <c r="P933" s="5">
        <f>Orders[[#This Row],[Quantity]]*Orders[[#This Row],[Unit Price]]</f>
        <v>599</v>
      </c>
      <c r="Q933" s="5">
        <f>Orders[[#This Row],[Gross Sales]]*Orders[[#This Row],[Discount %]]</f>
        <v>29.950000000000003</v>
      </c>
      <c r="R933" s="5">
        <f>Orders[[#This Row],[Gross Sales]]-Orders[[#This Row],[Discount Amount]]</f>
        <v>569.04999999999995</v>
      </c>
      <c r="S933">
        <f>IF(Orders[[#This Row],[Actual Delivery Date]]="","",Orders[[#This Row],[Actual Delivery Date]]-Orders[[#This Row],[Order Date]])</f>
        <v>3</v>
      </c>
      <c r="T933" t="str">
        <f>IF(Orders[[#This Row],[Actual Delivery Date]]="","Pending",IF(Orders[[#This Row],[Actual Delivery Date]]&lt;=Orders[[#This Row],[Expected Delivery Date]],"On Time","Late"))</f>
        <v>On Time</v>
      </c>
      <c r="U933" t="str">
        <f>TEXT(Orders[[#This Row],[Order Date]],"mmm")</f>
        <v>Mar</v>
      </c>
      <c r="V933" s="8">
        <f>DATE(YEAR(Orders[[#This Row],[Order Date]]),MONTH(Orders[[#This Row],[Order Date]]),1)</f>
        <v>46082</v>
      </c>
      <c r="W933" s="5">
        <f>IF(Orders[[#This Row],[Order Status]]="Cancelled",Orders[[#This Row],[Net Sales]],0)</f>
        <v>569.04999999999995</v>
      </c>
    </row>
    <row r="934" spans="1:23" x14ac:dyDescent="0.3">
      <c r="A934" t="s">
        <v>1580</v>
      </c>
      <c r="B934" s="7">
        <v>46291</v>
      </c>
      <c r="C934" t="s">
        <v>931</v>
      </c>
      <c r="D934" t="s">
        <v>983</v>
      </c>
      <c r="E934" t="s">
        <v>27</v>
      </c>
      <c r="F934" t="s">
        <v>51</v>
      </c>
      <c r="G934" t="s">
        <v>37</v>
      </c>
      <c r="H934" t="s">
        <v>38</v>
      </c>
      <c r="I934">
        <v>2</v>
      </c>
      <c r="J934" s="5">
        <v>699</v>
      </c>
      <c r="K934" s="2">
        <v>0.15</v>
      </c>
      <c r="L934" t="s">
        <v>39</v>
      </c>
      <c r="M934" t="s">
        <v>23</v>
      </c>
      <c r="N934" s="1">
        <v>46296</v>
      </c>
      <c r="O934" s="1">
        <v>46295</v>
      </c>
      <c r="P934" s="5">
        <f>Orders[[#This Row],[Quantity]]*Orders[[#This Row],[Unit Price]]</f>
        <v>1398</v>
      </c>
      <c r="Q934" s="5">
        <f>Orders[[#This Row],[Gross Sales]]*Orders[[#This Row],[Discount %]]</f>
        <v>209.7</v>
      </c>
      <c r="R934" s="5">
        <f>Orders[[#This Row],[Gross Sales]]-Orders[[#This Row],[Discount Amount]]</f>
        <v>1188.3</v>
      </c>
      <c r="S934">
        <f>IF(Orders[[#This Row],[Actual Delivery Date]]="","",Orders[[#This Row],[Actual Delivery Date]]-Orders[[#This Row],[Order Date]])</f>
        <v>4</v>
      </c>
      <c r="T934" t="str">
        <f>IF(Orders[[#This Row],[Actual Delivery Date]]="","Pending",IF(Orders[[#This Row],[Actual Delivery Date]]&lt;=Orders[[#This Row],[Expected Delivery Date]],"On Time","Late"))</f>
        <v>On Time</v>
      </c>
      <c r="U934" t="str">
        <f>TEXT(Orders[[#This Row],[Order Date]],"mmm")</f>
        <v>Sep</v>
      </c>
      <c r="V934" s="8">
        <f>DATE(YEAR(Orders[[#This Row],[Order Date]]),MONTH(Orders[[#This Row],[Order Date]]),1)</f>
        <v>46266</v>
      </c>
      <c r="W934" s="5">
        <f>IF(Orders[[#This Row],[Order Status]]="Cancelled",Orders[[#This Row],[Net Sales]],0)</f>
        <v>0</v>
      </c>
    </row>
    <row r="935" spans="1:23" x14ac:dyDescent="0.3">
      <c r="A935" t="s">
        <v>1581</v>
      </c>
      <c r="B935" s="7">
        <v>46298</v>
      </c>
      <c r="C935" t="s">
        <v>675</v>
      </c>
      <c r="D935" t="s">
        <v>120</v>
      </c>
      <c r="E935" t="s">
        <v>35</v>
      </c>
      <c r="F935" t="s">
        <v>68</v>
      </c>
      <c r="G935" t="s">
        <v>104</v>
      </c>
      <c r="H935" t="s">
        <v>38</v>
      </c>
      <c r="I935">
        <v>2</v>
      </c>
      <c r="J935" s="5">
        <v>999</v>
      </c>
      <c r="K935" s="2">
        <v>0</v>
      </c>
      <c r="L935" t="s">
        <v>39</v>
      </c>
      <c r="M935" t="s">
        <v>47</v>
      </c>
      <c r="N935" s="1">
        <v>46303</v>
      </c>
      <c r="O935" s="1"/>
      <c r="P935" s="5">
        <f>Orders[[#This Row],[Quantity]]*Orders[[#This Row],[Unit Price]]</f>
        <v>1998</v>
      </c>
      <c r="Q935" s="5">
        <f>Orders[[#This Row],[Gross Sales]]*Orders[[#This Row],[Discount %]]</f>
        <v>0</v>
      </c>
      <c r="R935" s="5">
        <f>Orders[[#This Row],[Gross Sales]]-Orders[[#This Row],[Discount Amount]]</f>
        <v>1998</v>
      </c>
      <c r="S935" t="str">
        <f>IF(Orders[[#This Row],[Actual Delivery Date]]="","",Orders[[#This Row],[Actual Delivery Date]]-Orders[[#This Row],[Order Date]])</f>
        <v/>
      </c>
      <c r="T935" t="str">
        <f>IF(Orders[[#This Row],[Actual Delivery Date]]="","Pending",IF(Orders[[#This Row],[Actual Delivery Date]]&lt;=Orders[[#This Row],[Expected Delivery Date]],"On Time","Late"))</f>
        <v>Pending</v>
      </c>
      <c r="U935" t="str">
        <f>TEXT(Orders[[#This Row],[Order Date]],"mmm")</f>
        <v>Oct</v>
      </c>
      <c r="V935" s="8">
        <f>DATE(YEAR(Orders[[#This Row],[Order Date]]),MONTH(Orders[[#This Row],[Order Date]]),1)</f>
        <v>46296</v>
      </c>
      <c r="W935" s="5">
        <f>IF(Orders[[#This Row],[Order Status]]="Cancelled",Orders[[#This Row],[Net Sales]],0)</f>
        <v>0</v>
      </c>
    </row>
    <row r="936" spans="1:23" x14ac:dyDescent="0.3">
      <c r="A936" t="s">
        <v>1582</v>
      </c>
      <c r="B936" s="7">
        <v>46121</v>
      </c>
      <c r="C936" t="s">
        <v>327</v>
      </c>
      <c r="D936" t="s">
        <v>330</v>
      </c>
      <c r="E936" t="s">
        <v>35</v>
      </c>
      <c r="F936" t="s">
        <v>68</v>
      </c>
      <c r="G936" t="s">
        <v>64</v>
      </c>
      <c r="H936" t="s">
        <v>21</v>
      </c>
      <c r="I936">
        <v>1</v>
      </c>
      <c r="J936" s="5">
        <v>699</v>
      </c>
      <c r="K936" s="2">
        <v>0.15</v>
      </c>
      <c r="L936" t="s">
        <v>22</v>
      </c>
      <c r="M936" t="s">
        <v>59</v>
      </c>
      <c r="N936" s="1">
        <v>46125</v>
      </c>
      <c r="O936" s="1">
        <v>46125</v>
      </c>
      <c r="P936" s="5">
        <f>Orders[[#This Row],[Quantity]]*Orders[[#This Row],[Unit Price]]</f>
        <v>699</v>
      </c>
      <c r="Q936" s="5">
        <f>Orders[[#This Row],[Gross Sales]]*Orders[[#This Row],[Discount %]]</f>
        <v>104.85</v>
      </c>
      <c r="R936" s="5">
        <f>Orders[[#This Row],[Gross Sales]]-Orders[[#This Row],[Discount Amount]]</f>
        <v>594.15</v>
      </c>
      <c r="S936">
        <f>IF(Orders[[#This Row],[Actual Delivery Date]]="","",Orders[[#This Row],[Actual Delivery Date]]-Orders[[#This Row],[Order Date]])</f>
        <v>4</v>
      </c>
      <c r="T936" t="str">
        <f>IF(Orders[[#This Row],[Actual Delivery Date]]="","Pending",IF(Orders[[#This Row],[Actual Delivery Date]]&lt;=Orders[[#This Row],[Expected Delivery Date]],"On Time","Late"))</f>
        <v>On Time</v>
      </c>
      <c r="U936" t="str">
        <f>TEXT(Orders[[#This Row],[Order Date]],"mmm")</f>
        <v>Apr</v>
      </c>
      <c r="V936" s="8">
        <f>DATE(YEAR(Orders[[#This Row],[Order Date]]),MONTH(Orders[[#This Row],[Order Date]]),1)</f>
        <v>46113</v>
      </c>
      <c r="W936" s="5">
        <f>IF(Orders[[#This Row],[Order Status]]="Cancelled",Orders[[#This Row],[Net Sales]],0)</f>
        <v>594.15</v>
      </c>
    </row>
    <row r="937" spans="1:23" x14ac:dyDescent="0.3">
      <c r="A937" t="s">
        <v>1583</v>
      </c>
      <c r="B937" s="7">
        <v>46075</v>
      </c>
      <c r="C937" t="s">
        <v>722</v>
      </c>
      <c r="D937" t="s">
        <v>563</v>
      </c>
      <c r="E937" t="s">
        <v>27</v>
      </c>
      <c r="F937" t="s">
        <v>28</v>
      </c>
      <c r="G937" t="s">
        <v>29</v>
      </c>
      <c r="H937" t="s">
        <v>30</v>
      </c>
      <c r="I937">
        <v>2</v>
      </c>
      <c r="J937" s="5">
        <v>599</v>
      </c>
      <c r="K937" s="2">
        <v>0.1</v>
      </c>
      <c r="L937" t="s">
        <v>31</v>
      </c>
      <c r="M937" t="s">
        <v>23</v>
      </c>
      <c r="N937" s="1">
        <v>46081</v>
      </c>
      <c r="O937" s="1">
        <v>46080</v>
      </c>
      <c r="P937" s="5">
        <f>Orders[[#This Row],[Quantity]]*Orders[[#This Row],[Unit Price]]</f>
        <v>1198</v>
      </c>
      <c r="Q937" s="5">
        <f>Orders[[#This Row],[Gross Sales]]*Orders[[#This Row],[Discount %]]</f>
        <v>119.80000000000001</v>
      </c>
      <c r="R937" s="5">
        <f>Orders[[#This Row],[Gross Sales]]-Orders[[#This Row],[Discount Amount]]</f>
        <v>1078.2</v>
      </c>
      <c r="S937">
        <f>IF(Orders[[#This Row],[Actual Delivery Date]]="","",Orders[[#This Row],[Actual Delivery Date]]-Orders[[#This Row],[Order Date]])</f>
        <v>5</v>
      </c>
      <c r="T937" t="str">
        <f>IF(Orders[[#This Row],[Actual Delivery Date]]="","Pending",IF(Orders[[#This Row],[Actual Delivery Date]]&lt;=Orders[[#This Row],[Expected Delivery Date]],"On Time","Late"))</f>
        <v>On Time</v>
      </c>
      <c r="U937" t="str">
        <f>TEXT(Orders[[#This Row],[Order Date]],"mmm")</f>
        <v>Feb</v>
      </c>
      <c r="V937" s="8">
        <f>DATE(YEAR(Orders[[#This Row],[Order Date]]),MONTH(Orders[[#This Row],[Order Date]]),1)</f>
        <v>46054</v>
      </c>
      <c r="W937" s="5">
        <f>IF(Orders[[#This Row],[Order Status]]="Cancelled",Orders[[#This Row],[Net Sales]],0)</f>
        <v>0</v>
      </c>
    </row>
    <row r="938" spans="1:23" x14ac:dyDescent="0.3">
      <c r="A938" t="s">
        <v>1584</v>
      </c>
      <c r="B938" s="7">
        <v>46024</v>
      </c>
      <c r="C938" t="s">
        <v>684</v>
      </c>
      <c r="D938" t="s">
        <v>660</v>
      </c>
      <c r="E938" t="s">
        <v>35</v>
      </c>
      <c r="F938" t="s">
        <v>63</v>
      </c>
      <c r="G938" t="s">
        <v>37</v>
      </c>
      <c r="H938" t="s">
        <v>38</v>
      </c>
      <c r="I938">
        <v>3</v>
      </c>
      <c r="J938" s="5">
        <v>699</v>
      </c>
      <c r="K938" s="2">
        <v>0.05</v>
      </c>
      <c r="L938" t="s">
        <v>39</v>
      </c>
      <c r="M938" t="s">
        <v>82</v>
      </c>
      <c r="N938" s="1">
        <v>46030</v>
      </c>
      <c r="O938" s="1">
        <v>46026</v>
      </c>
      <c r="P938" s="5">
        <f>Orders[[#This Row],[Quantity]]*Orders[[#This Row],[Unit Price]]</f>
        <v>2097</v>
      </c>
      <c r="Q938" s="5">
        <f>Orders[[#This Row],[Gross Sales]]*Orders[[#This Row],[Discount %]]</f>
        <v>104.85000000000001</v>
      </c>
      <c r="R938" s="5">
        <f>Orders[[#This Row],[Gross Sales]]-Orders[[#This Row],[Discount Amount]]</f>
        <v>1992.15</v>
      </c>
      <c r="S938">
        <f>IF(Orders[[#This Row],[Actual Delivery Date]]="","",Orders[[#This Row],[Actual Delivery Date]]-Orders[[#This Row],[Order Date]])</f>
        <v>2</v>
      </c>
      <c r="T938" t="str">
        <f>IF(Orders[[#This Row],[Actual Delivery Date]]="","Pending",IF(Orders[[#This Row],[Actual Delivery Date]]&lt;=Orders[[#This Row],[Expected Delivery Date]],"On Time","Late"))</f>
        <v>On Time</v>
      </c>
      <c r="U938" t="str">
        <f>TEXT(Orders[[#This Row],[Order Date]],"mmm")</f>
        <v>Jan</v>
      </c>
      <c r="V938" s="8">
        <f>DATE(YEAR(Orders[[#This Row],[Order Date]]),MONTH(Orders[[#This Row],[Order Date]]),1)</f>
        <v>46023</v>
      </c>
      <c r="W938" s="5">
        <f>IF(Orders[[#This Row],[Order Status]]="Cancelled",Orders[[#This Row],[Net Sales]],0)</f>
        <v>0</v>
      </c>
    </row>
    <row r="939" spans="1:23" x14ac:dyDescent="0.3">
      <c r="A939" t="s">
        <v>1585</v>
      </c>
      <c r="B939" s="7">
        <v>46284</v>
      </c>
      <c r="C939" t="s">
        <v>502</v>
      </c>
      <c r="D939" t="s">
        <v>1414</v>
      </c>
      <c r="E939" t="s">
        <v>35</v>
      </c>
      <c r="F939" t="s">
        <v>135</v>
      </c>
      <c r="G939" t="s">
        <v>52</v>
      </c>
      <c r="H939" t="s">
        <v>45</v>
      </c>
      <c r="I939">
        <v>3</v>
      </c>
      <c r="J939" s="5">
        <v>1299</v>
      </c>
      <c r="K939" s="2">
        <v>0.15</v>
      </c>
      <c r="L939" t="s">
        <v>70</v>
      </c>
      <c r="M939" t="s">
        <v>23</v>
      </c>
      <c r="N939" s="1">
        <v>46288</v>
      </c>
      <c r="O939" s="1">
        <v>46285</v>
      </c>
      <c r="P939" s="5">
        <f>Orders[[#This Row],[Quantity]]*Orders[[#This Row],[Unit Price]]</f>
        <v>3897</v>
      </c>
      <c r="Q939" s="5">
        <f>Orders[[#This Row],[Gross Sales]]*Orders[[#This Row],[Discount %]]</f>
        <v>584.54999999999995</v>
      </c>
      <c r="R939" s="5">
        <f>Orders[[#This Row],[Gross Sales]]-Orders[[#This Row],[Discount Amount]]</f>
        <v>3312.45</v>
      </c>
      <c r="S939">
        <f>IF(Orders[[#This Row],[Actual Delivery Date]]="","",Orders[[#This Row],[Actual Delivery Date]]-Orders[[#This Row],[Order Date]])</f>
        <v>1</v>
      </c>
      <c r="T939" t="str">
        <f>IF(Orders[[#This Row],[Actual Delivery Date]]="","Pending",IF(Orders[[#This Row],[Actual Delivery Date]]&lt;=Orders[[#This Row],[Expected Delivery Date]],"On Time","Late"))</f>
        <v>On Time</v>
      </c>
      <c r="U939" t="str">
        <f>TEXT(Orders[[#This Row],[Order Date]],"mmm")</f>
        <v>Sep</v>
      </c>
      <c r="V939" s="8">
        <f>DATE(YEAR(Orders[[#This Row],[Order Date]]),MONTH(Orders[[#This Row],[Order Date]]),1)</f>
        <v>46266</v>
      </c>
      <c r="W939" s="5">
        <f>IF(Orders[[#This Row],[Order Status]]="Cancelled",Orders[[#This Row],[Net Sales]],0)</f>
        <v>0</v>
      </c>
    </row>
    <row r="940" spans="1:23" x14ac:dyDescent="0.3">
      <c r="A940" t="s">
        <v>1586</v>
      </c>
      <c r="B940" s="7">
        <v>46204</v>
      </c>
      <c r="C940" t="s">
        <v>374</v>
      </c>
      <c r="D940" t="s">
        <v>283</v>
      </c>
      <c r="E940" t="s">
        <v>79</v>
      </c>
      <c r="F940" t="s">
        <v>170</v>
      </c>
      <c r="G940" t="s">
        <v>57</v>
      </c>
      <c r="H940" t="s">
        <v>58</v>
      </c>
      <c r="I940">
        <v>1</v>
      </c>
      <c r="J940" s="5">
        <v>499</v>
      </c>
      <c r="K940" s="2">
        <v>0.2</v>
      </c>
      <c r="L940" t="s">
        <v>46</v>
      </c>
      <c r="M940" t="s">
        <v>47</v>
      </c>
      <c r="N940" s="1">
        <v>46206</v>
      </c>
      <c r="O940" s="1"/>
      <c r="P940" s="5">
        <f>Orders[[#This Row],[Quantity]]*Orders[[#This Row],[Unit Price]]</f>
        <v>499</v>
      </c>
      <c r="Q940" s="5">
        <f>Orders[[#This Row],[Gross Sales]]*Orders[[#This Row],[Discount %]]</f>
        <v>99.800000000000011</v>
      </c>
      <c r="R940" s="5">
        <f>Orders[[#This Row],[Gross Sales]]-Orders[[#This Row],[Discount Amount]]</f>
        <v>399.2</v>
      </c>
      <c r="S940" t="str">
        <f>IF(Orders[[#This Row],[Actual Delivery Date]]="","",Orders[[#This Row],[Actual Delivery Date]]-Orders[[#This Row],[Order Date]])</f>
        <v/>
      </c>
      <c r="T940" t="str">
        <f>IF(Orders[[#This Row],[Actual Delivery Date]]="","Pending",IF(Orders[[#This Row],[Actual Delivery Date]]&lt;=Orders[[#This Row],[Expected Delivery Date]],"On Time","Late"))</f>
        <v>Pending</v>
      </c>
      <c r="U940" t="str">
        <f>TEXT(Orders[[#This Row],[Order Date]],"mmm")</f>
        <v>Jul</v>
      </c>
      <c r="V940" s="8">
        <f>DATE(YEAR(Orders[[#This Row],[Order Date]]),MONTH(Orders[[#This Row],[Order Date]]),1)</f>
        <v>46204</v>
      </c>
      <c r="W940" s="5">
        <f>IF(Orders[[#This Row],[Order Status]]="Cancelled",Orders[[#This Row],[Net Sales]],0)</f>
        <v>0</v>
      </c>
    </row>
    <row r="941" spans="1:23" x14ac:dyDescent="0.3">
      <c r="A941" t="s">
        <v>1587</v>
      </c>
      <c r="B941" s="7">
        <v>46249</v>
      </c>
      <c r="C941" t="s">
        <v>924</v>
      </c>
      <c r="D941" t="s">
        <v>526</v>
      </c>
      <c r="E941" t="s">
        <v>35</v>
      </c>
      <c r="F941" t="s">
        <v>68</v>
      </c>
      <c r="G941" t="s">
        <v>228</v>
      </c>
      <c r="H941" t="s">
        <v>58</v>
      </c>
      <c r="I941">
        <v>2</v>
      </c>
      <c r="J941" s="5">
        <v>1499</v>
      </c>
      <c r="K941" s="2">
        <v>0.1</v>
      </c>
      <c r="L941" t="s">
        <v>39</v>
      </c>
      <c r="M941" t="s">
        <v>47</v>
      </c>
      <c r="N941" s="1">
        <v>46254</v>
      </c>
      <c r="O941" s="1"/>
      <c r="P941" s="5">
        <f>Orders[[#This Row],[Quantity]]*Orders[[#This Row],[Unit Price]]</f>
        <v>2998</v>
      </c>
      <c r="Q941" s="5">
        <f>Orders[[#This Row],[Gross Sales]]*Orders[[#This Row],[Discount %]]</f>
        <v>299.8</v>
      </c>
      <c r="R941" s="5">
        <f>Orders[[#This Row],[Gross Sales]]-Orders[[#This Row],[Discount Amount]]</f>
        <v>2698.2</v>
      </c>
      <c r="S941" t="str">
        <f>IF(Orders[[#This Row],[Actual Delivery Date]]="","",Orders[[#This Row],[Actual Delivery Date]]-Orders[[#This Row],[Order Date]])</f>
        <v/>
      </c>
      <c r="T941" t="str">
        <f>IF(Orders[[#This Row],[Actual Delivery Date]]="","Pending",IF(Orders[[#This Row],[Actual Delivery Date]]&lt;=Orders[[#This Row],[Expected Delivery Date]],"On Time","Late"))</f>
        <v>Pending</v>
      </c>
      <c r="U941" t="str">
        <f>TEXT(Orders[[#This Row],[Order Date]],"mmm")</f>
        <v>Aug</v>
      </c>
      <c r="V941" s="8">
        <f>DATE(YEAR(Orders[[#This Row],[Order Date]]),MONTH(Orders[[#This Row],[Order Date]]),1)</f>
        <v>46235</v>
      </c>
      <c r="W941" s="5">
        <f>IF(Orders[[#This Row],[Order Status]]="Cancelled",Orders[[#This Row],[Net Sales]],0)</f>
        <v>0</v>
      </c>
    </row>
    <row r="942" spans="1:23" x14ac:dyDescent="0.3">
      <c r="A942" t="s">
        <v>1588</v>
      </c>
      <c r="B942" s="7">
        <v>46240</v>
      </c>
      <c r="C942" t="s">
        <v>567</v>
      </c>
      <c r="D942" t="s">
        <v>111</v>
      </c>
      <c r="E942" t="s">
        <v>18</v>
      </c>
      <c r="F942" t="s">
        <v>121</v>
      </c>
      <c r="G942" t="s">
        <v>118</v>
      </c>
      <c r="H942" t="s">
        <v>58</v>
      </c>
      <c r="I942">
        <v>1</v>
      </c>
      <c r="J942" s="5">
        <v>749</v>
      </c>
      <c r="K942" s="2">
        <v>0.2</v>
      </c>
      <c r="L942" t="s">
        <v>31</v>
      </c>
      <c r="M942" t="s">
        <v>23</v>
      </c>
      <c r="N942" s="1">
        <v>46244</v>
      </c>
      <c r="O942" s="1">
        <v>46241</v>
      </c>
      <c r="P942" s="5">
        <f>Orders[[#This Row],[Quantity]]*Orders[[#This Row],[Unit Price]]</f>
        <v>749</v>
      </c>
      <c r="Q942" s="5">
        <f>Orders[[#This Row],[Gross Sales]]*Orders[[#This Row],[Discount %]]</f>
        <v>149.80000000000001</v>
      </c>
      <c r="R942" s="5">
        <f>Orders[[#This Row],[Gross Sales]]-Orders[[#This Row],[Discount Amount]]</f>
        <v>599.20000000000005</v>
      </c>
      <c r="S942">
        <f>IF(Orders[[#This Row],[Actual Delivery Date]]="","",Orders[[#This Row],[Actual Delivery Date]]-Orders[[#This Row],[Order Date]])</f>
        <v>1</v>
      </c>
      <c r="T942" t="str">
        <f>IF(Orders[[#This Row],[Actual Delivery Date]]="","Pending",IF(Orders[[#This Row],[Actual Delivery Date]]&lt;=Orders[[#This Row],[Expected Delivery Date]],"On Time","Late"))</f>
        <v>On Time</v>
      </c>
      <c r="U942" t="str">
        <f>TEXT(Orders[[#This Row],[Order Date]],"mmm")</f>
        <v>Aug</v>
      </c>
      <c r="V942" s="8">
        <f>DATE(YEAR(Orders[[#This Row],[Order Date]]),MONTH(Orders[[#This Row],[Order Date]]),1)</f>
        <v>46235</v>
      </c>
      <c r="W942" s="5">
        <f>IF(Orders[[#This Row],[Order Status]]="Cancelled",Orders[[#This Row],[Net Sales]],0)</f>
        <v>0</v>
      </c>
    </row>
    <row r="943" spans="1:23" x14ac:dyDescent="0.3">
      <c r="A943" t="s">
        <v>1589</v>
      </c>
      <c r="B943" s="7">
        <v>46181</v>
      </c>
      <c r="C943" t="s">
        <v>468</v>
      </c>
      <c r="D943" t="s">
        <v>650</v>
      </c>
      <c r="E943" t="s">
        <v>35</v>
      </c>
      <c r="F943" t="s">
        <v>68</v>
      </c>
      <c r="G943" t="s">
        <v>44</v>
      </c>
      <c r="H943" t="s">
        <v>45</v>
      </c>
      <c r="I943">
        <v>1</v>
      </c>
      <c r="J943" s="5">
        <v>1799</v>
      </c>
      <c r="K943" s="2">
        <v>0.1</v>
      </c>
      <c r="L943" t="s">
        <v>46</v>
      </c>
      <c r="M943" t="s">
        <v>47</v>
      </c>
      <c r="N943" s="1">
        <v>46183</v>
      </c>
      <c r="O943" s="1"/>
      <c r="P943" s="5">
        <f>Orders[[#This Row],[Quantity]]*Orders[[#This Row],[Unit Price]]</f>
        <v>1799</v>
      </c>
      <c r="Q943" s="5">
        <f>Orders[[#This Row],[Gross Sales]]*Orders[[#This Row],[Discount %]]</f>
        <v>179.9</v>
      </c>
      <c r="R943" s="5">
        <f>Orders[[#This Row],[Gross Sales]]-Orders[[#This Row],[Discount Amount]]</f>
        <v>1619.1</v>
      </c>
      <c r="S943" t="str">
        <f>IF(Orders[[#This Row],[Actual Delivery Date]]="","",Orders[[#This Row],[Actual Delivery Date]]-Orders[[#This Row],[Order Date]])</f>
        <v/>
      </c>
      <c r="T943" t="str">
        <f>IF(Orders[[#This Row],[Actual Delivery Date]]="","Pending",IF(Orders[[#This Row],[Actual Delivery Date]]&lt;=Orders[[#This Row],[Expected Delivery Date]],"On Time","Late"))</f>
        <v>Pending</v>
      </c>
      <c r="U943" t="str">
        <f>TEXT(Orders[[#This Row],[Order Date]],"mmm")</f>
        <v>Jun</v>
      </c>
      <c r="V943" s="8">
        <f>DATE(YEAR(Orders[[#This Row],[Order Date]]),MONTH(Orders[[#This Row],[Order Date]]),1)</f>
        <v>46174</v>
      </c>
      <c r="W943" s="5">
        <f>IF(Orders[[#This Row],[Order Status]]="Cancelled",Orders[[#This Row],[Net Sales]],0)</f>
        <v>0</v>
      </c>
    </row>
    <row r="944" spans="1:23" x14ac:dyDescent="0.3">
      <c r="A944" t="s">
        <v>1590</v>
      </c>
      <c r="B944" s="7">
        <v>46379</v>
      </c>
      <c r="C944" t="s">
        <v>268</v>
      </c>
      <c r="D944" t="s">
        <v>305</v>
      </c>
      <c r="E944" t="s">
        <v>35</v>
      </c>
      <c r="F944" t="s">
        <v>63</v>
      </c>
      <c r="G944" t="s">
        <v>147</v>
      </c>
      <c r="H944" t="s">
        <v>58</v>
      </c>
      <c r="I944">
        <v>2</v>
      </c>
      <c r="J944" s="5">
        <v>399</v>
      </c>
      <c r="K944" s="2">
        <v>0.1</v>
      </c>
      <c r="L944" t="s">
        <v>39</v>
      </c>
      <c r="M944" t="s">
        <v>47</v>
      </c>
      <c r="N944" s="1">
        <v>46381</v>
      </c>
      <c r="O944" s="1"/>
      <c r="P944" s="5">
        <f>Orders[[#This Row],[Quantity]]*Orders[[#This Row],[Unit Price]]</f>
        <v>798</v>
      </c>
      <c r="Q944" s="5">
        <f>Orders[[#This Row],[Gross Sales]]*Orders[[#This Row],[Discount %]]</f>
        <v>79.800000000000011</v>
      </c>
      <c r="R944" s="5">
        <f>Orders[[#This Row],[Gross Sales]]-Orders[[#This Row],[Discount Amount]]</f>
        <v>718.2</v>
      </c>
      <c r="S944" t="str">
        <f>IF(Orders[[#This Row],[Actual Delivery Date]]="","",Orders[[#This Row],[Actual Delivery Date]]-Orders[[#This Row],[Order Date]])</f>
        <v/>
      </c>
      <c r="T944" t="str">
        <f>IF(Orders[[#This Row],[Actual Delivery Date]]="","Pending",IF(Orders[[#This Row],[Actual Delivery Date]]&lt;=Orders[[#This Row],[Expected Delivery Date]],"On Time","Late"))</f>
        <v>Pending</v>
      </c>
      <c r="U944" t="str">
        <f>TEXT(Orders[[#This Row],[Order Date]],"mmm")</f>
        <v>Dec</v>
      </c>
      <c r="V944" s="8">
        <f>DATE(YEAR(Orders[[#This Row],[Order Date]]),MONTH(Orders[[#This Row],[Order Date]]),1)</f>
        <v>46357</v>
      </c>
      <c r="W944" s="5">
        <f>IF(Orders[[#This Row],[Order Status]]="Cancelled",Orders[[#This Row],[Net Sales]],0)</f>
        <v>0</v>
      </c>
    </row>
    <row r="945" spans="1:23" x14ac:dyDescent="0.3">
      <c r="A945" t="s">
        <v>1591</v>
      </c>
      <c r="B945" s="7">
        <v>46076</v>
      </c>
      <c r="C945" t="s">
        <v>1592</v>
      </c>
      <c r="D945" t="s">
        <v>1267</v>
      </c>
      <c r="E945" t="s">
        <v>79</v>
      </c>
      <c r="F945" t="s">
        <v>108</v>
      </c>
      <c r="G945" t="s">
        <v>228</v>
      </c>
      <c r="H945" t="s">
        <v>58</v>
      </c>
      <c r="I945">
        <v>1</v>
      </c>
      <c r="J945" s="5">
        <v>1499</v>
      </c>
      <c r="K945" s="2">
        <v>0</v>
      </c>
      <c r="L945" t="s">
        <v>22</v>
      </c>
      <c r="M945" t="s">
        <v>59</v>
      </c>
      <c r="N945" s="1">
        <v>46079</v>
      </c>
      <c r="O945" s="1">
        <v>46077</v>
      </c>
      <c r="P945" s="5">
        <f>Orders[[#This Row],[Quantity]]*Orders[[#This Row],[Unit Price]]</f>
        <v>1499</v>
      </c>
      <c r="Q945" s="5">
        <f>Orders[[#This Row],[Gross Sales]]*Orders[[#This Row],[Discount %]]</f>
        <v>0</v>
      </c>
      <c r="R945" s="5">
        <f>Orders[[#This Row],[Gross Sales]]-Orders[[#This Row],[Discount Amount]]</f>
        <v>1499</v>
      </c>
      <c r="S945">
        <f>IF(Orders[[#This Row],[Actual Delivery Date]]="","",Orders[[#This Row],[Actual Delivery Date]]-Orders[[#This Row],[Order Date]])</f>
        <v>1</v>
      </c>
      <c r="T945" t="str">
        <f>IF(Orders[[#This Row],[Actual Delivery Date]]="","Pending",IF(Orders[[#This Row],[Actual Delivery Date]]&lt;=Orders[[#This Row],[Expected Delivery Date]],"On Time","Late"))</f>
        <v>On Time</v>
      </c>
      <c r="U945" t="str">
        <f>TEXT(Orders[[#This Row],[Order Date]],"mmm")</f>
        <v>Feb</v>
      </c>
      <c r="V945" s="8">
        <f>DATE(YEAR(Orders[[#This Row],[Order Date]]),MONTH(Orders[[#This Row],[Order Date]]),1)</f>
        <v>46054</v>
      </c>
      <c r="W945" s="5">
        <f>IF(Orders[[#This Row],[Order Status]]="Cancelled",Orders[[#This Row],[Net Sales]],0)</f>
        <v>1499</v>
      </c>
    </row>
    <row r="946" spans="1:23" x14ac:dyDescent="0.3">
      <c r="A946" t="s">
        <v>1593</v>
      </c>
      <c r="B946" s="7">
        <v>46349</v>
      </c>
      <c r="C946" t="s">
        <v>496</v>
      </c>
      <c r="D946" t="s">
        <v>274</v>
      </c>
      <c r="E946" t="s">
        <v>79</v>
      </c>
      <c r="F946" t="s">
        <v>86</v>
      </c>
      <c r="G946" t="s">
        <v>160</v>
      </c>
      <c r="H946" t="s">
        <v>45</v>
      </c>
      <c r="I946">
        <v>2</v>
      </c>
      <c r="J946" s="5">
        <v>1499</v>
      </c>
      <c r="K946" s="2">
        <v>0.1</v>
      </c>
      <c r="L946" t="s">
        <v>39</v>
      </c>
      <c r="M946" t="s">
        <v>82</v>
      </c>
      <c r="N946" s="1">
        <v>46355</v>
      </c>
      <c r="O946" s="1">
        <v>46351</v>
      </c>
      <c r="P946" s="5">
        <f>Orders[[#This Row],[Quantity]]*Orders[[#This Row],[Unit Price]]</f>
        <v>2998</v>
      </c>
      <c r="Q946" s="5">
        <f>Orders[[#This Row],[Gross Sales]]*Orders[[#This Row],[Discount %]]</f>
        <v>299.8</v>
      </c>
      <c r="R946" s="5">
        <f>Orders[[#This Row],[Gross Sales]]-Orders[[#This Row],[Discount Amount]]</f>
        <v>2698.2</v>
      </c>
      <c r="S946">
        <f>IF(Orders[[#This Row],[Actual Delivery Date]]="","",Orders[[#This Row],[Actual Delivery Date]]-Orders[[#This Row],[Order Date]])</f>
        <v>2</v>
      </c>
      <c r="T946" t="str">
        <f>IF(Orders[[#This Row],[Actual Delivery Date]]="","Pending",IF(Orders[[#This Row],[Actual Delivery Date]]&lt;=Orders[[#This Row],[Expected Delivery Date]],"On Time","Late"))</f>
        <v>On Time</v>
      </c>
      <c r="U946" t="str">
        <f>TEXT(Orders[[#This Row],[Order Date]],"mmm")</f>
        <v>Nov</v>
      </c>
      <c r="V946" s="8">
        <f>DATE(YEAR(Orders[[#This Row],[Order Date]]),MONTH(Orders[[#This Row],[Order Date]]),1)</f>
        <v>46327</v>
      </c>
      <c r="W946" s="5">
        <f>IF(Orders[[#This Row],[Order Status]]="Cancelled",Orders[[#This Row],[Net Sales]],0)</f>
        <v>0</v>
      </c>
    </row>
    <row r="947" spans="1:23" x14ac:dyDescent="0.3">
      <c r="A947" t="s">
        <v>1594</v>
      </c>
      <c r="B947" s="7">
        <v>46287</v>
      </c>
      <c r="C947" t="s">
        <v>149</v>
      </c>
      <c r="D947" t="s">
        <v>1009</v>
      </c>
      <c r="E947" t="s">
        <v>35</v>
      </c>
      <c r="F947" t="s">
        <v>68</v>
      </c>
      <c r="G947" t="s">
        <v>91</v>
      </c>
      <c r="H947" t="s">
        <v>30</v>
      </c>
      <c r="I947">
        <v>1</v>
      </c>
      <c r="J947" s="5">
        <v>3299</v>
      </c>
      <c r="K947" s="2">
        <v>0.15</v>
      </c>
      <c r="L947" t="s">
        <v>70</v>
      </c>
      <c r="M947" t="s">
        <v>82</v>
      </c>
      <c r="N947" s="1">
        <v>46294</v>
      </c>
      <c r="O947" s="1">
        <v>46288</v>
      </c>
      <c r="P947" s="5">
        <f>Orders[[#This Row],[Quantity]]*Orders[[#This Row],[Unit Price]]</f>
        <v>3299</v>
      </c>
      <c r="Q947" s="5">
        <f>Orders[[#This Row],[Gross Sales]]*Orders[[#This Row],[Discount %]]</f>
        <v>494.84999999999997</v>
      </c>
      <c r="R947" s="5">
        <f>Orders[[#This Row],[Gross Sales]]-Orders[[#This Row],[Discount Amount]]</f>
        <v>2804.15</v>
      </c>
      <c r="S947">
        <f>IF(Orders[[#This Row],[Actual Delivery Date]]="","",Orders[[#This Row],[Actual Delivery Date]]-Orders[[#This Row],[Order Date]])</f>
        <v>1</v>
      </c>
      <c r="T947" t="str">
        <f>IF(Orders[[#This Row],[Actual Delivery Date]]="","Pending",IF(Orders[[#This Row],[Actual Delivery Date]]&lt;=Orders[[#This Row],[Expected Delivery Date]],"On Time","Late"))</f>
        <v>On Time</v>
      </c>
      <c r="U947" t="str">
        <f>TEXT(Orders[[#This Row],[Order Date]],"mmm")</f>
        <v>Sep</v>
      </c>
      <c r="V947" s="8">
        <f>DATE(YEAR(Orders[[#This Row],[Order Date]]),MONTH(Orders[[#This Row],[Order Date]]),1)</f>
        <v>46266</v>
      </c>
      <c r="W947" s="5">
        <f>IF(Orders[[#This Row],[Order Status]]="Cancelled",Orders[[#This Row],[Net Sales]],0)</f>
        <v>0</v>
      </c>
    </row>
    <row r="948" spans="1:23" x14ac:dyDescent="0.3">
      <c r="A948" t="s">
        <v>1595</v>
      </c>
      <c r="B948" s="7">
        <v>46250</v>
      </c>
      <c r="C948" t="s">
        <v>1434</v>
      </c>
      <c r="D948" t="s">
        <v>991</v>
      </c>
      <c r="E948" t="s">
        <v>27</v>
      </c>
      <c r="F948" t="s">
        <v>51</v>
      </c>
      <c r="G948" t="s">
        <v>52</v>
      </c>
      <c r="H948" t="s">
        <v>45</v>
      </c>
      <c r="I948">
        <v>1</v>
      </c>
      <c r="J948" s="5">
        <v>1299</v>
      </c>
      <c r="K948" s="2">
        <v>0.2</v>
      </c>
      <c r="L948" t="s">
        <v>31</v>
      </c>
      <c r="M948" t="s">
        <v>59</v>
      </c>
      <c r="N948" s="1">
        <v>46256</v>
      </c>
      <c r="O948" s="1">
        <v>46256</v>
      </c>
      <c r="P948" s="5">
        <f>Orders[[#This Row],[Quantity]]*Orders[[#This Row],[Unit Price]]</f>
        <v>1299</v>
      </c>
      <c r="Q948" s="5">
        <f>Orders[[#This Row],[Gross Sales]]*Orders[[#This Row],[Discount %]]</f>
        <v>259.8</v>
      </c>
      <c r="R948" s="5">
        <f>Orders[[#This Row],[Gross Sales]]-Orders[[#This Row],[Discount Amount]]</f>
        <v>1039.2</v>
      </c>
      <c r="S948">
        <f>IF(Orders[[#This Row],[Actual Delivery Date]]="","",Orders[[#This Row],[Actual Delivery Date]]-Orders[[#This Row],[Order Date]])</f>
        <v>6</v>
      </c>
      <c r="T948" t="str">
        <f>IF(Orders[[#This Row],[Actual Delivery Date]]="","Pending",IF(Orders[[#This Row],[Actual Delivery Date]]&lt;=Orders[[#This Row],[Expected Delivery Date]],"On Time","Late"))</f>
        <v>On Time</v>
      </c>
      <c r="U948" t="str">
        <f>TEXT(Orders[[#This Row],[Order Date]],"mmm")</f>
        <v>Aug</v>
      </c>
      <c r="V948" s="8">
        <f>DATE(YEAR(Orders[[#This Row],[Order Date]]),MONTH(Orders[[#This Row],[Order Date]]),1)</f>
        <v>46235</v>
      </c>
      <c r="W948" s="5">
        <f>IF(Orders[[#This Row],[Order Status]]="Cancelled",Orders[[#This Row],[Net Sales]],0)</f>
        <v>1039.2</v>
      </c>
    </row>
    <row r="949" spans="1:23" x14ac:dyDescent="0.3">
      <c r="A949" t="s">
        <v>1596</v>
      </c>
      <c r="B949" s="7">
        <v>46261</v>
      </c>
      <c r="C949" t="s">
        <v>847</v>
      </c>
      <c r="D949" t="s">
        <v>961</v>
      </c>
      <c r="E949" t="s">
        <v>35</v>
      </c>
      <c r="F949" t="s">
        <v>36</v>
      </c>
      <c r="G949" t="s">
        <v>153</v>
      </c>
      <c r="H949" t="s">
        <v>45</v>
      </c>
      <c r="I949">
        <v>2</v>
      </c>
      <c r="J949" s="5">
        <v>1999</v>
      </c>
      <c r="K949" s="2">
        <v>0</v>
      </c>
      <c r="L949" t="s">
        <v>22</v>
      </c>
      <c r="M949" t="s">
        <v>23</v>
      </c>
      <c r="N949" s="1">
        <v>46263</v>
      </c>
      <c r="O949" s="1">
        <v>46262</v>
      </c>
      <c r="P949" s="5">
        <f>Orders[[#This Row],[Quantity]]*Orders[[#This Row],[Unit Price]]</f>
        <v>3998</v>
      </c>
      <c r="Q949" s="5">
        <f>Orders[[#This Row],[Gross Sales]]*Orders[[#This Row],[Discount %]]</f>
        <v>0</v>
      </c>
      <c r="R949" s="5">
        <f>Orders[[#This Row],[Gross Sales]]-Orders[[#This Row],[Discount Amount]]</f>
        <v>3998</v>
      </c>
      <c r="S949">
        <f>IF(Orders[[#This Row],[Actual Delivery Date]]="","",Orders[[#This Row],[Actual Delivery Date]]-Orders[[#This Row],[Order Date]])</f>
        <v>1</v>
      </c>
      <c r="T949" t="str">
        <f>IF(Orders[[#This Row],[Actual Delivery Date]]="","Pending",IF(Orders[[#This Row],[Actual Delivery Date]]&lt;=Orders[[#This Row],[Expected Delivery Date]],"On Time","Late"))</f>
        <v>On Time</v>
      </c>
      <c r="U949" t="str">
        <f>TEXT(Orders[[#This Row],[Order Date]],"mmm")</f>
        <v>Aug</v>
      </c>
      <c r="V949" s="8">
        <f>DATE(YEAR(Orders[[#This Row],[Order Date]]),MONTH(Orders[[#This Row],[Order Date]]),1)</f>
        <v>46235</v>
      </c>
      <c r="W949" s="5">
        <f>IF(Orders[[#This Row],[Order Status]]="Cancelled",Orders[[#This Row],[Net Sales]],0)</f>
        <v>0</v>
      </c>
    </row>
    <row r="950" spans="1:23" x14ac:dyDescent="0.3">
      <c r="A950" t="s">
        <v>1597</v>
      </c>
      <c r="B950" s="7">
        <v>46109</v>
      </c>
      <c r="C950" t="s">
        <v>536</v>
      </c>
      <c r="D950" t="s">
        <v>221</v>
      </c>
      <c r="E950" t="s">
        <v>27</v>
      </c>
      <c r="F950" t="s">
        <v>51</v>
      </c>
      <c r="G950" t="s">
        <v>81</v>
      </c>
      <c r="H950" t="s">
        <v>30</v>
      </c>
      <c r="I950">
        <v>3</v>
      </c>
      <c r="J950" s="5">
        <v>899</v>
      </c>
      <c r="K950" s="2">
        <v>0.05</v>
      </c>
      <c r="L950" t="s">
        <v>46</v>
      </c>
      <c r="M950" t="s">
        <v>23</v>
      </c>
      <c r="N950" s="1">
        <v>46111</v>
      </c>
      <c r="O950" s="1">
        <v>46110</v>
      </c>
      <c r="P950" s="5">
        <f>Orders[[#This Row],[Quantity]]*Orders[[#This Row],[Unit Price]]</f>
        <v>2697</v>
      </c>
      <c r="Q950" s="5">
        <f>Orders[[#This Row],[Gross Sales]]*Orders[[#This Row],[Discount %]]</f>
        <v>134.85</v>
      </c>
      <c r="R950" s="5">
        <f>Orders[[#This Row],[Gross Sales]]-Orders[[#This Row],[Discount Amount]]</f>
        <v>2562.15</v>
      </c>
      <c r="S950">
        <f>IF(Orders[[#This Row],[Actual Delivery Date]]="","",Orders[[#This Row],[Actual Delivery Date]]-Orders[[#This Row],[Order Date]])</f>
        <v>1</v>
      </c>
      <c r="T950" t="str">
        <f>IF(Orders[[#This Row],[Actual Delivery Date]]="","Pending",IF(Orders[[#This Row],[Actual Delivery Date]]&lt;=Orders[[#This Row],[Expected Delivery Date]],"On Time","Late"))</f>
        <v>On Time</v>
      </c>
      <c r="U950" t="str">
        <f>TEXT(Orders[[#This Row],[Order Date]],"mmm")</f>
        <v>Mar</v>
      </c>
      <c r="V950" s="8">
        <f>DATE(YEAR(Orders[[#This Row],[Order Date]]),MONTH(Orders[[#This Row],[Order Date]]),1)</f>
        <v>46082</v>
      </c>
      <c r="W950" s="5">
        <f>IF(Orders[[#This Row],[Order Status]]="Cancelled",Orders[[#This Row],[Net Sales]],0)</f>
        <v>0</v>
      </c>
    </row>
    <row r="951" spans="1:23" x14ac:dyDescent="0.3">
      <c r="A951" t="s">
        <v>1598</v>
      </c>
      <c r="B951" s="7">
        <v>46384</v>
      </c>
      <c r="C951" t="s">
        <v>262</v>
      </c>
      <c r="D951" t="s">
        <v>266</v>
      </c>
      <c r="E951" t="s">
        <v>27</v>
      </c>
      <c r="F951" t="s">
        <v>51</v>
      </c>
      <c r="G951" t="s">
        <v>160</v>
      </c>
      <c r="H951" t="s">
        <v>45</v>
      </c>
      <c r="I951">
        <v>1</v>
      </c>
      <c r="J951" s="5">
        <v>1499</v>
      </c>
      <c r="K951" s="2">
        <v>0.1</v>
      </c>
      <c r="L951" t="s">
        <v>31</v>
      </c>
      <c r="M951" t="s">
        <v>47</v>
      </c>
      <c r="N951" s="1">
        <v>46388</v>
      </c>
      <c r="O951" s="1"/>
      <c r="P951" s="5">
        <f>Orders[[#This Row],[Quantity]]*Orders[[#This Row],[Unit Price]]</f>
        <v>1499</v>
      </c>
      <c r="Q951" s="5">
        <f>Orders[[#This Row],[Gross Sales]]*Orders[[#This Row],[Discount %]]</f>
        <v>149.9</v>
      </c>
      <c r="R951" s="5">
        <f>Orders[[#This Row],[Gross Sales]]-Orders[[#This Row],[Discount Amount]]</f>
        <v>1349.1</v>
      </c>
      <c r="S951" t="str">
        <f>IF(Orders[[#This Row],[Actual Delivery Date]]="","",Orders[[#This Row],[Actual Delivery Date]]-Orders[[#This Row],[Order Date]])</f>
        <v/>
      </c>
      <c r="T951" t="str">
        <f>IF(Orders[[#This Row],[Actual Delivery Date]]="","Pending",IF(Orders[[#This Row],[Actual Delivery Date]]&lt;=Orders[[#This Row],[Expected Delivery Date]],"On Time","Late"))</f>
        <v>Pending</v>
      </c>
      <c r="U951" t="str">
        <f>TEXT(Orders[[#This Row],[Order Date]],"mmm")</f>
        <v>Dec</v>
      </c>
      <c r="V951" s="8">
        <f>DATE(YEAR(Orders[[#This Row],[Order Date]]),MONTH(Orders[[#This Row],[Order Date]]),1)</f>
        <v>46357</v>
      </c>
      <c r="W951" s="5">
        <f>IF(Orders[[#This Row],[Order Status]]="Cancelled",Orders[[#This Row],[Net Sales]],0)</f>
        <v>0</v>
      </c>
    </row>
    <row r="952" spans="1:23" x14ac:dyDescent="0.3">
      <c r="A952" t="s">
        <v>1599</v>
      </c>
      <c r="B952" s="7">
        <v>46174</v>
      </c>
      <c r="C952" t="s">
        <v>924</v>
      </c>
      <c r="D952" t="s">
        <v>1039</v>
      </c>
      <c r="E952" t="s">
        <v>27</v>
      </c>
      <c r="F952" t="s">
        <v>51</v>
      </c>
      <c r="G952" t="s">
        <v>37</v>
      </c>
      <c r="H952" t="s">
        <v>38</v>
      </c>
      <c r="I952">
        <v>1</v>
      </c>
      <c r="J952" s="5">
        <v>699</v>
      </c>
      <c r="K952" s="2">
        <v>0.15</v>
      </c>
      <c r="L952" t="s">
        <v>46</v>
      </c>
      <c r="M952" t="s">
        <v>23</v>
      </c>
      <c r="N952" s="1">
        <v>46179</v>
      </c>
      <c r="O952" s="1">
        <v>46177</v>
      </c>
      <c r="P952" s="5">
        <f>Orders[[#This Row],[Quantity]]*Orders[[#This Row],[Unit Price]]</f>
        <v>699</v>
      </c>
      <c r="Q952" s="5">
        <f>Orders[[#This Row],[Gross Sales]]*Orders[[#This Row],[Discount %]]</f>
        <v>104.85</v>
      </c>
      <c r="R952" s="5">
        <f>Orders[[#This Row],[Gross Sales]]-Orders[[#This Row],[Discount Amount]]</f>
        <v>594.15</v>
      </c>
      <c r="S952">
        <f>IF(Orders[[#This Row],[Actual Delivery Date]]="","",Orders[[#This Row],[Actual Delivery Date]]-Orders[[#This Row],[Order Date]])</f>
        <v>3</v>
      </c>
      <c r="T952" t="str">
        <f>IF(Orders[[#This Row],[Actual Delivery Date]]="","Pending",IF(Orders[[#This Row],[Actual Delivery Date]]&lt;=Orders[[#This Row],[Expected Delivery Date]],"On Time","Late"))</f>
        <v>On Time</v>
      </c>
      <c r="U952" t="str">
        <f>TEXT(Orders[[#This Row],[Order Date]],"mmm")</f>
        <v>Jun</v>
      </c>
      <c r="V952" s="8">
        <f>DATE(YEAR(Orders[[#This Row],[Order Date]]),MONTH(Orders[[#This Row],[Order Date]]),1)</f>
        <v>46174</v>
      </c>
      <c r="W952" s="5">
        <f>IF(Orders[[#This Row],[Order Status]]="Cancelled",Orders[[#This Row],[Net Sales]],0)</f>
        <v>0</v>
      </c>
    </row>
    <row r="953" spans="1:23" x14ac:dyDescent="0.3">
      <c r="A953" t="s">
        <v>1600</v>
      </c>
      <c r="B953" s="7">
        <v>46220</v>
      </c>
      <c r="C953" t="s">
        <v>971</v>
      </c>
      <c r="D953" t="s">
        <v>591</v>
      </c>
      <c r="E953" t="s">
        <v>79</v>
      </c>
      <c r="F953" t="s">
        <v>108</v>
      </c>
      <c r="G953" t="s">
        <v>44</v>
      </c>
      <c r="H953" t="s">
        <v>45</v>
      </c>
      <c r="I953">
        <v>1</v>
      </c>
      <c r="J953" s="5">
        <v>1799</v>
      </c>
      <c r="K953" s="2">
        <v>0.2</v>
      </c>
      <c r="L953" t="s">
        <v>31</v>
      </c>
      <c r="M953" t="s">
        <v>59</v>
      </c>
      <c r="N953" s="1">
        <v>46225</v>
      </c>
      <c r="O953" s="1">
        <v>46223</v>
      </c>
      <c r="P953" s="5">
        <f>Orders[[#This Row],[Quantity]]*Orders[[#This Row],[Unit Price]]</f>
        <v>1799</v>
      </c>
      <c r="Q953" s="5">
        <f>Orders[[#This Row],[Gross Sales]]*Orders[[#This Row],[Discount %]]</f>
        <v>359.8</v>
      </c>
      <c r="R953" s="5">
        <f>Orders[[#This Row],[Gross Sales]]-Orders[[#This Row],[Discount Amount]]</f>
        <v>1439.2</v>
      </c>
      <c r="S953">
        <f>IF(Orders[[#This Row],[Actual Delivery Date]]="","",Orders[[#This Row],[Actual Delivery Date]]-Orders[[#This Row],[Order Date]])</f>
        <v>3</v>
      </c>
      <c r="T953" t="str">
        <f>IF(Orders[[#This Row],[Actual Delivery Date]]="","Pending",IF(Orders[[#This Row],[Actual Delivery Date]]&lt;=Orders[[#This Row],[Expected Delivery Date]],"On Time","Late"))</f>
        <v>On Time</v>
      </c>
      <c r="U953" t="str">
        <f>TEXT(Orders[[#This Row],[Order Date]],"mmm")</f>
        <v>Jul</v>
      </c>
      <c r="V953" s="8">
        <f>DATE(YEAR(Orders[[#This Row],[Order Date]]),MONTH(Orders[[#This Row],[Order Date]]),1)</f>
        <v>46204</v>
      </c>
      <c r="W953" s="5">
        <f>IF(Orders[[#This Row],[Order Status]]="Cancelled",Orders[[#This Row],[Net Sales]],0)</f>
        <v>1439.2</v>
      </c>
    </row>
    <row r="954" spans="1:23" x14ac:dyDescent="0.3">
      <c r="A954" t="s">
        <v>1601</v>
      </c>
      <c r="B954" s="7">
        <v>46155</v>
      </c>
      <c r="C954" t="s">
        <v>684</v>
      </c>
      <c r="D954" t="s">
        <v>1004</v>
      </c>
      <c r="E954" t="s">
        <v>35</v>
      </c>
      <c r="F954" t="s">
        <v>135</v>
      </c>
      <c r="G954" t="s">
        <v>29</v>
      </c>
      <c r="H954" t="s">
        <v>30</v>
      </c>
      <c r="I954">
        <v>1</v>
      </c>
      <c r="J954" s="5">
        <v>599</v>
      </c>
      <c r="K954" s="2">
        <v>0.1</v>
      </c>
      <c r="L954" t="s">
        <v>39</v>
      </c>
      <c r="M954" t="s">
        <v>23</v>
      </c>
      <c r="N954" s="1">
        <v>46161</v>
      </c>
      <c r="O954" s="1">
        <v>46157</v>
      </c>
      <c r="P954" s="5">
        <f>Orders[[#This Row],[Quantity]]*Orders[[#This Row],[Unit Price]]</f>
        <v>599</v>
      </c>
      <c r="Q954" s="5">
        <f>Orders[[#This Row],[Gross Sales]]*Orders[[#This Row],[Discount %]]</f>
        <v>59.900000000000006</v>
      </c>
      <c r="R954" s="5">
        <f>Orders[[#This Row],[Gross Sales]]-Orders[[#This Row],[Discount Amount]]</f>
        <v>539.1</v>
      </c>
      <c r="S954">
        <f>IF(Orders[[#This Row],[Actual Delivery Date]]="","",Orders[[#This Row],[Actual Delivery Date]]-Orders[[#This Row],[Order Date]])</f>
        <v>2</v>
      </c>
      <c r="T954" t="str">
        <f>IF(Orders[[#This Row],[Actual Delivery Date]]="","Pending",IF(Orders[[#This Row],[Actual Delivery Date]]&lt;=Orders[[#This Row],[Expected Delivery Date]],"On Time","Late"))</f>
        <v>On Time</v>
      </c>
      <c r="U954" t="str">
        <f>TEXT(Orders[[#This Row],[Order Date]],"mmm")</f>
        <v>May</v>
      </c>
      <c r="V954" s="8">
        <f>DATE(YEAR(Orders[[#This Row],[Order Date]]),MONTH(Orders[[#This Row],[Order Date]]),1)</f>
        <v>46143</v>
      </c>
      <c r="W954" s="5">
        <f>IF(Orders[[#This Row],[Order Status]]="Cancelled",Orders[[#This Row],[Net Sales]],0)</f>
        <v>0</v>
      </c>
    </row>
    <row r="955" spans="1:23" x14ac:dyDescent="0.3">
      <c r="A955" t="s">
        <v>1602</v>
      </c>
      <c r="B955" s="7">
        <v>46216</v>
      </c>
      <c r="C955" t="s">
        <v>25</v>
      </c>
      <c r="D955" t="s">
        <v>1013</v>
      </c>
      <c r="E955" t="s">
        <v>79</v>
      </c>
      <c r="F955" t="s">
        <v>80</v>
      </c>
      <c r="G955" t="s">
        <v>87</v>
      </c>
      <c r="H955" t="s">
        <v>21</v>
      </c>
      <c r="I955">
        <v>2</v>
      </c>
      <c r="J955" s="5">
        <v>1899</v>
      </c>
      <c r="K955" s="2">
        <v>0</v>
      </c>
      <c r="L955" t="s">
        <v>46</v>
      </c>
      <c r="M955" t="s">
        <v>59</v>
      </c>
      <c r="N955" s="1">
        <v>46218</v>
      </c>
      <c r="O955" s="1">
        <v>46217</v>
      </c>
      <c r="P955" s="5">
        <f>Orders[[#This Row],[Quantity]]*Orders[[#This Row],[Unit Price]]</f>
        <v>3798</v>
      </c>
      <c r="Q955" s="5">
        <f>Orders[[#This Row],[Gross Sales]]*Orders[[#This Row],[Discount %]]</f>
        <v>0</v>
      </c>
      <c r="R955" s="5">
        <f>Orders[[#This Row],[Gross Sales]]-Orders[[#This Row],[Discount Amount]]</f>
        <v>3798</v>
      </c>
      <c r="S955">
        <f>IF(Orders[[#This Row],[Actual Delivery Date]]="","",Orders[[#This Row],[Actual Delivery Date]]-Orders[[#This Row],[Order Date]])</f>
        <v>1</v>
      </c>
      <c r="T955" t="str">
        <f>IF(Orders[[#This Row],[Actual Delivery Date]]="","Pending",IF(Orders[[#This Row],[Actual Delivery Date]]&lt;=Orders[[#This Row],[Expected Delivery Date]],"On Time","Late"))</f>
        <v>On Time</v>
      </c>
      <c r="U955" t="str">
        <f>TEXT(Orders[[#This Row],[Order Date]],"mmm")</f>
        <v>Jul</v>
      </c>
      <c r="V955" s="8">
        <f>DATE(YEAR(Orders[[#This Row],[Order Date]]),MONTH(Orders[[#This Row],[Order Date]]),1)</f>
        <v>46204</v>
      </c>
      <c r="W955" s="5">
        <f>IF(Orders[[#This Row],[Order Status]]="Cancelled",Orders[[#This Row],[Net Sales]],0)</f>
        <v>3798</v>
      </c>
    </row>
    <row r="956" spans="1:23" x14ac:dyDescent="0.3">
      <c r="A956" t="s">
        <v>1603</v>
      </c>
      <c r="B956" s="7">
        <v>46118</v>
      </c>
      <c r="C956" t="s">
        <v>251</v>
      </c>
      <c r="D956" t="s">
        <v>964</v>
      </c>
      <c r="E956" t="s">
        <v>79</v>
      </c>
      <c r="F956" t="s">
        <v>80</v>
      </c>
      <c r="G956" t="s">
        <v>64</v>
      </c>
      <c r="H956" t="s">
        <v>21</v>
      </c>
      <c r="I956">
        <v>4</v>
      </c>
      <c r="J956" s="5">
        <v>699</v>
      </c>
      <c r="K956" s="2">
        <v>0.1</v>
      </c>
      <c r="L956" t="s">
        <v>31</v>
      </c>
      <c r="M956" t="s">
        <v>23</v>
      </c>
      <c r="N956" s="1">
        <v>46124</v>
      </c>
      <c r="O956" s="1">
        <v>46119</v>
      </c>
      <c r="P956" s="5">
        <f>Orders[[#This Row],[Quantity]]*Orders[[#This Row],[Unit Price]]</f>
        <v>2796</v>
      </c>
      <c r="Q956" s="5">
        <f>Orders[[#This Row],[Gross Sales]]*Orders[[#This Row],[Discount %]]</f>
        <v>279.60000000000002</v>
      </c>
      <c r="R956" s="5">
        <f>Orders[[#This Row],[Gross Sales]]-Orders[[#This Row],[Discount Amount]]</f>
        <v>2516.4</v>
      </c>
      <c r="S956">
        <f>IF(Orders[[#This Row],[Actual Delivery Date]]="","",Orders[[#This Row],[Actual Delivery Date]]-Orders[[#This Row],[Order Date]])</f>
        <v>1</v>
      </c>
      <c r="T956" t="str">
        <f>IF(Orders[[#This Row],[Actual Delivery Date]]="","Pending",IF(Orders[[#This Row],[Actual Delivery Date]]&lt;=Orders[[#This Row],[Expected Delivery Date]],"On Time","Late"))</f>
        <v>On Time</v>
      </c>
      <c r="U956" t="str">
        <f>TEXT(Orders[[#This Row],[Order Date]],"mmm")</f>
        <v>Apr</v>
      </c>
      <c r="V956" s="8">
        <f>DATE(YEAR(Orders[[#This Row],[Order Date]]),MONTH(Orders[[#This Row],[Order Date]]),1)</f>
        <v>46113</v>
      </c>
      <c r="W956" s="5">
        <f>IF(Orders[[#This Row],[Order Status]]="Cancelled",Orders[[#This Row],[Net Sales]],0)</f>
        <v>0</v>
      </c>
    </row>
    <row r="957" spans="1:23" x14ac:dyDescent="0.3">
      <c r="A957" t="s">
        <v>1604</v>
      </c>
      <c r="B957" s="7">
        <v>46152</v>
      </c>
      <c r="C957" t="s">
        <v>312</v>
      </c>
      <c r="D957" t="s">
        <v>333</v>
      </c>
      <c r="E957" t="s">
        <v>79</v>
      </c>
      <c r="F957" t="s">
        <v>170</v>
      </c>
      <c r="G957" t="s">
        <v>180</v>
      </c>
      <c r="H957" t="s">
        <v>58</v>
      </c>
      <c r="I957">
        <v>2</v>
      </c>
      <c r="J957" s="5">
        <v>599</v>
      </c>
      <c r="K957" s="2">
        <v>0.2</v>
      </c>
      <c r="L957" t="s">
        <v>46</v>
      </c>
      <c r="M957" t="s">
        <v>23</v>
      </c>
      <c r="N957" s="1">
        <v>46159</v>
      </c>
      <c r="O957" s="1">
        <v>46153</v>
      </c>
      <c r="P957" s="5">
        <f>Orders[[#This Row],[Quantity]]*Orders[[#This Row],[Unit Price]]</f>
        <v>1198</v>
      </c>
      <c r="Q957" s="5">
        <f>Orders[[#This Row],[Gross Sales]]*Orders[[#This Row],[Discount %]]</f>
        <v>239.60000000000002</v>
      </c>
      <c r="R957" s="5">
        <f>Orders[[#This Row],[Gross Sales]]-Orders[[#This Row],[Discount Amount]]</f>
        <v>958.4</v>
      </c>
      <c r="S957">
        <f>IF(Orders[[#This Row],[Actual Delivery Date]]="","",Orders[[#This Row],[Actual Delivery Date]]-Orders[[#This Row],[Order Date]])</f>
        <v>1</v>
      </c>
      <c r="T957" t="str">
        <f>IF(Orders[[#This Row],[Actual Delivery Date]]="","Pending",IF(Orders[[#This Row],[Actual Delivery Date]]&lt;=Orders[[#This Row],[Expected Delivery Date]],"On Time","Late"))</f>
        <v>On Time</v>
      </c>
      <c r="U957" t="str">
        <f>TEXT(Orders[[#This Row],[Order Date]],"mmm")</f>
        <v>May</v>
      </c>
      <c r="V957" s="8">
        <f>DATE(YEAR(Orders[[#This Row],[Order Date]]),MONTH(Orders[[#This Row],[Order Date]]),1)</f>
        <v>46143</v>
      </c>
      <c r="W957" s="5">
        <f>IF(Orders[[#This Row],[Order Status]]="Cancelled",Orders[[#This Row],[Net Sales]],0)</f>
        <v>0</v>
      </c>
    </row>
    <row r="958" spans="1:23" x14ac:dyDescent="0.3">
      <c r="A958" t="s">
        <v>1605</v>
      </c>
      <c r="B958" s="7">
        <v>46318</v>
      </c>
      <c r="C958" t="s">
        <v>543</v>
      </c>
      <c r="D958" t="s">
        <v>954</v>
      </c>
      <c r="E958" t="s">
        <v>18</v>
      </c>
      <c r="F958" t="s">
        <v>43</v>
      </c>
      <c r="G958" t="s">
        <v>118</v>
      </c>
      <c r="H958" t="s">
        <v>58</v>
      </c>
      <c r="I958">
        <v>1</v>
      </c>
      <c r="J958" s="5">
        <v>749</v>
      </c>
      <c r="K958" s="2">
        <v>0</v>
      </c>
      <c r="L958" t="s">
        <v>31</v>
      </c>
      <c r="M958" t="s">
        <v>47</v>
      </c>
      <c r="N958" s="1">
        <v>46321</v>
      </c>
      <c r="O958" s="1"/>
      <c r="P958" s="5">
        <f>Orders[[#This Row],[Quantity]]*Orders[[#This Row],[Unit Price]]</f>
        <v>749</v>
      </c>
      <c r="Q958" s="5">
        <f>Orders[[#This Row],[Gross Sales]]*Orders[[#This Row],[Discount %]]</f>
        <v>0</v>
      </c>
      <c r="R958" s="5">
        <f>Orders[[#This Row],[Gross Sales]]-Orders[[#This Row],[Discount Amount]]</f>
        <v>749</v>
      </c>
      <c r="S958" t="str">
        <f>IF(Orders[[#This Row],[Actual Delivery Date]]="","",Orders[[#This Row],[Actual Delivery Date]]-Orders[[#This Row],[Order Date]])</f>
        <v/>
      </c>
      <c r="T958" t="str">
        <f>IF(Orders[[#This Row],[Actual Delivery Date]]="","Pending",IF(Orders[[#This Row],[Actual Delivery Date]]&lt;=Orders[[#This Row],[Expected Delivery Date]],"On Time","Late"))</f>
        <v>Pending</v>
      </c>
      <c r="U958" t="str">
        <f>TEXT(Orders[[#This Row],[Order Date]],"mmm")</f>
        <v>Oct</v>
      </c>
      <c r="V958" s="8">
        <f>DATE(YEAR(Orders[[#This Row],[Order Date]]),MONTH(Orders[[#This Row],[Order Date]]),1)</f>
        <v>46296</v>
      </c>
      <c r="W958" s="5">
        <f>IF(Orders[[#This Row],[Order Status]]="Cancelled",Orders[[#This Row],[Net Sales]],0)</f>
        <v>0</v>
      </c>
    </row>
    <row r="959" spans="1:23" x14ac:dyDescent="0.3">
      <c r="A959" t="s">
        <v>1606</v>
      </c>
      <c r="B959" s="7">
        <v>46050</v>
      </c>
      <c r="C959" t="s">
        <v>33</v>
      </c>
      <c r="D959" t="s">
        <v>660</v>
      </c>
      <c r="E959" t="s">
        <v>27</v>
      </c>
      <c r="F959" t="s">
        <v>56</v>
      </c>
      <c r="G959" t="s">
        <v>131</v>
      </c>
      <c r="H959" t="s">
        <v>38</v>
      </c>
      <c r="I959">
        <v>5</v>
      </c>
      <c r="J959" s="5">
        <v>899</v>
      </c>
      <c r="K959" s="2">
        <v>0.1</v>
      </c>
      <c r="L959" t="s">
        <v>31</v>
      </c>
      <c r="M959" t="s">
        <v>82</v>
      </c>
      <c r="N959" s="1">
        <v>46054</v>
      </c>
      <c r="O959" s="1">
        <v>46052</v>
      </c>
      <c r="P959" s="5">
        <f>Orders[[#This Row],[Quantity]]*Orders[[#This Row],[Unit Price]]</f>
        <v>4495</v>
      </c>
      <c r="Q959" s="5">
        <f>Orders[[#This Row],[Gross Sales]]*Orders[[#This Row],[Discount %]]</f>
        <v>449.5</v>
      </c>
      <c r="R959" s="5">
        <f>Orders[[#This Row],[Gross Sales]]-Orders[[#This Row],[Discount Amount]]</f>
        <v>4045.5</v>
      </c>
      <c r="S959">
        <f>IF(Orders[[#This Row],[Actual Delivery Date]]="","",Orders[[#This Row],[Actual Delivery Date]]-Orders[[#This Row],[Order Date]])</f>
        <v>2</v>
      </c>
      <c r="T959" t="str">
        <f>IF(Orders[[#This Row],[Actual Delivery Date]]="","Pending",IF(Orders[[#This Row],[Actual Delivery Date]]&lt;=Orders[[#This Row],[Expected Delivery Date]],"On Time","Late"))</f>
        <v>On Time</v>
      </c>
      <c r="U959" t="str">
        <f>TEXT(Orders[[#This Row],[Order Date]],"mmm")</f>
        <v>Jan</v>
      </c>
      <c r="V959" s="8">
        <f>DATE(YEAR(Orders[[#This Row],[Order Date]]),MONTH(Orders[[#This Row],[Order Date]]),1)</f>
        <v>46023</v>
      </c>
      <c r="W959" s="5">
        <f>IF(Orders[[#This Row],[Order Status]]="Cancelled",Orders[[#This Row],[Net Sales]],0)</f>
        <v>0</v>
      </c>
    </row>
    <row r="960" spans="1:23" x14ac:dyDescent="0.3">
      <c r="A960" t="s">
        <v>1607</v>
      </c>
      <c r="B960" s="7">
        <v>46180</v>
      </c>
      <c r="C960" t="s">
        <v>1608</v>
      </c>
      <c r="D960" t="s">
        <v>85</v>
      </c>
      <c r="E960" t="s">
        <v>27</v>
      </c>
      <c r="F960" t="s">
        <v>56</v>
      </c>
      <c r="G960" t="s">
        <v>131</v>
      </c>
      <c r="H960" t="s">
        <v>38</v>
      </c>
      <c r="I960">
        <v>1</v>
      </c>
      <c r="J960" s="5">
        <v>899</v>
      </c>
      <c r="K960" s="2">
        <v>0.05</v>
      </c>
      <c r="L960" t="s">
        <v>31</v>
      </c>
      <c r="M960" t="s">
        <v>23</v>
      </c>
      <c r="N960" s="1">
        <v>46182</v>
      </c>
      <c r="O960" s="1">
        <v>46181</v>
      </c>
      <c r="P960" s="5">
        <f>Orders[[#This Row],[Quantity]]*Orders[[#This Row],[Unit Price]]</f>
        <v>899</v>
      </c>
      <c r="Q960" s="5">
        <f>Orders[[#This Row],[Gross Sales]]*Orders[[#This Row],[Discount %]]</f>
        <v>44.95</v>
      </c>
      <c r="R960" s="5">
        <f>Orders[[#This Row],[Gross Sales]]-Orders[[#This Row],[Discount Amount]]</f>
        <v>854.05</v>
      </c>
      <c r="S960">
        <f>IF(Orders[[#This Row],[Actual Delivery Date]]="","",Orders[[#This Row],[Actual Delivery Date]]-Orders[[#This Row],[Order Date]])</f>
        <v>1</v>
      </c>
      <c r="T960" t="str">
        <f>IF(Orders[[#This Row],[Actual Delivery Date]]="","Pending",IF(Orders[[#This Row],[Actual Delivery Date]]&lt;=Orders[[#This Row],[Expected Delivery Date]],"On Time","Late"))</f>
        <v>On Time</v>
      </c>
      <c r="U960" t="str">
        <f>TEXT(Orders[[#This Row],[Order Date]],"mmm")</f>
        <v>Jun</v>
      </c>
      <c r="V960" s="8">
        <f>DATE(YEAR(Orders[[#This Row],[Order Date]]),MONTH(Orders[[#This Row],[Order Date]]),1)</f>
        <v>46174</v>
      </c>
      <c r="W960" s="5">
        <f>IF(Orders[[#This Row],[Order Status]]="Cancelled",Orders[[#This Row],[Net Sales]],0)</f>
        <v>0</v>
      </c>
    </row>
    <row r="961" spans="1:23" x14ac:dyDescent="0.3">
      <c r="A961" t="s">
        <v>1609</v>
      </c>
      <c r="B961" s="7">
        <v>46074</v>
      </c>
      <c r="C961" t="s">
        <v>630</v>
      </c>
      <c r="D961" t="s">
        <v>682</v>
      </c>
      <c r="E961" t="s">
        <v>18</v>
      </c>
      <c r="F961" t="s">
        <v>43</v>
      </c>
      <c r="G961" t="s">
        <v>131</v>
      </c>
      <c r="H961" t="s">
        <v>38</v>
      </c>
      <c r="I961">
        <v>2</v>
      </c>
      <c r="J961" s="5">
        <v>899</v>
      </c>
      <c r="K961" s="2">
        <v>0.15</v>
      </c>
      <c r="L961" t="s">
        <v>31</v>
      </c>
      <c r="M961" t="s">
        <v>23</v>
      </c>
      <c r="N961" s="1">
        <v>46081</v>
      </c>
      <c r="O961" s="1">
        <v>46078</v>
      </c>
      <c r="P961" s="5">
        <f>Orders[[#This Row],[Quantity]]*Orders[[#This Row],[Unit Price]]</f>
        <v>1798</v>
      </c>
      <c r="Q961" s="5">
        <f>Orders[[#This Row],[Gross Sales]]*Orders[[#This Row],[Discount %]]</f>
        <v>269.7</v>
      </c>
      <c r="R961" s="5">
        <f>Orders[[#This Row],[Gross Sales]]-Orders[[#This Row],[Discount Amount]]</f>
        <v>1528.3</v>
      </c>
      <c r="S961">
        <f>IF(Orders[[#This Row],[Actual Delivery Date]]="","",Orders[[#This Row],[Actual Delivery Date]]-Orders[[#This Row],[Order Date]])</f>
        <v>4</v>
      </c>
      <c r="T961" t="str">
        <f>IF(Orders[[#This Row],[Actual Delivery Date]]="","Pending",IF(Orders[[#This Row],[Actual Delivery Date]]&lt;=Orders[[#This Row],[Expected Delivery Date]],"On Time","Late"))</f>
        <v>On Time</v>
      </c>
      <c r="U961" t="str">
        <f>TEXT(Orders[[#This Row],[Order Date]],"mmm")</f>
        <v>Feb</v>
      </c>
      <c r="V961" s="8">
        <f>DATE(YEAR(Orders[[#This Row],[Order Date]]),MONTH(Orders[[#This Row],[Order Date]]),1)</f>
        <v>46054</v>
      </c>
      <c r="W961" s="5">
        <f>IF(Orders[[#This Row],[Order Status]]="Cancelled",Orders[[#This Row],[Net Sales]],0)</f>
        <v>0</v>
      </c>
    </row>
    <row r="962" spans="1:23" x14ac:dyDescent="0.3">
      <c r="A962" t="s">
        <v>1610</v>
      </c>
      <c r="B962" s="7">
        <v>46227</v>
      </c>
      <c r="C962" t="s">
        <v>861</v>
      </c>
      <c r="D962" t="s">
        <v>784</v>
      </c>
      <c r="E962" t="s">
        <v>79</v>
      </c>
      <c r="F962" t="s">
        <v>108</v>
      </c>
      <c r="G962" t="s">
        <v>20</v>
      </c>
      <c r="H962" t="s">
        <v>21</v>
      </c>
      <c r="I962">
        <v>3</v>
      </c>
      <c r="J962" s="5">
        <v>1799</v>
      </c>
      <c r="K962" s="2">
        <v>0.1</v>
      </c>
      <c r="L962" t="s">
        <v>70</v>
      </c>
      <c r="M962" t="s">
        <v>47</v>
      </c>
      <c r="N962" s="1">
        <v>46232</v>
      </c>
      <c r="O962" s="1"/>
      <c r="P962" s="5">
        <f>Orders[[#This Row],[Quantity]]*Orders[[#This Row],[Unit Price]]</f>
        <v>5397</v>
      </c>
      <c r="Q962" s="5">
        <f>Orders[[#This Row],[Gross Sales]]*Orders[[#This Row],[Discount %]]</f>
        <v>539.70000000000005</v>
      </c>
      <c r="R962" s="5">
        <f>Orders[[#This Row],[Gross Sales]]-Orders[[#This Row],[Discount Amount]]</f>
        <v>4857.3</v>
      </c>
      <c r="S962" t="str">
        <f>IF(Orders[[#This Row],[Actual Delivery Date]]="","",Orders[[#This Row],[Actual Delivery Date]]-Orders[[#This Row],[Order Date]])</f>
        <v/>
      </c>
      <c r="T962" t="str">
        <f>IF(Orders[[#This Row],[Actual Delivery Date]]="","Pending",IF(Orders[[#This Row],[Actual Delivery Date]]&lt;=Orders[[#This Row],[Expected Delivery Date]],"On Time","Late"))</f>
        <v>Pending</v>
      </c>
      <c r="U962" t="str">
        <f>TEXT(Orders[[#This Row],[Order Date]],"mmm")</f>
        <v>Jul</v>
      </c>
      <c r="V962" s="8">
        <f>DATE(YEAR(Orders[[#This Row],[Order Date]]),MONTH(Orders[[#This Row],[Order Date]]),1)</f>
        <v>46204</v>
      </c>
      <c r="W962" s="5">
        <f>IF(Orders[[#This Row],[Order Status]]="Cancelled",Orders[[#This Row],[Net Sales]],0)</f>
        <v>0</v>
      </c>
    </row>
    <row r="963" spans="1:23" x14ac:dyDescent="0.3">
      <c r="A963" t="s">
        <v>1611</v>
      </c>
      <c r="B963" s="7">
        <v>46136</v>
      </c>
      <c r="C963" t="s">
        <v>806</v>
      </c>
      <c r="D963" t="s">
        <v>347</v>
      </c>
      <c r="E963" t="s">
        <v>35</v>
      </c>
      <c r="F963" t="s">
        <v>63</v>
      </c>
      <c r="G963" t="s">
        <v>81</v>
      </c>
      <c r="H963" t="s">
        <v>30</v>
      </c>
      <c r="I963">
        <v>3</v>
      </c>
      <c r="J963" s="5">
        <v>899</v>
      </c>
      <c r="K963" s="2">
        <v>0.05</v>
      </c>
      <c r="L963" t="s">
        <v>31</v>
      </c>
      <c r="M963" t="s">
        <v>23</v>
      </c>
      <c r="N963" s="1">
        <v>46140</v>
      </c>
      <c r="O963" s="1">
        <v>46137</v>
      </c>
      <c r="P963" s="5">
        <f>Orders[[#This Row],[Quantity]]*Orders[[#This Row],[Unit Price]]</f>
        <v>2697</v>
      </c>
      <c r="Q963" s="5">
        <f>Orders[[#This Row],[Gross Sales]]*Orders[[#This Row],[Discount %]]</f>
        <v>134.85</v>
      </c>
      <c r="R963" s="5">
        <f>Orders[[#This Row],[Gross Sales]]-Orders[[#This Row],[Discount Amount]]</f>
        <v>2562.15</v>
      </c>
      <c r="S963">
        <f>IF(Orders[[#This Row],[Actual Delivery Date]]="","",Orders[[#This Row],[Actual Delivery Date]]-Orders[[#This Row],[Order Date]])</f>
        <v>1</v>
      </c>
      <c r="T963" t="str">
        <f>IF(Orders[[#This Row],[Actual Delivery Date]]="","Pending",IF(Orders[[#This Row],[Actual Delivery Date]]&lt;=Orders[[#This Row],[Expected Delivery Date]],"On Time","Late"))</f>
        <v>On Time</v>
      </c>
      <c r="U963" t="str">
        <f>TEXT(Orders[[#This Row],[Order Date]],"mmm")</f>
        <v>Apr</v>
      </c>
      <c r="V963" s="8">
        <f>DATE(YEAR(Orders[[#This Row],[Order Date]]),MONTH(Orders[[#This Row],[Order Date]]),1)</f>
        <v>46113</v>
      </c>
      <c r="W963" s="5">
        <f>IF(Orders[[#This Row],[Order Status]]="Cancelled",Orders[[#This Row],[Net Sales]],0)</f>
        <v>0</v>
      </c>
    </row>
    <row r="964" spans="1:23" x14ac:dyDescent="0.3">
      <c r="A964" t="s">
        <v>1612</v>
      </c>
      <c r="B964" s="7">
        <v>46045</v>
      </c>
      <c r="C964" t="s">
        <v>602</v>
      </c>
      <c r="D964" t="s">
        <v>796</v>
      </c>
      <c r="E964" t="s">
        <v>27</v>
      </c>
      <c r="F964" t="s">
        <v>56</v>
      </c>
      <c r="G964" t="s">
        <v>180</v>
      </c>
      <c r="H964" t="s">
        <v>58</v>
      </c>
      <c r="I964">
        <v>1</v>
      </c>
      <c r="J964" s="5">
        <v>599</v>
      </c>
      <c r="K964" s="2">
        <v>0.15</v>
      </c>
      <c r="L964" t="s">
        <v>39</v>
      </c>
      <c r="M964" t="s">
        <v>23</v>
      </c>
      <c r="N964" s="1">
        <v>46050</v>
      </c>
      <c r="O964" s="1">
        <v>46049</v>
      </c>
      <c r="P964" s="5">
        <f>Orders[[#This Row],[Quantity]]*Orders[[#This Row],[Unit Price]]</f>
        <v>599</v>
      </c>
      <c r="Q964" s="5">
        <f>Orders[[#This Row],[Gross Sales]]*Orders[[#This Row],[Discount %]]</f>
        <v>89.85</v>
      </c>
      <c r="R964" s="5">
        <f>Orders[[#This Row],[Gross Sales]]-Orders[[#This Row],[Discount Amount]]</f>
        <v>509.15</v>
      </c>
      <c r="S964">
        <f>IF(Orders[[#This Row],[Actual Delivery Date]]="","",Orders[[#This Row],[Actual Delivery Date]]-Orders[[#This Row],[Order Date]])</f>
        <v>4</v>
      </c>
      <c r="T964" t="str">
        <f>IF(Orders[[#This Row],[Actual Delivery Date]]="","Pending",IF(Orders[[#This Row],[Actual Delivery Date]]&lt;=Orders[[#This Row],[Expected Delivery Date]],"On Time","Late"))</f>
        <v>On Time</v>
      </c>
      <c r="U964" t="str">
        <f>TEXT(Orders[[#This Row],[Order Date]],"mmm")</f>
        <v>Jan</v>
      </c>
      <c r="V964" s="8">
        <f>DATE(YEAR(Orders[[#This Row],[Order Date]]),MONTH(Orders[[#This Row],[Order Date]]),1)</f>
        <v>46023</v>
      </c>
      <c r="W964" s="5">
        <f>IF(Orders[[#This Row],[Order Status]]="Cancelled",Orders[[#This Row],[Net Sales]],0)</f>
        <v>0</v>
      </c>
    </row>
    <row r="965" spans="1:23" x14ac:dyDescent="0.3">
      <c r="A965" t="s">
        <v>1613</v>
      </c>
      <c r="B965" s="7">
        <v>46156</v>
      </c>
      <c r="C965" t="s">
        <v>202</v>
      </c>
      <c r="D965" t="s">
        <v>1267</v>
      </c>
      <c r="E965" t="s">
        <v>35</v>
      </c>
      <c r="F965" t="s">
        <v>63</v>
      </c>
      <c r="G965" t="s">
        <v>147</v>
      </c>
      <c r="H965" t="s">
        <v>58</v>
      </c>
      <c r="I965">
        <v>4</v>
      </c>
      <c r="J965" s="5">
        <v>399</v>
      </c>
      <c r="K965" s="2">
        <v>0.15</v>
      </c>
      <c r="L965" t="s">
        <v>31</v>
      </c>
      <c r="M965" t="s">
        <v>23</v>
      </c>
      <c r="N965" s="1">
        <v>46161</v>
      </c>
      <c r="O965" s="1">
        <v>46157</v>
      </c>
      <c r="P965" s="5">
        <f>Orders[[#This Row],[Quantity]]*Orders[[#This Row],[Unit Price]]</f>
        <v>1596</v>
      </c>
      <c r="Q965" s="5">
        <f>Orders[[#This Row],[Gross Sales]]*Orders[[#This Row],[Discount %]]</f>
        <v>239.39999999999998</v>
      </c>
      <c r="R965" s="5">
        <f>Orders[[#This Row],[Gross Sales]]-Orders[[#This Row],[Discount Amount]]</f>
        <v>1356.6</v>
      </c>
      <c r="S965">
        <f>IF(Orders[[#This Row],[Actual Delivery Date]]="","",Orders[[#This Row],[Actual Delivery Date]]-Orders[[#This Row],[Order Date]])</f>
        <v>1</v>
      </c>
      <c r="T965" t="str">
        <f>IF(Orders[[#This Row],[Actual Delivery Date]]="","Pending",IF(Orders[[#This Row],[Actual Delivery Date]]&lt;=Orders[[#This Row],[Expected Delivery Date]],"On Time","Late"))</f>
        <v>On Time</v>
      </c>
      <c r="U965" t="str">
        <f>TEXT(Orders[[#This Row],[Order Date]],"mmm")</f>
        <v>May</v>
      </c>
      <c r="V965" s="8">
        <f>DATE(YEAR(Orders[[#This Row],[Order Date]]),MONTH(Orders[[#This Row],[Order Date]]),1)</f>
        <v>46143</v>
      </c>
      <c r="W965" s="5">
        <f>IF(Orders[[#This Row],[Order Status]]="Cancelled",Orders[[#This Row],[Net Sales]],0)</f>
        <v>0</v>
      </c>
    </row>
    <row r="966" spans="1:23" x14ac:dyDescent="0.3">
      <c r="A966" t="s">
        <v>1614</v>
      </c>
      <c r="B966" s="7">
        <v>46105</v>
      </c>
      <c r="C966" t="s">
        <v>259</v>
      </c>
      <c r="D966" t="s">
        <v>26</v>
      </c>
      <c r="E966" t="s">
        <v>35</v>
      </c>
      <c r="F966" t="s">
        <v>135</v>
      </c>
      <c r="G966" t="s">
        <v>147</v>
      </c>
      <c r="H966" t="s">
        <v>58</v>
      </c>
      <c r="I966">
        <v>1</v>
      </c>
      <c r="J966" s="5">
        <v>399</v>
      </c>
      <c r="K966" s="2">
        <v>0.2</v>
      </c>
      <c r="L966" t="s">
        <v>22</v>
      </c>
      <c r="M966" t="s">
        <v>23</v>
      </c>
      <c r="N966" s="1">
        <v>46112</v>
      </c>
      <c r="O966" s="1">
        <v>46109</v>
      </c>
      <c r="P966" s="5">
        <f>Orders[[#This Row],[Quantity]]*Orders[[#This Row],[Unit Price]]</f>
        <v>399</v>
      </c>
      <c r="Q966" s="5">
        <f>Orders[[#This Row],[Gross Sales]]*Orders[[#This Row],[Discount %]]</f>
        <v>79.800000000000011</v>
      </c>
      <c r="R966" s="5">
        <f>Orders[[#This Row],[Gross Sales]]-Orders[[#This Row],[Discount Amount]]</f>
        <v>319.2</v>
      </c>
      <c r="S966">
        <f>IF(Orders[[#This Row],[Actual Delivery Date]]="","",Orders[[#This Row],[Actual Delivery Date]]-Orders[[#This Row],[Order Date]])</f>
        <v>4</v>
      </c>
      <c r="T966" t="str">
        <f>IF(Orders[[#This Row],[Actual Delivery Date]]="","Pending",IF(Orders[[#This Row],[Actual Delivery Date]]&lt;=Orders[[#This Row],[Expected Delivery Date]],"On Time","Late"))</f>
        <v>On Time</v>
      </c>
      <c r="U966" t="str">
        <f>TEXT(Orders[[#This Row],[Order Date]],"mmm")</f>
        <v>Mar</v>
      </c>
      <c r="V966" s="8">
        <f>DATE(YEAR(Orders[[#This Row],[Order Date]]),MONTH(Orders[[#This Row],[Order Date]]),1)</f>
        <v>46082</v>
      </c>
      <c r="W966" s="5">
        <f>IF(Orders[[#This Row],[Order Status]]="Cancelled",Orders[[#This Row],[Net Sales]],0)</f>
        <v>0</v>
      </c>
    </row>
    <row r="967" spans="1:23" x14ac:dyDescent="0.3">
      <c r="A967" t="s">
        <v>1615</v>
      </c>
      <c r="B967" s="7">
        <v>46347</v>
      </c>
      <c r="C967" t="s">
        <v>411</v>
      </c>
      <c r="D967" t="s">
        <v>980</v>
      </c>
      <c r="E967" t="s">
        <v>18</v>
      </c>
      <c r="F967" t="s">
        <v>121</v>
      </c>
      <c r="G967" t="s">
        <v>118</v>
      </c>
      <c r="H967" t="s">
        <v>58</v>
      </c>
      <c r="I967">
        <v>1</v>
      </c>
      <c r="J967" s="5">
        <v>749</v>
      </c>
      <c r="K967" s="2">
        <v>0.15</v>
      </c>
      <c r="L967" t="s">
        <v>22</v>
      </c>
      <c r="M967" t="s">
        <v>23</v>
      </c>
      <c r="N967" s="1">
        <v>46352</v>
      </c>
      <c r="O967" s="1">
        <v>46352</v>
      </c>
      <c r="P967" s="5">
        <f>Orders[[#This Row],[Quantity]]*Orders[[#This Row],[Unit Price]]</f>
        <v>749</v>
      </c>
      <c r="Q967" s="5">
        <f>Orders[[#This Row],[Gross Sales]]*Orders[[#This Row],[Discount %]]</f>
        <v>112.35</v>
      </c>
      <c r="R967" s="5">
        <f>Orders[[#This Row],[Gross Sales]]-Orders[[#This Row],[Discount Amount]]</f>
        <v>636.65</v>
      </c>
      <c r="S967">
        <f>IF(Orders[[#This Row],[Actual Delivery Date]]="","",Orders[[#This Row],[Actual Delivery Date]]-Orders[[#This Row],[Order Date]])</f>
        <v>5</v>
      </c>
      <c r="T967" t="str">
        <f>IF(Orders[[#This Row],[Actual Delivery Date]]="","Pending",IF(Orders[[#This Row],[Actual Delivery Date]]&lt;=Orders[[#This Row],[Expected Delivery Date]],"On Time","Late"))</f>
        <v>On Time</v>
      </c>
      <c r="U967" t="str">
        <f>TEXT(Orders[[#This Row],[Order Date]],"mmm")</f>
        <v>Nov</v>
      </c>
      <c r="V967" s="8">
        <f>DATE(YEAR(Orders[[#This Row],[Order Date]]),MONTH(Orders[[#This Row],[Order Date]]),1)</f>
        <v>46327</v>
      </c>
      <c r="W967" s="5">
        <f>IF(Orders[[#This Row],[Order Status]]="Cancelled",Orders[[#This Row],[Net Sales]],0)</f>
        <v>0</v>
      </c>
    </row>
    <row r="968" spans="1:23" x14ac:dyDescent="0.3">
      <c r="A968" t="s">
        <v>1616</v>
      </c>
      <c r="B968" s="7">
        <v>46368</v>
      </c>
      <c r="C968" t="s">
        <v>310</v>
      </c>
      <c r="D968" t="s">
        <v>725</v>
      </c>
      <c r="E968" t="s">
        <v>27</v>
      </c>
      <c r="F968" t="s">
        <v>74</v>
      </c>
      <c r="G968" t="s">
        <v>100</v>
      </c>
      <c r="H968" t="s">
        <v>30</v>
      </c>
      <c r="I968">
        <v>1</v>
      </c>
      <c r="J968" s="5">
        <v>2499</v>
      </c>
      <c r="K968" s="2">
        <v>0</v>
      </c>
      <c r="L968" t="s">
        <v>46</v>
      </c>
      <c r="M968" t="s">
        <v>59</v>
      </c>
      <c r="N968" s="1">
        <v>46374</v>
      </c>
      <c r="O968" s="1">
        <v>46373</v>
      </c>
      <c r="P968" s="5">
        <f>Orders[[#This Row],[Quantity]]*Orders[[#This Row],[Unit Price]]</f>
        <v>2499</v>
      </c>
      <c r="Q968" s="5">
        <f>Orders[[#This Row],[Gross Sales]]*Orders[[#This Row],[Discount %]]</f>
        <v>0</v>
      </c>
      <c r="R968" s="5">
        <f>Orders[[#This Row],[Gross Sales]]-Orders[[#This Row],[Discount Amount]]</f>
        <v>2499</v>
      </c>
      <c r="S968">
        <f>IF(Orders[[#This Row],[Actual Delivery Date]]="","",Orders[[#This Row],[Actual Delivery Date]]-Orders[[#This Row],[Order Date]])</f>
        <v>5</v>
      </c>
      <c r="T968" t="str">
        <f>IF(Orders[[#This Row],[Actual Delivery Date]]="","Pending",IF(Orders[[#This Row],[Actual Delivery Date]]&lt;=Orders[[#This Row],[Expected Delivery Date]],"On Time","Late"))</f>
        <v>On Time</v>
      </c>
      <c r="U968" t="str">
        <f>TEXT(Orders[[#This Row],[Order Date]],"mmm")</f>
        <v>Dec</v>
      </c>
      <c r="V968" s="8">
        <f>DATE(YEAR(Orders[[#This Row],[Order Date]]),MONTH(Orders[[#This Row],[Order Date]]),1)</f>
        <v>46357</v>
      </c>
      <c r="W968" s="5">
        <f>IF(Orders[[#This Row],[Order Status]]="Cancelled",Orders[[#This Row],[Net Sales]],0)</f>
        <v>2499</v>
      </c>
    </row>
    <row r="969" spans="1:23" x14ac:dyDescent="0.3">
      <c r="A969" t="s">
        <v>1617</v>
      </c>
      <c r="B969" s="7">
        <v>46085</v>
      </c>
      <c r="C969" t="s">
        <v>780</v>
      </c>
      <c r="D969" t="s">
        <v>378</v>
      </c>
      <c r="E969" t="s">
        <v>18</v>
      </c>
      <c r="F969" t="s">
        <v>43</v>
      </c>
      <c r="G969" t="s">
        <v>64</v>
      </c>
      <c r="H969" t="s">
        <v>21</v>
      </c>
      <c r="I969">
        <v>3</v>
      </c>
      <c r="J969" s="5">
        <v>699</v>
      </c>
      <c r="K969" s="2">
        <v>0.15</v>
      </c>
      <c r="L969" t="s">
        <v>46</v>
      </c>
      <c r="M969" t="s">
        <v>23</v>
      </c>
      <c r="N969" s="1">
        <v>46091</v>
      </c>
      <c r="O969" s="1">
        <v>46088</v>
      </c>
      <c r="P969" s="5">
        <f>Orders[[#This Row],[Quantity]]*Orders[[#This Row],[Unit Price]]</f>
        <v>2097</v>
      </c>
      <c r="Q969" s="5">
        <f>Orders[[#This Row],[Gross Sales]]*Orders[[#This Row],[Discount %]]</f>
        <v>314.55</v>
      </c>
      <c r="R969" s="5">
        <f>Orders[[#This Row],[Gross Sales]]-Orders[[#This Row],[Discount Amount]]</f>
        <v>1782.45</v>
      </c>
      <c r="S969">
        <f>IF(Orders[[#This Row],[Actual Delivery Date]]="","",Orders[[#This Row],[Actual Delivery Date]]-Orders[[#This Row],[Order Date]])</f>
        <v>3</v>
      </c>
      <c r="T969" t="str">
        <f>IF(Orders[[#This Row],[Actual Delivery Date]]="","Pending",IF(Orders[[#This Row],[Actual Delivery Date]]&lt;=Orders[[#This Row],[Expected Delivery Date]],"On Time","Late"))</f>
        <v>On Time</v>
      </c>
      <c r="U969" t="str">
        <f>TEXT(Orders[[#This Row],[Order Date]],"mmm")</f>
        <v>Mar</v>
      </c>
      <c r="V969" s="8">
        <f>DATE(YEAR(Orders[[#This Row],[Order Date]]),MONTH(Orders[[#This Row],[Order Date]]),1)</f>
        <v>46082</v>
      </c>
      <c r="W969" s="5">
        <f>IF(Orders[[#This Row],[Order Status]]="Cancelled",Orders[[#This Row],[Net Sales]],0)</f>
        <v>0</v>
      </c>
    </row>
    <row r="970" spans="1:23" x14ac:dyDescent="0.3">
      <c r="A970" t="s">
        <v>1618</v>
      </c>
      <c r="B970" s="7">
        <v>46114</v>
      </c>
      <c r="C970" t="s">
        <v>889</v>
      </c>
      <c r="D970" t="s">
        <v>1291</v>
      </c>
      <c r="E970" t="s">
        <v>35</v>
      </c>
      <c r="F970" t="s">
        <v>135</v>
      </c>
      <c r="G970" t="s">
        <v>91</v>
      </c>
      <c r="H970" t="s">
        <v>30</v>
      </c>
      <c r="I970">
        <v>1</v>
      </c>
      <c r="J970" s="5">
        <v>3299</v>
      </c>
      <c r="K970" s="2">
        <v>0.15</v>
      </c>
      <c r="L970" t="s">
        <v>39</v>
      </c>
      <c r="M970" t="s">
        <v>23</v>
      </c>
      <c r="N970" s="1">
        <v>46118</v>
      </c>
      <c r="O970" s="1">
        <v>46115</v>
      </c>
      <c r="P970" s="5">
        <f>Orders[[#This Row],[Quantity]]*Orders[[#This Row],[Unit Price]]</f>
        <v>3299</v>
      </c>
      <c r="Q970" s="5">
        <f>Orders[[#This Row],[Gross Sales]]*Orders[[#This Row],[Discount %]]</f>
        <v>494.84999999999997</v>
      </c>
      <c r="R970" s="5">
        <f>Orders[[#This Row],[Gross Sales]]-Orders[[#This Row],[Discount Amount]]</f>
        <v>2804.15</v>
      </c>
      <c r="S970">
        <f>IF(Orders[[#This Row],[Actual Delivery Date]]="","",Orders[[#This Row],[Actual Delivery Date]]-Orders[[#This Row],[Order Date]])</f>
        <v>1</v>
      </c>
      <c r="T970" t="str">
        <f>IF(Orders[[#This Row],[Actual Delivery Date]]="","Pending",IF(Orders[[#This Row],[Actual Delivery Date]]&lt;=Orders[[#This Row],[Expected Delivery Date]],"On Time","Late"))</f>
        <v>On Time</v>
      </c>
      <c r="U970" t="str">
        <f>TEXT(Orders[[#This Row],[Order Date]],"mmm")</f>
        <v>Apr</v>
      </c>
      <c r="V970" s="8">
        <f>DATE(YEAR(Orders[[#This Row],[Order Date]]),MONTH(Orders[[#This Row],[Order Date]]),1)</f>
        <v>46113</v>
      </c>
      <c r="W970" s="5">
        <f>IF(Orders[[#This Row],[Order Status]]="Cancelled",Orders[[#This Row],[Net Sales]],0)</f>
        <v>0</v>
      </c>
    </row>
    <row r="971" spans="1:23" x14ac:dyDescent="0.3">
      <c r="A971" t="s">
        <v>1619</v>
      </c>
      <c r="B971" s="7">
        <v>46066</v>
      </c>
      <c r="C971" t="s">
        <v>273</v>
      </c>
      <c r="D971" t="s">
        <v>392</v>
      </c>
      <c r="E971" t="s">
        <v>18</v>
      </c>
      <c r="F971" t="s">
        <v>43</v>
      </c>
      <c r="G971" t="s">
        <v>37</v>
      </c>
      <c r="H971" t="s">
        <v>38</v>
      </c>
      <c r="I971">
        <v>2</v>
      </c>
      <c r="J971" s="5">
        <v>699</v>
      </c>
      <c r="K971" s="2">
        <v>0.05</v>
      </c>
      <c r="L971" t="s">
        <v>31</v>
      </c>
      <c r="M971" t="s">
        <v>59</v>
      </c>
      <c r="N971" s="1">
        <v>46071</v>
      </c>
      <c r="O971" s="1">
        <v>46069</v>
      </c>
      <c r="P971" s="5">
        <f>Orders[[#This Row],[Quantity]]*Orders[[#This Row],[Unit Price]]</f>
        <v>1398</v>
      </c>
      <c r="Q971" s="5">
        <f>Orders[[#This Row],[Gross Sales]]*Orders[[#This Row],[Discount %]]</f>
        <v>69.900000000000006</v>
      </c>
      <c r="R971" s="5">
        <f>Orders[[#This Row],[Gross Sales]]-Orders[[#This Row],[Discount Amount]]</f>
        <v>1328.1</v>
      </c>
      <c r="S971">
        <f>IF(Orders[[#This Row],[Actual Delivery Date]]="","",Orders[[#This Row],[Actual Delivery Date]]-Orders[[#This Row],[Order Date]])</f>
        <v>3</v>
      </c>
      <c r="T971" t="str">
        <f>IF(Orders[[#This Row],[Actual Delivery Date]]="","Pending",IF(Orders[[#This Row],[Actual Delivery Date]]&lt;=Orders[[#This Row],[Expected Delivery Date]],"On Time","Late"))</f>
        <v>On Time</v>
      </c>
      <c r="U971" t="str">
        <f>TEXT(Orders[[#This Row],[Order Date]],"mmm")</f>
        <v>Feb</v>
      </c>
      <c r="V971" s="8">
        <f>DATE(YEAR(Orders[[#This Row],[Order Date]]),MONTH(Orders[[#This Row],[Order Date]]),1)</f>
        <v>46054</v>
      </c>
      <c r="W971" s="5">
        <f>IF(Orders[[#This Row],[Order Status]]="Cancelled",Orders[[#This Row],[Net Sales]],0)</f>
        <v>1328.1</v>
      </c>
    </row>
    <row r="972" spans="1:23" x14ac:dyDescent="0.3">
      <c r="A972" t="s">
        <v>1620</v>
      </c>
      <c r="B972" s="7">
        <v>46190</v>
      </c>
      <c r="C972" t="s">
        <v>276</v>
      </c>
      <c r="D972" t="s">
        <v>412</v>
      </c>
      <c r="E972" t="s">
        <v>27</v>
      </c>
      <c r="F972" t="s">
        <v>74</v>
      </c>
      <c r="G972" t="s">
        <v>75</v>
      </c>
      <c r="H972" t="s">
        <v>45</v>
      </c>
      <c r="I972">
        <v>1</v>
      </c>
      <c r="J972" s="5">
        <v>799</v>
      </c>
      <c r="K972" s="2">
        <v>0.05</v>
      </c>
      <c r="L972" t="s">
        <v>22</v>
      </c>
      <c r="M972" t="s">
        <v>59</v>
      </c>
      <c r="N972" s="1">
        <v>46197</v>
      </c>
      <c r="O972" s="1">
        <v>46191</v>
      </c>
      <c r="P972" s="5">
        <f>Orders[[#This Row],[Quantity]]*Orders[[#This Row],[Unit Price]]</f>
        <v>799</v>
      </c>
      <c r="Q972" s="5">
        <f>Orders[[#This Row],[Gross Sales]]*Orders[[#This Row],[Discount %]]</f>
        <v>39.950000000000003</v>
      </c>
      <c r="R972" s="5">
        <f>Orders[[#This Row],[Gross Sales]]-Orders[[#This Row],[Discount Amount]]</f>
        <v>759.05</v>
      </c>
      <c r="S972">
        <f>IF(Orders[[#This Row],[Actual Delivery Date]]="","",Orders[[#This Row],[Actual Delivery Date]]-Orders[[#This Row],[Order Date]])</f>
        <v>1</v>
      </c>
      <c r="T972" t="str">
        <f>IF(Orders[[#This Row],[Actual Delivery Date]]="","Pending",IF(Orders[[#This Row],[Actual Delivery Date]]&lt;=Orders[[#This Row],[Expected Delivery Date]],"On Time","Late"))</f>
        <v>On Time</v>
      </c>
      <c r="U972" t="str">
        <f>TEXT(Orders[[#This Row],[Order Date]],"mmm")</f>
        <v>Jun</v>
      </c>
      <c r="V972" s="8">
        <f>DATE(YEAR(Orders[[#This Row],[Order Date]]),MONTH(Orders[[#This Row],[Order Date]]),1)</f>
        <v>46174</v>
      </c>
      <c r="W972" s="5">
        <f>IF(Orders[[#This Row],[Order Status]]="Cancelled",Orders[[#This Row],[Net Sales]],0)</f>
        <v>759.05</v>
      </c>
    </row>
    <row r="973" spans="1:23" x14ac:dyDescent="0.3">
      <c r="A973" t="s">
        <v>1621</v>
      </c>
      <c r="B973" s="7">
        <v>46228</v>
      </c>
      <c r="C973" t="s">
        <v>686</v>
      </c>
      <c r="D973" t="s">
        <v>804</v>
      </c>
      <c r="E973" t="s">
        <v>18</v>
      </c>
      <c r="F973" t="s">
        <v>121</v>
      </c>
      <c r="G973" t="s">
        <v>218</v>
      </c>
      <c r="H973" t="s">
        <v>21</v>
      </c>
      <c r="I973">
        <v>1</v>
      </c>
      <c r="J973" s="5">
        <v>2999</v>
      </c>
      <c r="K973" s="2">
        <v>0.1</v>
      </c>
      <c r="L973" t="s">
        <v>39</v>
      </c>
      <c r="M973" t="s">
        <v>82</v>
      </c>
      <c r="N973" s="1">
        <v>46233</v>
      </c>
      <c r="O973" s="1">
        <v>46235</v>
      </c>
      <c r="P973" s="5">
        <f>Orders[[#This Row],[Quantity]]*Orders[[#This Row],[Unit Price]]</f>
        <v>2999</v>
      </c>
      <c r="Q973" s="5">
        <f>Orders[[#This Row],[Gross Sales]]*Orders[[#This Row],[Discount %]]</f>
        <v>299.90000000000003</v>
      </c>
      <c r="R973" s="5">
        <f>Orders[[#This Row],[Gross Sales]]-Orders[[#This Row],[Discount Amount]]</f>
        <v>2699.1</v>
      </c>
      <c r="S973">
        <f>IF(Orders[[#This Row],[Actual Delivery Date]]="","",Orders[[#This Row],[Actual Delivery Date]]-Orders[[#This Row],[Order Date]])</f>
        <v>7</v>
      </c>
      <c r="T973" t="str">
        <f>IF(Orders[[#This Row],[Actual Delivery Date]]="","Pending",IF(Orders[[#This Row],[Actual Delivery Date]]&lt;=Orders[[#This Row],[Expected Delivery Date]],"On Time","Late"))</f>
        <v>Late</v>
      </c>
      <c r="U973" t="str">
        <f>TEXT(Orders[[#This Row],[Order Date]],"mmm")</f>
        <v>Jul</v>
      </c>
      <c r="V973" s="8">
        <f>DATE(YEAR(Orders[[#This Row],[Order Date]]),MONTH(Orders[[#This Row],[Order Date]]),1)</f>
        <v>46204</v>
      </c>
      <c r="W973" s="5">
        <f>IF(Orders[[#This Row],[Order Status]]="Cancelled",Orders[[#This Row],[Net Sales]],0)</f>
        <v>0</v>
      </c>
    </row>
    <row r="974" spans="1:23" x14ac:dyDescent="0.3">
      <c r="A974" t="s">
        <v>1622</v>
      </c>
      <c r="B974" s="7">
        <v>46316</v>
      </c>
      <c r="C974" t="s">
        <v>1623</v>
      </c>
      <c r="D974" t="s">
        <v>42</v>
      </c>
      <c r="E974" t="s">
        <v>35</v>
      </c>
      <c r="F974" t="s">
        <v>68</v>
      </c>
      <c r="G974" t="s">
        <v>153</v>
      </c>
      <c r="H974" t="s">
        <v>45</v>
      </c>
      <c r="I974">
        <v>2</v>
      </c>
      <c r="J974" s="5">
        <v>1999</v>
      </c>
      <c r="K974" s="2">
        <v>0.15</v>
      </c>
      <c r="L974" t="s">
        <v>46</v>
      </c>
      <c r="M974" t="s">
        <v>59</v>
      </c>
      <c r="N974" s="1">
        <v>46323</v>
      </c>
      <c r="O974" s="1">
        <v>46319</v>
      </c>
      <c r="P974" s="5">
        <f>Orders[[#This Row],[Quantity]]*Orders[[#This Row],[Unit Price]]</f>
        <v>3998</v>
      </c>
      <c r="Q974" s="5">
        <f>Orders[[#This Row],[Gross Sales]]*Orders[[#This Row],[Discount %]]</f>
        <v>599.69999999999993</v>
      </c>
      <c r="R974" s="5">
        <f>Orders[[#This Row],[Gross Sales]]-Orders[[#This Row],[Discount Amount]]</f>
        <v>3398.3</v>
      </c>
      <c r="S974">
        <f>IF(Orders[[#This Row],[Actual Delivery Date]]="","",Orders[[#This Row],[Actual Delivery Date]]-Orders[[#This Row],[Order Date]])</f>
        <v>3</v>
      </c>
      <c r="T974" t="str">
        <f>IF(Orders[[#This Row],[Actual Delivery Date]]="","Pending",IF(Orders[[#This Row],[Actual Delivery Date]]&lt;=Orders[[#This Row],[Expected Delivery Date]],"On Time","Late"))</f>
        <v>On Time</v>
      </c>
      <c r="U974" t="str">
        <f>TEXT(Orders[[#This Row],[Order Date]],"mmm")</f>
        <v>Oct</v>
      </c>
      <c r="V974" s="8">
        <f>DATE(YEAR(Orders[[#This Row],[Order Date]]),MONTH(Orders[[#This Row],[Order Date]]),1)</f>
        <v>46296</v>
      </c>
      <c r="W974" s="5">
        <f>IF(Orders[[#This Row],[Order Status]]="Cancelled",Orders[[#This Row],[Net Sales]],0)</f>
        <v>3398.3</v>
      </c>
    </row>
    <row r="975" spans="1:23" x14ac:dyDescent="0.3">
      <c r="A975" t="s">
        <v>1624</v>
      </c>
      <c r="B975" s="7">
        <v>46025</v>
      </c>
      <c r="C975" t="s">
        <v>280</v>
      </c>
      <c r="D975" t="s">
        <v>682</v>
      </c>
      <c r="E975" t="s">
        <v>79</v>
      </c>
      <c r="F975" t="s">
        <v>108</v>
      </c>
      <c r="G975" t="s">
        <v>186</v>
      </c>
      <c r="H975" t="s">
        <v>21</v>
      </c>
      <c r="I975">
        <v>1</v>
      </c>
      <c r="J975" s="5">
        <v>1999</v>
      </c>
      <c r="K975" s="2">
        <v>0</v>
      </c>
      <c r="L975" t="s">
        <v>70</v>
      </c>
      <c r="M975" t="s">
        <v>59</v>
      </c>
      <c r="N975" s="1">
        <v>46028</v>
      </c>
      <c r="O975" s="1">
        <v>46027</v>
      </c>
      <c r="P975" s="5">
        <f>Orders[[#This Row],[Quantity]]*Orders[[#This Row],[Unit Price]]</f>
        <v>1999</v>
      </c>
      <c r="Q975" s="5">
        <f>Orders[[#This Row],[Gross Sales]]*Orders[[#This Row],[Discount %]]</f>
        <v>0</v>
      </c>
      <c r="R975" s="5">
        <f>Orders[[#This Row],[Gross Sales]]-Orders[[#This Row],[Discount Amount]]</f>
        <v>1999</v>
      </c>
      <c r="S975">
        <f>IF(Orders[[#This Row],[Actual Delivery Date]]="","",Orders[[#This Row],[Actual Delivery Date]]-Orders[[#This Row],[Order Date]])</f>
        <v>2</v>
      </c>
      <c r="T975" t="str">
        <f>IF(Orders[[#This Row],[Actual Delivery Date]]="","Pending",IF(Orders[[#This Row],[Actual Delivery Date]]&lt;=Orders[[#This Row],[Expected Delivery Date]],"On Time","Late"))</f>
        <v>On Time</v>
      </c>
      <c r="U975" t="str">
        <f>TEXT(Orders[[#This Row],[Order Date]],"mmm")</f>
        <v>Jan</v>
      </c>
      <c r="V975" s="8">
        <f>DATE(YEAR(Orders[[#This Row],[Order Date]]),MONTH(Orders[[#This Row],[Order Date]]),1)</f>
        <v>46023</v>
      </c>
      <c r="W975" s="5">
        <f>IF(Orders[[#This Row],[Order Status]]="Cancelled",Orders[[#This Row],[Net Sales]],0)</f>
        <v>1999</v>
      </c>
    </row>
    <row r="976" spans="1:23" x14ac:dyDescent="0.3">
      <c r="A976" t="s">
        <v>1625</v>
      </c>
      <c r="B976" s="7">
        <v>46136</v>
      </c>
      <c r="C976" t="s">
        <v>741</v>
      </c>
      <c r="D976" t="s">
        <v>117</v>
      </c>
      <c r="E976" t="s">
        <v>27</v>
      </c>
      <c r="F976" t="s">
        <v>56</v>
      </c>
      <c r="G976" t="s">
        <v>153</v>
      </c>
      <c r="H976" t="s">
        <v>45</v>
      </c>
      <c r="I976">
        <v>1</v>
      </c>
      <c r="J976" s="5">
        <v>1999</v>
      </c>
      <c r="K976" s="2">
        <v>0.1</v>
      </c>
      <c r="L976" t="s">
        <v>22</v>
      </c>
      <c r="M976" t="s">
        <v>82</v>
      </c>
      <c r="N976" s="1">
        <v>46141</v>
      </c>
      <c r="O976" s="1">
        <v>46141</v>
      </c>
      <c r="P976" s="5">
        <f>Orders[[#This Row],[Quantity]]*Orders[[#This Row],[Unit Price]]</f>
        <v>1999</v>
      </c>
      <c r="Q976" s="5">
        <f>Orders[[#This Row],[Gross Sales]]*Orders[[#This Row],[Discount %]]</f>
        <v>199.9</v>
      </c>
      <c r="R976" s="5">
        <f>Orders[[#This Row],[Gross Sales]]-Orders[[#This Row],[Discount Amount]]</f>
        <v>1799.1</v>
      </c>
      <c r="S976">
        <f>IF(Orders[[#This Row],[Actual Delivery Date]]="","",Orders[[#This Row],[Actual Delivery Date]]-Orders[[#This Row],[Order Date]])</f>
        <v>5</v>
      </c>
      <c r="T976" t="str">
        <f>IF(Orders[[#This Row],[Actual Delivery Date]]="","Pending",IF(Orders[[#This Row],[Actual Delivery Date]]&lt;=Orders[[#This Row],[Expected Delivery Date]],"On Time","Late"))</f>
        <v>On Time</v>
      </c>
      <c r="U976" t="str">
        <f>TEXT(Orders[[#This Row],[Order Date]],"mmm")</f>
        <v>Apr</v>
      </c>
      <c r="V976" s="8">
        <f>DATE(YEAR(Orders[[#This Row],[Order Date]]),MONTH(Orders[[#This Row],[Order Date]]),1)</f>
        <v>46113</v>
      </c>
      <c r="W976" s="5">
        <f>IF(Orders[[#This Row],[Order Status]]="Cancelled",Orders[[#This Row],[Net Sales]],0)</f>
        <v>0</v>
      </c>
    </row>
    <row r="977" spans="1:23" x14ac:dyDescent="0.3">
      <c r="A977" t="s">
        <v>1626</v>
      </c>
      <c r="B977" s="7">
        <v>46198</v>
      </c>
      <c r="C977" t="s">
        <v>580</v>
      </c>
      <c r="D977" t="s">
        <v>1068</v>
      </c>
      <c r="E977" t="s">
        <v>79</v>
      </c>
      <c r="F977" t="s">
        <v>170</v>
      </c>
      <c r="G977" t="s">
        <v>81</v>
      </c>
      <c r="H977" t="s">
        <v>30</v>
      </c>
      <c r="I977">
        <v>1</v>
      </c>
      <c r="J977" s="5">
        <v>899</v>
      </c>
      <c r="K977" s="2">
        <v>0.1</v>
      </c>
      <c r="L977" t="s">
        <v>70</v>
      </c>
      <c r="M977" t="s">
        <v>23</v>
      </c>
      <c r="N977" s="1">
        <v>46203</v>
      </c>
      <c r="O977" s="1">
        <v>46202</v>
      </c>
      <c r="P977" s="5">
        <f>Orders[[#This Row],[Quantity]]*Orders[[#This Row],[Unit Price]]</f>
        <v>899</v>
      </c>
      <c r="Q977" s="5">
        <f>Orders[[#This Row],[Gross Sales]]*Orders[[#This Row],[Discount %]]</f>
        <v>89.9</v>
      </c>
      <c r="R977" s="5">
        <f>Orders[[#This Row],[Gross Sales]]-Orders[[#This Row],[Discount Amount]]</f>
        <v>809.1</v>
      </c>
      <c r="S977">
        <f>IF(Orders[[#This Row],[Actual Delivery Date]]="","",Orders[[#This Row],[Actual Delivery Date]]-Orders[[#This Row],[Order Date]])</f>
        <v>4</v>
      </c>
      <c r="T977" t="str">
        <f>IF(Orders[[#This Row],[Actual Delivery Date]]="","Pending",IF(Orders[[#This Row],[Actual Delivery Date]]&lt;=Orders[[#This Row],[Expected Delivery Date]],"On Time","Late"))</f>
        <v>On Time</v>
      </c>
      <c r="U977" t="str">
        <f>TEXT(Orders[[#This Row],[Order Date]],"mmm")</f>
        <v>Jun</v>
      </c>
      <c r="V977" s="8">
        <f>DATE(YEAR(Orders[[#This Row],[Order Date]]),MONTH(Orders[[#This Row],[Order Date]]),1)</f>
        <v>46174</v>
      </c>
      <c r="W977" s="5">
        <f>IF(Orders[[#This Row],[Order Status]]="Cancelled",Orders[[#This Row],[Net Sales]],0)</f>
        <v>0</v>
      </c>
    </row>
    <row r="978" spans="1:23" x14ac:dyDescent="0.3">
      <c r="A978" t="s">
        <v>1627</v>
      </c>
      <c r="B978" s="7">
        <v>46039</v>
      </c>
      <c r="C978" t="s">
        <v>920</v>
      </c>
      <c r="D978" t="s">
        <v>241</v>
      </c>
      <c r="E978" t="s">
        <v>27</v>
      </c>
      <c r="F978" t="s">
        <v>74</v>
      </c>
      <c r="G978" t="s">
        <v>218</v>
      </c>
      <c r="H978" t="s">
        <v>21</v>
      </c>
      <c r="I978">
        <v>2</v>
      </c>
      <c r="J978" s="5">
        <v>2999</v>
      </c>
      <c r="K978" s="2">
        <v>0.2</v>
      </c>
      <c r="L978" t="s">
        <v>39</v>
      </c>
      <c r="M978" t="s">
        <v>59</v>
      </c>
      <c r="N978" s="1">
        <v>46044</v>
      </c>
      <c r="O978" s="1">
        <v>46042</v>
      </c>
      <c r="P978" s="5">
        <f>Orders[[#This Row],[Quantity]]*Orders[[#This Row],[Unit Price]]</f>
        <v>5998</v>
      </c>
      <c r="Q978" s="5">
        <f>Orders[[#This Row],[Gross Sales]]*Orders[[#This Row],[Discount %]]</f>
        <v>1199.6000000000001</v>
      </c>
      <c r="R978" s="5">
        <f>Orders[[#This Row],[Gross Sales]]-Orders[[#This Row],[Discount Amount]]</f>
        <v>4798.3999999999996</v>
      </c>
      <c r="S978">
        <f>IF(Orders[[#This Row],[Actual Delivery Date]]="","",Orders[[#This Row],[Actual Delivery Date]]-Orders[[#This Row],[Order Date]])</f>
        <v>3</v>
      </c>
      <c r="T978" t="str">
        <f>IF(Orders[[#This Row],[Actual Delivery Date]]="","Pending",IF(Orders[[#This Row],[Actual Delivery Date]]&lt;=Orders[[#This Row],[Expected Delivery Date]],"On Time","Late"))</f>
        <v>On Time</v>
      </c>
      <c r="U978" t="str">
        <f>TEXT(Orders[[#This Row],[Order Date]],"mmm")</f>
        <v>Jan</v>
      </c>
      <c r="V978" s="8">
        <f>DATE(YEAR(Orders[[#This Row],[Order Date]]),MONTH(Orders[[#This Row],[Order Date]]),1)</f>
        <v>46023</v>
      </c>
      <c r="W978" s="5">
        <f>IF(Orders[[#This Row],[Order Status]]="Cancelled",Orders[[#This Row],[Net Sales]],0)</f>
        <v>4798.3999999999996</v>
      </c>
    </row>
    <row r="979" spans="1:23" x14ac:dyDescent="0.3">
      <c r="A979" t="s">
        <v>1628</v>
      </c>
      <c r="B979" s="7">
        <v>46254</v>
      </c>
      <c r="C979" t="s">
        <v>554</v>
      </c>
      <c r="D979" t="s">
        <v>395</v>
      </c>
      <c r="E979" t="s">
        <v>35</v>
      </c>
      <c r="F979" t="s">
        <v>36</v>
      </c>
      <c r="G979" t="s">
        <v>186</v>
      </c>
      <c r="H979" t="s">
        <v>21</v>
      </c>
      <c r="I979">
        <v>2</v>
      </c>
      <c r="J979" s="5">
        <v>1999</v>
      </c>
      <c r="K979" s="2">
        <v>0</v>
      </c>
      <c r="L979" t="s">
        <v>31</v>
      </c>
      <c r="M979" t="s">
        <v>47</v>
      </c>
      <c r="N979" s="1">
        <v>46260</v>
      </c>
      <c r="O979" s="1"/>
      <c r="P979" s="5">
        <f>Orders[[#This Row],[Quantity]]*Orders[[#This Row],[Unit Price]]</f>
        <v>3998</v>
      </c>
      <c r="Q979" s="5">
        <f>Orders[[#This Row],[Gross Sales]]*Orders[[#This Row],[Discount %]]</f>
        <v>0</v>
      </c>
      <c r="R979" s="5">
        <f>Orders[[#This Row],[Gross Sales]]-Orders[[#This Row],[Discount Amount]]</f>
        <v>3998</v>
      </c>
      <c r="S979" t="str">
        <f>IF(Orders[[#This Row],[Actual Delivery Date]]="","",Orders[[#This Row],[Actual Delivery Date]]-Orders[[#This Row],[Order Date]])</f>
        <v/>
      </c>
      <c r="T979" t="str">
        <f>IF(Orders[[#This Row],[Actual Delivery Date]]="","Pending",IF(Orders[[#This Row],[Actual Delivery Date]]&lt;=Orders[[#This Row],[Expected Delivery Date]],"On Time","Late"))</f>
        <v>Pending</v>
      </c>
      <c r="U979" t="str">
        <f>TEXT(Orders[[#This Row],[Order Date]],"mmm")</f>
        <v>Aug</v>
      </c>
      <c r="V979" s="8">
        <f>DATE(YEAR(Orders[[#This Row],[Order Date]]),MONTH(Orders[[#This Row],[Order Date]]),1)</f>
        <v>46235</v>
      </c>
      <c r="W979" s="5">
        <f>IF(Orders[[#This Row],[Order Status]]="Cancelled",Orders[[#This Row],[Net Sales]],0)</f>
        <v>0</v>
      </c>
    </row>
    <row r="980" spans="1:23" x14ac:dyDescent="0.3">
      <c r="A980" t="s">
        <v>1629</v>
      </c>
      <c r="B980" s="7">
        <v>46307</v>
      </c>
      <c r="C980" t="s">
        <v>1205</v>
      </c>
      <c r="D980" t="s">
        <v>159</v>
      </c>
      <c r="E980" t="s">
        <v>79</v>
      </c>
      <c r="F980" t="s">
        <v>170</v>
      </c>
      <c r="G980" t="s">
        <v>153</v>
      </c>
      <c r="H980" t="s">
        <v>45</v>
      </c>
      <c r="I980">
        <v>2</v>
      </c>
      <c r="J980" s="5">
        <v>1999</v>
      </c>
      <c r="K980" s="2">
        <v>0.05</v>
      </c>
      <c r="L980" t="s">
        <v>70</v>
      </c>
      <c r="M980" t="s">
        <v>47</v>
      </c>
      <c r="N980" s="1">
        <v>46310</v>
      </c>
      <c r="O980" s="1"/>
      <c r="P980" s="5">
        <f>Orders[[#This Row],[Quantity]]*Orders[[#This Row],[Unit Price]]</f>
        <v>3998</v>
      </c>
      <c r="Q980" s="5">
        <f>Orders[[#This Row],[Gross Sales]]*Orders[[#This Row],[Discount %]]</f>
        <v>199.9</v>
      </c>
      <c r="R980" s="5">
        <f>Orders[[#This Row],[Gross Sales]]-Orders[[#This Row],[Discount Amount]]</f>
        <v>3798.1</v>
      </c>
      <c r="S980" t="str">
        <f>IF(Orders[[#This Row],[Actual Delivery Date]]="","",Orders[[#This Row],[Actual Delivery Date]]-Orders[[#This Row],[Order Date]])</f>
        <v/>
      </c>
      <c r="T980" t="str">
        <f>IF(Orders[[#This Row],[Actual Delivery Date]]="","Pending",IF(Orders[[#This Row],[Actual Delivery Date]]&lt;=Orders[[#This Row],[Expected Delivery Date]],"On Time","Late"))</f>
        <v>Pending</v>
      </c>
      <c r="U980" t="str">
        <f>TEXT(Orders[[#This Row],[Order Date]],"mmm")</f>
        <v>Oct</v>
      </c>
      <c r="V980" s="8">
        <f>DATE(YEAR(Orders[[#This Row],[Order Date]]),MONTH(Orders[[#This Row],[Order Date]]),1)</f>
        <v>46296</v>
      </c>
      <c r="W980" s="5">
        <f>IF(Orders[[#This Row],[Order Status]]="Cancelled",Orders[[#This Row],[Net Sales]],0)</f>
        <v>0</v>
      </c>
    </row>
    <row r="981" spans="1:23" x14ac:dyDescent="0.3">
      <c r="A981" t="s">
        <v>1630</v>
      </c>
      <c r="B981" s="7">
        <v>46079</v>
      </c>
      <c r="C981" t="s">
        <v>1066</v>
      </c>
      <c r="D981" t="s">
        <v>17</v>
      </c>
      <c r="E981" t="s">
        <v>18</v>
      </c>
      <c r="F981" t="s">
        <v>43</v>
      </c>
      <c r="G981" t="s">
        <v>37</v>
      </c>
      <c r="H981" t="s">
        <v>38</v>
      </c>
      <c r="I981">
        <v>2</v>
      </c>
      <c r="J981" s="5">
        <v>699</v>
      </c>
      <c r="K981" s="2">
        <v>0.05</v>
      </c>
      <c r="L981" t="s">
        <v>31</v>
      </c>
      <c r="M981" t="s">
        <v>82</v>
      </c>
      <c r="N981" s="1">
        <v>46086</v>
      </c>
      <c r="O981" s="1">
        <v>46090</v>
      </c>
      <c r="P981" s="5">
        <f>Orders[[#This Row],[Quantity]]*Orders[[#This Row],[Unit Price]]</f>
        <v>1398</v>
      </c>
      <c r="Q981" s="5">
        <f>Orders[[#This Row],[Gross Sales]]*Orders[[#This Row],[Discount %]]</f>
        <v>69.900000000000006</v>
      </c>
      <c r="R981" s="5">
        <f>Orders[[#This Row],[Gross Sales]]-Orders[[#This Row],[Discount Amount]]</f>
        <v>1328.1</v>
      </c>
      <c r="S981">
        <f>IF(Orders[[#This Row],[Actual Delivery Date]]="","",Orders[[#This Row],[Actual Delivery Date]]-Orders[[#This Row],[Order Date]])</f>
        <v>11</v>
      </c>
      <c r="T981" t="str">
        <f>IF(Orders[[#This Row],[Actual Delivery Date]]="","Pending",IF(Orders[[#This Row],[Actual Delivery Date]]&lt;=Orders[[#This Row],[Expected Delivery Date]],"On Time","Late"))</f>
        <v>Late</v>
      </c>
      <c r="U981" t="str">
        <f>TEXT(Orders[[#This Row],[Order Date]],"mmm")</f>
        <v>Feb</v>
      </c>
      <c r="V981" s="8">
        <f>DATE(YEAR(Orders[[#This Row],[Order Date]]),MONTH(Orders[[#This Row],[Order Date]]),1)</f>
        <v>46054</v>
      </c>
      <c r="W981" s="5">
        <f>IF(Orders[[#This Row],[Order Status]]="Cancelled",Orders[[#This Row],[Net Sales]],0)</f>
        <v>0</v>
      </c>
    </row>
    <row r="982" spans="1:23" x14ac:dyDescent="0.3">
      <c r="A982" t="s">
        <v>1631</v>
      </c>
      <c r="B982" s="7">
        <v>46345</v>
      </c>
      <c r="C982" t="s">
        <v>616</v>
      </c>
      <c r="D982" t="s">
        <v>266</v>
      </c>
      <c r="E982" t="s">
        <v>79</v>
      </c>
      <c r="F982" t="s">
        <v>80</v>
      </c>
      <c r="G982" t="s">
        <v>186</v>
      </c>
      <c r="H982" t="s">
        <v>21</v>
      </c>
      <c r="I982">
        <v>1</v>
      </c>
      <c r="J982" s="5">
        <v>1999</v>
      </c>
      <c r="K982" s="2">
        <v>0.1</v>
      </c>
      <c r="L982" t="s">
        <v>22</v>
      </c>
      <c r="M982" t="s">
        <v>47</v>
      </c>
      <c r="N982" s="1">
        <v>46351</v>
      </c>
      <c r="O982" s="1"/>
      <c r="P982" s="5">
        <f>Orders[[#This Row],[Quantity]]*Orders[[#This Row],[Unit Price]]</f>
        <v>1999</v>
      </c>
      <c r="Q982" s="5">
        <f>Orders[[#This Row],[Gross Sales]]*Orders[[#This Row],[Discount %]]</f>
        <v>199.9</v>
      </c>
      <c r="R982" s="5">
        <f>Orders[[#This Row],[Gross Sales]]-Orders[[#This Row],[Discount Amount]]</f>
        <v>1799.1</v>
      </c>
      <c r="S982" t="str">
        <f>IF(Orders[[#This Row],[Actual Delivery Date]]="","",Orders[[#This Row],[Actual Delivery Date]]-Orders[[#This Row],[Order Date]])</f>
        <v/>
      </c>
      <c r="T982" t="str">
        <f>IF(Orders[[#This Row],[Actual Delivery Date]]="","Pending",IF(Orders[[#This Row],[Actual Delivery Date]]&lt;=Orders[[#This Row],[Expected Delivery Date]],"On Time","Late"))</f>
        <v>Pending</v>
      </c>
      <c r="U982" t="str">
        <f>TEXT(Orders[[#This Row],[Order Date]],"mmm")</f>
        <v>Nov</v>
      </c>
      <c r="V982" s="8">
        <f>DATE(YEAR(Orders[[#This Row],[Order Date]]),MONTH(Orders[[#This Row],[Order Date]]),1)</f>
        <v>46327</v>
      </c>
      <c r="W982" s="5">
        <f>IF(Orders[[#This Row],[Order Status]]="Cancelled",Orders[[#This Row],[Net Sales]],0)</f>
        <v>0</v>
      </c>
    </row>
    <row r="983" spans="1:23" x14ac:dyDescent="0.3">
      <c r="A983" t="s">
        <v>1632</v>
      </c>
      <c r="B983" s="7">
        <v>46253</v>
      </c>
      <c r="C983" t="s">
        <v>175</v>
      </c>
      <c r="D983" t="s">
        <v>569</v>
      </c>
      <c r="E983" t="s">
        <v>79</v>
      </c>
      <c r="F983" t="s">
        <v>170</v>
      </c>
      <c r="G983" t="s">
        <v>118</v>
      </c>
      <c r="H983" t="s">
        <v>58</v>
      </c>
      <c r="I983">
        <v>1</v>
      </c>
      <c r="J983" s="5">
        <v>749</v>
      </c>
      <c r="K983" s="2">
        <v>0.05</v>
      </c>
      <c r="L983" t="s">
        <v>70</v>
      </c>
      <c r="M983" t="s">
        <v>23</v>
      </c>
      <c r="N983" s="1">
        <v>46255</v>
      </c>
      <c r="O983" s="1">
        <v>46255</v>
      </c>
      <c r="P983" s="5">
        <f>Orders[[#This Row],[Quantity]]*Orders[[#This Row],[Unit Price]]</f>
        <v>749</v>
      </c>
      <c r="Q983" s="5">
        <f>Orders[[#This Row],[Gross Sales]]*Orders[[#This Row],[Discount %]]</f>
        <v>37.450000000000003</v>
      </c>
      <c r="R983" s="5">
        <f>Orders[[#This Row],[Gross Sales]]-Orders[[#This Row],[Discount Amount]]</f>
        <v>711.55</v>
      </c>
      <c r="S983">
        <f>IF(Orders[[#This Row],[Actual Delivery Date]]="","",Orders[[#This Row],[Actual Delivery Date]]-Orders[[#This Row],[Order Date]])</f>
        <v>2</v>
      </c>
      <c r="T983" t="str">
        <f>IF(Orders[[#This Row],[Actual Delivery Date]]="","Pending",IF(Orders[[#This Row],[Actual Delivery Date]]&lt;=Orders[[#This Row],[Expected Delivery Date]],"On Time","Late"))</f>
        <v>On Time</v>
      </c>
      <c r="U983" t="str">
        <f>TEXT(Orders[[#This Row],[Order Date]],"mmm")</f>
        <v>Aug</v>
      </c>
      <c r="V983" s="8">
        <f>DATE(YEAR(Orders[[#This Row],[Order Date]]),MONTH(Orders[[#This Row],[Order Date]]),1)</f>
        <v>46235</v>
      </c>
      <c r="W983" s="5">
        <f>IF(Orders[[#This Row],[Order Status]]="Cancelled",Orders[[#This Row],[Net Sales]],0)</f>
        <v>0</v>
      </c>
    </row>
    <row r="984" spans="1:23" x14ac:dyDescent="0.3">
      <c r="A984" t="s">
        <v>1633</v>
      </c>
      <c r="B984" s="7">
        <v>46237</v>
      </c>
      <c r="C984" t="s">
        <v>1063</v>
      </c>
      <c r="D984" t="s">
        <v>968</v>
      </c>
      <c r="E984" t="s">
        <v>18</v>
      </c>
      <c r="F984" t="s">
        <v>43</v>
      </c>
      <c r="G984" t="s">
        <v>100</v>
      </c>
      <c r="H984" t="s">
        <v>30</v>
      </c>
      <c r="I984">
        <v>1</v>
      </c>
      <c r="J984" s="5">
        <v>2499</v>
      </c>
      <c r="K984" s="2">
        <v>0</v>
      </c>
      <c r="L984" t="s">
        <v>22</v>
      </c>
      <c r="M984" t="s">
        <v>23</v>
      </c>
      <c r="N984" s="1">
        <v>46240</v>
      </c>
      <c r="O984" s="1">
        <v>46240</v>
      </c>
      <c r="P984" s="5">
        <f>Orders[[#This Row],[Quantity]]*Orders[[#This Row],[Unit Price]]</f>
        <v>2499</v>
      </c>
      <c r="Q984" s="5">
        <f>Orders[[#This Row],[Gross Sales]]*Orders[[#This Row],[Discount %]]</f>
        <v>0</v>
      </c>
      <c r="R984" s="5">
        <f>Orders[[#This Row],[Gross Sales]]-Orders[[#This Row],[Discount Amount]]</f>
        <v>2499</v>
      </c>
      <c r="S984">
        <f>IF(Orders[[#This Row],[Actual Delivery Date]]="","",Orders[[#This Row],[Actual Delivery Date]]-Orders[[#This Row],[Order Date]])</f>
        <v>3</v>
      </c>
      <c r="T984" t="str">
        <f>IF(Orders[[#This Row],[Actual Delivery Date]]="","Pending",IF(Orders[[#This Row],[Actual Delivery Date]]&lt;=Orders[[#This Row],[Expected Delivery Date]],"On Time","Late"))</f>
        <v>On Time</v>
      </c>
      <c r="U984" t="str">
        <f>TEXT(Orders[[#This Row],[Order Date]],"mmm")</f>
        <v>Aug</v>
      </c>
      <c r="V984" s="8">
        <f>DATE(YEAR(Orders[[#This Row],[Order Date]]),MONTH(Orders[[#This Row],[Order Date]]),1)</f>
        <v>46235</v>
      </c>
      <c r="W984" s="5">
        <f>IF(Orders[[#This Row],[Order Status]]="Cancelled",Orders[[#This Row],[Net Sales]],0)</f>
        <v>0</v>
      </c>
    </row>
    <row r="985" spans="1:23" x14ac:dyDescent="0.3">
      <c r="A985" t="s">
        <v>1634</v>
      </c>
      <c r="B985" s="7">
        <v>46150</v>
      </c>
      <c r="C985" t="s">
        <v>324</v>
      </c>
      <c r="D985" t="s">
        <v>737</v>
      </c>
      <c r="E985" t="s">
        <v>79</v>
      </c>
      <c r="F985" t="s">
        <v>86</v>
      </c>
      <c r="G985" t="s">
        <v>87</v>
      </c>
      <c r="H985" t="s">
        <v>21</v>
      </c>
      <c r="I985">
        <v>1</v>
      </c>
      <c r="J985" s="5">
        <v>1899</v>
      </c>
      <c r="K985" s="2">
        <v>0.15</v>
      </c>
      <c r="L985" t="s">
        <v>39</v>
      </c>
      <c r="M985" t="s">
        <v>23</v>
      </c>
      <c r="N985" s="1">
        <v>46152</v>
      </c>
      <c r="O985" s="1">
        <v>46152</v>
      </c>
      <c r="P985" s="5">
        <f>Orders[[#This Row],[Quantity]]*Orders[[#This Row],[Unit Price]]</f>
        <v>1899</v>
      </c>
      <c r="Q985" s="5">
        <f>Orders[[#This Row],[Gross Sales]]*Orders[[#This Row],[Discount %]]</f>
        <v>284.84999999999997</v>
      </c>
      <c r="R985" s="5">
        <f>Orders[[#This Row],[Gross Sales]]-Orders[[#This Row],[Discount Amount]]</f>
        <v>1614.15</v>
      </c>
      <c r="S985">
        <f>IF(Orders[[#This Row],[Actual Delivery Date]]="","",Orders[[#This Row],[Actual Delivery Date]]-Orders[[#This Row],[Order Date]])</f>
        <v>2</v>
      </c>
      <c r="T985" t="str">
        <f>IF(Orders[[#This Row],[Actual Delivery Date]]="","Pending",IF(Orders[[#This Row],[Actual Delivery Date]]&lt;=Orders[[#This Row],[Expected Delivery Date]],"On Time","Late"))</f>
        <v>On Time</v>
      </c>
      <c r="U985" t="str">
        <f>TEXT(Orders[[#This Row],[Order Date]],"mmm")</f>
        <v>May</v>
      </c>
      <c r="V985" s="8">
        <f>DATE(YEAR(Orders[[#This Row],[Order Date]]),MONTH(Orders[[#This Row],[Order Date]]),1)</f>
        <v>46143</v>
      </c>
      <c r="W985" s="5">
        <f>IF(Orders[[#This Row],[Order Status]]="Cancelled",Orders[[#This Row],[Net Sales]],0)</f>
        <v>0</v>
      </c>
    </row>
    <row r="986" spans="1:23" x14ac:dyDescent="0.3">
      <c r="A986" t="s">
        <v>1635</v>
      </c>
      <c r="B986" s="7">
        <v>46145</v>
      </c>
      <c r="C986" t="s">
        <v>704</v>
      </c>
      <c r="D986" t="s">
        <v>254</v>
      </c>
      <c r="E986" t="s">
        <v>27</v>
      </c>
      <c r="F986" t="s">
        <v>56</v>
      </c>
      <c r="G986" t="s">
        <v>118</v>
      </c>
      <c r="H986" t="s">
        <v>58</v>
      </c>
      <c r="I986">
        <v>1</v>
      </c>
      <c r="J986" s="5">
        <v>749</v>
      </c>
      <c r="K986" s="2">
        <v>0.05</v>
      </c>
      <c r="L986" t="s">
        <v>46</v>
      </c>
      <c r="M986" t="s">
        <v>23</v>
      </c>
      <c r="N986" s="1">
        <v>46149</v>
      </c>
      <c r="O986" s="1">
        <v>46146</v>
      </c>
      <c r="P986" s="5">
        <f>Orders[[#This Row],[Quantity]]*Orders[[#This Row],[Unit Price]]</f>
        <v>749</v>
      </c>
      <c r="Q986" s="5">
        <f>Orders[[#This Row],[Gross Sales]]*Orders[[#This Row],[Discount %]]</f>
        <v>37.450000000000003</v>
      </c>
      <c r="R986" s="5">
        <f>Orders[[#This Row],[Gross Sales]]-Orders[[#This Row],[Discount Amount]]</f>
        <v>711.55</v>
      </c>
      <c r="S986">
        <f>IF(Orders[[#This Row],[Actual Delivery Date]]="","",Orders[[#This Row],[Actual Delivery Date]]-Orders[[#This Row],[Order Date]])</f>
        <v>1</v>
      </c>
      <c r="T986" t="str">
        <f>IF(Orders[[#This Row],[Actual Delivery Date]]="","Pending",IF(Orders[[#This Row],[Actual Delivery Date]]&lt;=Orders[[#This Row],[Expected Delivery Date]],"On Time","Late"))</f>
        <v>On Time</v>
      </c>
      <c r="U986" t="str">
        <f>TEXT(Orders[[#This Row],[Order Date]],"mmm")</f>
        <v>May</v>
      </c>
      <c r="V986" s="8">
        <f>DATE(YEAR(Orders[[#This Row],[Order Date]]),MONTH(Orders[[#This Row],[Order Date]]),1)</f>
        <v>46143</v>
      </c>
      <c r="W986" s="5">
        <f>IF(Orders[[#This Row],[Order Status]]="Cancelled",Orders[[#This Row],[Net Sales]],0)</f>
        <v>0</v>
      </c>
    </row>
    <row r="987" spans="1:23" x14ac:dyDescent="0.3">
      <c r="A987" t="s">
        <v>1636</v>
      </c>
      <c r="B987" s="7">
        <v>46250</v>
      </c>
      <c r="C987" t="s">
        <v>458</v>
      </c>
      <c r="D987" t="s">
        <v>563</v>
      </c>
      <c r="E987" t="s">
        <v>79</v>
      </c>
      <c r="F987" t="s">
        <v>170</v>
      </c>
      <c r="G987" t="s">
        <v>69</v>
      </c>
      <c r="H987" t="s">
        <v>38</v>
      </c>
      <c r="I987">
        <v>5</v>
      </c>
      <c r="J987" s="5">
        <v>3499</v>
      </c>
      <c r="K987" s="2">
        <v>0.05</v>
      </c>
      <c r="L987" t="s">
        <v>70</v>
      </c>
      <c r="M987" t="s">
        <v>47</v>
      </c>
      <c r="N987" s="1">
        <v>46257</v>
      </c>
      <c r="O987" s="1"/>
      <c r="P987" s="5">
        <f>Orders[[#This Row],[Quantity]]*Orders[[#This Row],[Unit Price]]</f>
        <v>17495</v>
      </c>
      <c r="Q987" s="5">
        <f>Orders[[#This Row],[Gross Sales]]*Orders[[#This Row],[Discount %]]</f>
        <v>874.75</v>
      </c>
      <c r="R987" s="5">
        <f>Orders[[#This Row],[Gross Sales]]-Orders[[#This Row],[Discount Amount]]</f>
        <v>16620.25</v>
      </c>
      <c r="S987" t="str">
        <f>IF(Orders[[#This Row],[Actual Delivery Date]]="","",Orders[[#This Row],[Actual Delivery Date]]-Orders[[#This Row],[Order Date]])</f>
        <v/>
      </c>
      <c r="T987" t="str">
        <f>IF(Orders[[#This Row],[Actual Delivery Date]]="","Pending",IF(Orders[[#This Row],[Actual Delivery Date]]&lt;=Orders[[#This Row],[Expected Delivery Date]],"On Time","Late"))</f>
        <v>Pending</v>
      </c>
      <c r="U987" t="str">
        <f>TEXT(Orders[[#This Row],[Order Date]],"mmm")</f>
        <v>Aug</v>
      </c>
      <c r="V987" s="8">
        <f>DATE(YEAR(Orders[[#This Row],[Order Date]]),MONTH(Orders[[#This Row],[Order Date]]),1)</f>
        <v>46235</v>
      </c>
      <c r="W987" s="5">
        <f>IF(Orders[[#This Row],[Order Status]]="Cancelled",Orders[[#This Row],[Net Sales]],0)</f>
        <v>0</v>
      </c>
    </row>
    <row r="988" spans="1:23" x14ac:dyDescent="0.3">
      <c r="A988" t="s">
        <v>1637</v>
      </c>
      <c r="B988" s="7">
        <v>46026</v>
      </c>
      <c r="C988" t="s">
        <v>1160</v>
      </c>
      <c r="D988" t="s">
        <v>127</v>
      </c>
      <c r="E988" t="s">
        <v>27</v>
      </c>
      <c r="F988" t="s">
        <v>56</v>
      </c>
      <c r="G988" t="s">
        <v>147</v>
      </c>
      <c r="H988" t="s">
        <v>58</v>
      </c>
      <c r="I988">
        <v>2</v>
      </c>
      <c r="J988" s="5">
        <v>399</v>
      </c>
      <c r="K988" s="2">
        <v>0.15</v>
      </c>
      <c r="L988" t="s">
        <v>22</v>
      </c>
      <c r="M988" t="s">
        <v>23</v>
      </c>
      <c r="N988" s="1">
        <v>46031</v>
      </c>
      <c r="O988" s="1">
        <v>46030</v>
      </c>
      <c r="P988" s="5">
        <f>Orders[[#This Row],[Quantity]]*Orders[[#This Row],[Unit Price]]</f>
        <v>798</v>
      </c>
      <c r="Q988" s="5">
        <f>Orders[[#This Row],[Gross Sales]]*Orders[[#This Row],[Discount %]]</f>
        <v>119.69999999999999</v>
      </c>
      <c r="R988" s="5">
        <f>Orders[[#This Row],[Gross Sales]]-Orders[[#This Row],[Discount Amount]]</f>
        <v>678.3</v>
      </c>
      <c r="S988">
        <f>IF(Orders[[#This Row],[Actual Delivery Date]]="","",Orders[[#This Row],[Actual Delivery Date]]-Orders[[#This Row],[Order Date]])</f>
        <v>4</v>
      </c>
      <c r="T988" t="str">
        <f>IF(Orders[[#This Row],[Actual Delivery Date]]="","Pending",IF(Orders[[#This Row],[Actual Delivery Date]]&lt;=Orders[[#This Row],[Expected Delivery Date]],"On Time","Late"))</f>
        <v>On Time</v>
      </c>
      <c r="U988" t="str">
        <f>TEXT(Orders[[#This Row],[Order Date]],"mmm")</f>
        <v>Jan</v>
      </c>
      <c r="V988" s="8">
        <f>DATE(YEAR(Orders[[#This Row],[Order Date]]),MONTH(Orders[[#This Row],[Order Date]]),1)</f>
        <v>46023</v>
      </c>
      <c r="W988" s="5">
        <f>IF(Orders[[#This Row],[Order Status]]="Cancelled",Orders[[#This Row],[Net Sales]],0)</f>
        <v>0</v>
      </c>
    </row>
    <row r="989" spans="1:23" x14ac:dyDescent="0.3">
      <c r="A989" t="s">
        <v>1638</v>
      </c>
      <c r="B989" s="7">
        <v>46053</v>
      </c>
      <c r="C989" t="s">
        <v>1078</v>
      </c>
      <c r="D989" t="s">
        <v>565</v>
      </c>
      <c r="E989" t="s">
        <v>18</v>
      </c>
      <c r="F989" t="s">
        <v>19</v>
      </c>
      <c r="G989" t="s">
        <v>57</v>
      </c>
      <c r="H989" t="s">
        <v>58</v>
      </c>
      <c r="I989">
        <v>1</v>
      </c>
      <c r="J989" s="5">
        <v>499</v>
      </c>
      <c r="K989" s="2">
        <v>0.15</v>
      </c>
      <c r="L989" t="s">
        <v>39</v>
      </c>
      <c r="M989" t="s">
        <v>23</v>
      </c>
      <c r="N989" s="1">
        <v>46058</v>
      </c>
      <c r="O989" s="1">
        <v>46058</v>
      </c>
      <c r="P989" s="5">
        <f>Orders[[#This Row],[Quantity]]*Orders[[#This Row],[Unit Price]]</f>
        <v>499</v>
      </c>
      <c r="Q989" s="5">
        <f>Orders[[#This Row],[Gross Sales]]*Orders[[#This Row],[Discount %]]</f>
        <v>74.849999999999994</v>
      </c>
      <c r="R989" s="5">
        <f>Orders[[#This Row],[Gross Sales]]-Orders[[#This Row],[Discount Amount]]</f>
        <v>424.15</v>
      </c>
      <c r="S989">
        <f>IF(Orders[[#This Row],[Actual Delivery Date]]="","",Orders[[#This Row],[Actual Delivery Date]]-Orders[[#This Row],[Order Date]])</f>
        <v>5</v>
      </c>
      <c r="T989" t="str">
        <f>IF(Orders[[#This Row],[Actual Delivery Date]]="","Pending",IF(Orders[[#This Row],[Actual Delivery Date]]&lt;=Orders[[#This Row],[Expected Delivery Date]],"On Time","Late"))</f>
        <v>On Time</v>
      </c>
      <c r="U989" t="str">
        <f>TEXT(Orders[[#This Row],[Order Date]],"mmm")</f>
        <v>Jan</v>
      </c>
      <c r="V989" s="8">
        <f>DATE(YEAR(Orders[[#This Row],[Order Date]]),MONTH(Orders[[#This Row],[Order Date]]),1)</f>
        <v>46023</v>
      </c>
      <c r="W989" s="5">
        <f>IF(Orders[[#This Row],[Order Status]]="Cancelled",Orders[[#This Row],[Net Sales]],0)</f>
        <v>0</v>
      </c>
    </row>
    <row r="990" spans="1:23" x14ac:dyDescent="0.3">
      <c r="A990" t="s">
        <v>1639</v>
      </c>
      <c r="B990" s="7">
        <v>46319</v>
      </c>
      <c r="C990" t="s">
        <v>630</v>
      </c>
      <c r="D990" t="s">
        <v>544</v>
      </c>
      <c r="E990" t="s">
        <v>18</v>
      </c>
      <c r="F990" t="s">
        <v>19</v>
      </c>
      <c r="G990" t="s">
        <v>131</v>
      </c>
      <c r="H990" t="s">
        <v>38</v>
      </c>
      <c r="I990">
        <v>3</v>
      </c>
      <c r="J990" s="5">
        <v>899</v>
      </c>
      <c r="K990" s="2">
        <v>0</v>
      </c>
      <c r="L990" t="s">
        <v>31</v>
      </c>
      <c r="M990" t="s">
        <v>23</v>
      </c>
      <c r="N990" s="1">
        <v>46324</v>
      </c>
      <c r="O990" s="1">
        <v>46321</v>
      </c>
      <c r="P990" s="5">
        <f>Orders[[#This Row],[Quantity]]*Orders[[#This Row],[Unit Price]]</f>
        <v>2697</v>
      </c>
      <c r="Q990" s="5">
        <f>Orders[[#This Row],[Gross Sales]]*Orders[[#This Row],[Discount %]]</f>
        <v>0</v>
      </c>
      <c r="R990" s="5">
        <f>Orders[[#This Row],[Gross Sales]]-Orders[[#This Row],[Discount Amount]]</f>
        <v>2697</v>
      </c>
      <c r="S990">
        <f>IF(Orders[[#This Row],[Actual Delivery Date]]="","",Orders[[#This Row],[Actual Delivery Date]]-Orders[[#This Row],[Order Date]])</f>
        <v>2</v>
      </c>
      <c r="T990" t="str">
        <f>IF(Orders[[#This Row],[Actual Delivery Date]]="","Pending",IF(Orders[[#This Row],[Actual Delivery Date]]&lt;=Orders[[#This Row],[Expected Delivery Date]],"On Time","Late"))</f>
        <v>On Time</v>
      </c>
      <c r="U990" t="str">
        <f>TEXT(Orders[[#This Row],[Order Date]],"mmm")</f>
        <v>Oct</v>
      </c>
      <c r="V990" s="8">
        <f>DATE(YEAR(Orders[[#This Row],[Order Date]]),MONTH(Orders[[#This Row],[Order Date]]),1)</f>
        <v>46296</v>
      </c>
      <c r="W990" s="5">
        <f>IF(Orders[[#This Row],[Order Status]]="Cancelled",Orders[[#This Row],[Net Sales]],0)</f>
        <v>0</v>
      </c>
    </row>
    <row r="991" spans="1:23" x14ac:dyDescent="0.3">
      <c r="A991" t="s">
        <v>1640</v>
      </c>
      <c r="B991" s="7">
        <v>46351</v>
      </c>
      <c r="C991" t="s">
        <v>766</v>
      </c>
      <c r="D991" t="s">
        <v>308</v>
      </c>
      <c r="E991" t="s">
        <v>27</v>
      </c>
      <c r="F991" t="s">
        <v>51</v>
      </c>
      <c r="G991" t="s">
        <v>153</v>
      </c>
      <c r="H991" t="s">
        <v>45</v>
      </c>
      <c r="I991">
        <v>2</v>
      </c>
      <c r="J991" s="5">
        <v>1999</v>
      </c>
      <c r="K991" s="2">
        <v>0.15</v>
      </c>
      <c r="L991" t="s">
        <v>70</v>
      </c>
      <c r="M991" t="s">
        <v>82</v>
      </c>
      <c r="N991" s="1">
        <v>46354</v>
      </c>
      <c r="O991" s="1">
        <v>46353</v>
      </c>
      <c r="P991" s="5">
        <f>Orders[[#This Row],[Quantity]]*Orders[[#This Row],[Unit Price]]</f>
        <v>3998</v>
      </c>
      <c r="Q991" s="5">
        <f>Orders[[#This Row],[Gross Sales]]*Orders[[#This Row],[Discount %]]</f>
        <v>599.69999999999993</v>
      </c>
      <c r="R991" s="5">
        <f>Orders[[#This Row],[Gross Sales]]-Orders[[#This Row],[Discount Amount]]</f>
        <v>3398.3</v>
      </c>
      <c r="S991">
        <f>IF(Orders[[#This Row],[Actual Delivery Date]]="","",Orders[[#This Row],[Actual Delivery Date]]-Orders[[#This Row],[Order Date]])</f>
        <v>2</v>
      </c>
      <c r="T991" t="str">
        <f>IF(Orders[[#This Row],[Actual Delivery Date]]="","Pending",IF(Orders[[#This Row],[Actual Delivery Date]]&lt;=Orders[[#This Row],[Expected Delivery Date]],"On Time","Late"))</f>
        <v>On Time</v>
      </c>
      <c r="U991" t="str">
        <f>TEXT(Orders[[#This Row],[Order Date]],"mmm")</f>
        <v>Nov</v>
      </c>
      <c r="V991" s="8">
        <f>DATE(YEAR(Orders[[#This Row],[Order Date]]),MONTH(Orders[[#This Row],[Order Date]]),1)</f>
        <v>46327</v>
      </c>
      <c r="W991" s="5">
        <f>IF(Orders[[#This Row],[Order Status]]="Cancelled",Orders[[#This Row],[Net Sales]],0)</f>
        <v>0</v>
      </c>
    </row>
    <row r="992" spans="1:23" x14ac:dyDescent="0.3">
      <c r="A992" t="s">
        <v>1641</v>
      </c>
      <c r="B992" s="7">
        <v>46163</v>
      </c>
      <c r="C992" t="s">
        <v>424</v>
      </c>
      <c r="D992" t="s">
        <v>511</v>
      </c>
      <c r="E992" t="s">
        <v>35</v>
      </c>
      <c r="F992" t="s">
        <v>63</v>
      </c>
      <c r="G992" t="s">
        <v>87</v>
      </c>
      <c r="H992" t="s">
        <v>21</v>
      </c>
      <c r="I992">
        <v>2</v>
      </c>
      <c r="J992" s="5">
        <v>1899</v>
      </c>
      <c r="K992" s="2">
        <v>0.05</v>
      </c>
      <c r="L992" t="s">
        <v>31</v>
      </c>
      <c r="M992" t="s">
        <v>47</v>
      </c>
      <c r="N992" s="1">
        <v>46167</v>
      </c>
      <c r="O992" s="1"/>
      <c r="P992" s="5">
        <f>Orders[[#This Row],[Quantity]]*Orders[[#This Row],[Unit Price]]</f>
        <v>3798</v>
      </c>
      <c r="Q992" s="5">
        <f>Orders[[#This Row],[Gross Sales]]*Orders[[#This Row],[Discount %]]</f>
        <v>189.9</v>
      </c>
      <c r="R992" s="5">
        <f>Orders[[#This Row],[Gross Sales]]-Orders[[#This Row],[Discount Amount]]</f>
        <v>3608.1</v>
      </c>
      <c r="S992" t="str">
        <f>IF(Orders[[#This Row],[Actual Delivery Date]]="","",Orders[[#This Row],[Actual Delivery Date]]-Orders[[#This Row],[Order Date]])</f>
        <v/>
      </c>
      <c r="T992" t="str">
        <f>IF(Orders[[#This Row],[Actual Delivery Date]]="","Pending",IF(Orders[[#This Row],[Actual Delivery Date]]&lt;=Orders[[#This Row],[Expected Delivery Date]],"On Time","Late"))</f>
        <v>Pending</v>
      </c>
      <c r="U992" t="str">
        <f>TEXT(Orders[[#This Row],[Order Date]],"mmm")</f>
        <v>May</v>
      </c>
      <c r="V992" s="8">
        <f>DATE(YEAR(Orders[[#This Row],[Order Date]]),MONTH(Orders[[#This Row],[Order Date]]),1)</f>
        <v>46143</v>
      </c>
      <c r="W992" s="5">
        <f>IF(Orders[[#This Row],[Order Status]]="Cancelled",Orders[[#This Row],[Net Sales]],0)</f>
        <v>0</v>
      </c>
    </row>
    <row r="993" spans="1:23" x14ac:dyDescent="0.3">
      <c r="A993" t="s">
        <v>1642</v>
      </c>
      <c r="B993" s="7">
        <v>46104</v>
      </c>
      <c r="C993" t="s">
        <v>1162</v>
      </c>
      <c r="D993" t="s">
        <v>687</v>
      </c>
      <c r="E993" t="s">
        <v>35</v>
      </c>
      <c r="F993" t="s">
        <v>36</v>
      </c>
      <c r="G993" t="s">
        <v>186</v>
      </c>
      <c r="H993" t="s">
        <v>21</v>
      </c>
      <c r="I993">
        <v>2</v>
      </c>
      <c r="J993" s="5">
        <v>1999</v>
      </c>
      <c r="K993" s="2">
        <v>0.1</v>
      </c>
      <c r="L993" t="s">
        <v>70</v>
      </c>
      <c r="M993" t="s">
        <v>59</v>
      </c>
      <c r="N993" s="1">
        <v>46109</v>
      </c>
      <c r="O993" s="1">
        <v>46106</v>
      </c>
      <c r="P993" s="5">
        <f>Orders[[#This Row],[Quantity]]*Orders[[#This Row],[Unit Price]]</f>
        <v>3998</v>
      </c>
      <c r="Q993" s="5">
        <f>Orders[[#This Row],[Gross Sales]]*Orders[[#This Row],[Discount %]]</f>
        <v>399.8</v>
      </c>
      <c r="R993" s="5">
        <f>Orders[[#This Row],[Gross Sales]]-Orders[[#This Row],[Discount Amount]]</f>
        <v>3598.2</v>
      </c>
      <c r="S993">
        <f>IF(Orders[[#This Row],[Actual Delivery Date]]="","",Orders[[#This Row],[Actual Delivery Date]]-Orders[[#This Row],[Order Date]])</f>
        <v>2</v>
      </c>
      <c r="T993" t="str">
        <f>IF(Orders[[#This Row],[Actual Delivery Date]]="","Pending",IF(Orders[[#This Row],[Actual Delivery Date]]&lt;=Orders[[#This Row],[Expected Delivery Date]],"On Time","Late"))</f>
        <v>On Time</v>
      </c>
      <c r="U993" t="str">
        <f>TEXT(Orders[[#This Row],[Order Date]],"mmm")</f>
        <v>Mar</v>
      </c>
      <c r="V993" s="8">
        <f>DATE(YEAR(Orders[[#This Row],[Order Date]]),MONTH(Orders[[#This Row],[Order Date]]),1)</f>
        <v>46082</v>
      </c>
      <c r="W993" s="5">
        <f>IF(Orders[[#This Row],[Order Status]]="Cancelled",Orders[[#This Row],[Net Sales]],0)</f>
        <v>3598.2</v>
      </c>
    </row>
    <row r="994" spans="1:23" x14ac:dyDescent="0.3">
      <c r="A994" t="s">
        <v>1643</v>
      </c>
      <c r="B994" s="7">
        <v>46037</v>
      </c>
      <c r="C994" t="s">
        <v>1249</v>
      </c>
      <c r="D994" t="s">
        <v>382</v>
      </c>
      <c r="E994" t="s">
        <v>35</v>
      </c>
      <c r="F994" t="s">
        <v>63</v>
      </c>
      <c r="G994" t="s">
        <v>20</v>
      </c>
      <c r="H994" t="s">
        <v>21</v>
      </c>
      <c r="I994">
        <v>3</v>
      </c>
      <c r="J994" s="5">
        <v>1799</v>
      </c>
      <c r="K994" s="2">
        <v>0.2</v>
      </c>
      <c r="L994" t="s">
        <v>46</v>
      </c>
      <c r="M994" t="s">
        <v>23</v>
      </c>
      <c r="N994" s="1">
        <v>46043</v>
      </c>
      <c r="O994" s="1">
        <v>46040</v>
      </c>
      <c r="P994" s="5">
        <f>Orders[[#This Row],[Quantity]]*Orders[[#This Row],[Unit Price]]</f>
        <v>5397</v>
      </c>
      <c r="Q994" s="5">
        <f>Orders[[#This Row],[Gross Sales]]*Orders[[#This Row],[Discount %]]</f>
        <v>1079.4000000000001</v>
      </c>
      <c r="R994" s="5">
        <f>Orders[[#This Row],[Gross Sales]]-Orders[[#This Row],[Discount Amount]]</f>
        <v>4317.6000000000004</v>
      </c>
      <c r="S994">
        <f>IF(Orders[[#This Row],[Actual Delivery Date]]="","",Orders[[#This Row],[Actual Delivery Date]]-Orders[[#This Row],[Order Date]])</f>
        <v>3</v>
      </c>
      <c r="T994" t="str">
        <f>IF(Orders[[#This Row],[Actual Delivery Date]]="","Pending",IF(Orders[[#This Row],[Actual Delivery Date]]&lt;=Orders[[#This Row],[Expected Delivery Date]],"On Time","Late"))</f>
        <v>On Time</v>
      </c>
      <c r="U994" t="str">
        <f>TEXT(Orders[[#This Row],[Order Date]],"mmm")</f>
        <v>Jan</v>
      </c>
      <c r="V994" s="8">
        <f>DATE(YEAR(Orders[[#This Row],[Order Date]]),MONTH(Orders[[#This Row],[Order Date]]),1)</f>
        <v>46023</v>
      </c>
      <c r="W994" s="5">
        <f>IF(Orders[[#This Row],[Order Status]]="Cancelled",Orders[[#This Row],[Net Sales]],0)</f>
        <v>0</v>
      </c>
    </row>
    <row r="995" spans="1:23" x14ac:dyDescent="0.3">
      <c r="A995" t="s">
        <v>1644</v>
      </c>
      <c r="B995" s="7">
        <v>46199</v>
      </c>
      <c r="C995" t="s">
        <v>577</v>
      </c>
      <c r="D995" t="s">
        <v>954</v>
      </c>
      <c r="E995" t="s">
        <v>79</v>
      </c>
      <c r="F995" t="s">
        <v>170</v>
      </c>
      <c r="G995" t="s">
        <v>29</v>
      </c>
      <c r="H995" t="s">
        <v>30</v>
      </c>
      <c r="I995">
        <v>2</v>
      </c>
      <c r="J995" s="5">
        <v>599</v>
      </c>
      <c r="K995" s="2">
        <v>0.2</v>
      </c>
      <c r="L995" t="s">
        <v>22</v>
      </c>
      <c r="M995" t="s">
        <v>23</v>
      </c>
      <c r="N995" s="1">
        <v>46205</v>
      </c>
      <c r="O995" s="1">
        <v>46203</v>
      </c>
      <c r="P995" s="5">
        <f>Orders[[#This Row],[Quantity]]*Orders[[#This Row],[Unit Price]]</f>
        <v>1198</v>
      </c>
      <c r="Q995" s="5">
        <f>Orders[[#This Row],[Gross Sales]]*Orders[[#This Row],[Discount %]]</f>
        <v>239.60000000000002</v>
      </c>
      <c r="R995" s="5">
        <f>Orders[[#This Row],[Gross Sales]]-Orders[[#This Row],[Discount Amount]]</f>
        <v>958.4</v>
      </c>
      <c r="S995">
        <f>IF(Orders[[#This Row],[Actual Delivery Date]]="","",Orders[[#This Row],[Actual Delivery Date]]-Orders[[#This Row],[Order Date]])</f>
        <v>4</v>
      </c>
      <c r="T995" t="str">
        <f>IF(Orders[[#This Row],[Actual Delivery Date]]="","Pending",IF(Orders[[#This Row],[Actual Delivery Date]]&lt;=Orders[[#This Row],[Expected Delivery Date]],"On Time","Late"))</f>
        <v>On Time</v>
      </c>
      <c r="U995" t="str">
        <f>TEXT(Orders[[#This Row],[Order Date]],"mmm")</f>
        <v>Jun</v>
      </c>
      <c r="V995" s="8">
        <f>DATE(YEAR(Orders[[#This Row],[Order Date]]),MONTH(Orders[[#This Row],[Order Date]]),1)</f>
        <v>46174</v>
      </c>
      <c r="W995" s="5">
        <f>IF(Orders[[#This Row],[Order Status]]="Cancelled",Orders[[#This Row],[Net Sales]],0)</f>
        <v>0</v>
      </c>
    </row>
    <row r="996" spans="1:23" x14ac:dyDescent="0.3">
      <c r="A996" t="s">
        <v>1645</v>
      </c>
      <c r="B996" s="7">
        <v>46030</v>
      </c>
      <c r="C996" t="s">
        <v>416</v>
      </c>
      <c r="D996" t="s">
        <v>618</v>
      </c>
      <c r="E996" t="s">
        <v>79</v>
      </c>
      <c r="F996" t="s">
        <v>108</v>
      </c>
      <c r="G996" t="s">
        <v>57</v>
      </c>
      <c r="H996" t="s">
        <v>58</v>
      </c>
      <c r="I996">
        <v>2</v>
      </c>
      <c r="J996" s="5">
        <v>499</v>
      </c>
      <c r="K996" s="2">
        <v>0</v>
      </c>
      <c r="L996" t="s">
        <v>46</v>
      </c>
      <c r="M996" t="s">
        <v>23</v>
      </c>
      <c r="N996" s="1">
        <v>46034</v>
      </c>
      <c r="O996" s="1">
        <v>46032</v>
      </c>
      <c r="P996" s="5">
        <f>Orders[[#This Row],[Quantity]]*Orders[[#This Row],[Unit Price]]</f>
        <v>998</v>
      </c>
      <c r="Q996" s="5">
        <f>Orders[[#This Row],[Gross Sales]]*Orders[[#This Row],[Discount %]]</f>
        <v>0</v>
      </c>
      <c r="R996" s="5">
        <f>Orders[[#This Row],[Gross Sales]]-Orders[[#This Row],[Discount Amount]]</f>
        <v>998</v>
      </c>
      <c r="S996">
        <f>IF(Orders[[#This Row],[Actual Delivery Date]]="","",Orders[[#This Row],[Actual Delivery Date]]-Orders[[#This Row],[Order Date]])</f>
        <v>2</v>
      </c>
      <c r="T996" t="str">
        <f>IF(Orders[[#This Row],[Actual Delivery Date]]="","Pending",IF(Orders[[#This Row],[Actual Delivery Date]]&lt;=Orders[[#This Row],[Expected Delivery Date]],"On Time","Late"))</f>
        <v>On Time</v>
      </c>
      <c r="U996" t="str">
        <f>TEXT(Orders[[#This Row],[Order Date]],"mmm")</f>
        <v>Jan</v>
      </c>
      <c r="V996" s="8">
        <f>DATE(YEAR(Orders[[#This Row],[Order Date]]),MONTH(Orders[[#This Row],[Order Date]]),1)</f>
        <v>46023</v>
      </c>
      <c r="W996" s="5">
        <f>IF(Orders[[#This Row],[Order Status]]="Cancelled",Orders[[#This Row],[Net Sales]],0)</f>
        <v>0</v>
      </c>
    </row>
    <row r="997" spans="1:23" x14ac:dyDescent="0.3">
      <c r="A997" t="s">
        <v>1646</v>
      </c>
      <c r="B997" s="7">
        <v>46314</v>
      </c>
      <c r="C997" t="s">
        <v>525</v>
      </c>
      <c r="D997" t="s">
        <v>94</v>
      </c>
      <c r="E997" t="s">
        <v>27</v>
      </c>
      <c r="F997" t="s">
        <v>51</v>
      </c>
      <c r="G997" t="s">
        <v>57</v>
      </c>
      <c r="H997" t="s">
        <v>58</v>
      </c>
      <c r="I997">
        <v>4</v>
      </c>
      <c r="J997" s="5">
        <v>499</v>
      </c>
      <c r="K997" s="2">
        <v>0</v>
      </c>
      <c r="L997" t="s">
        <v>22</v>
      </c>
      <c r="M997" t="s">
        <v>23</v>
      </c>
      <c r="N997" s="1">
        <v>46321</v>
      </c>
      <c r="O997" s="1">
        <v>46320</v>
      </c>
      <c r="P997" s="5">
        <f>Orders[[#This Row],[Quantity]]*Orders[[#This Row],[Unit Price]]</f>
        <v>1996</v>
      </c>
      <c r="Q997" s="5">
        <f>Orders[[#This Row],[Gross Sales]]*Orders[[#This Row],[Discount %]]</f>
        <v>0</v>
      </c>
      <c r="R997" s="5">
        <f>Orders[[#This Row],[Gross Sales]]-Orders[[#This Row],[Discount Amount]]</f>
        <v>1996</v>
      </c>
      <c r="S997">
        <f>IF(Orders[[#This Row],[Actual Delivery Date]]="","",Orders[[#This Row],[Actual Delivery Date]]-Orders[[#This Row],[Order Date]])</f>
        <v>6</v>
      </c>
      <c r="T997" t="str">
        <f>IF(Orders[[#This Row],[Actual Delivery Date]]="","Pending",IF(Orders[[#This Row],[Actual Delivery Date]]&lt;=Orders[[#This Row],[Expected Delivery Date]],"On Time","Late"))</f>
        <v>On Time</v>
      </c>
      <c r="U997" t="str">
        <f>TEXT(Orders[[#This Row],[Order Date]],"mmm")</f>
        <v>Oct</v>
      </c>
      <c r="V997" s="8">
        <f>DATE(YEAR(Orders[[#This Row],[Order Date]]),MONTH(Orders[[#This Row],[Order Date]]),1)</f>
        <v>46296</v>
      </c>
      <c r="W997" s="5">
        <f>IF(Orders[[#This Row],[Order Status]]="Cancelled",Orders[[#This Row],[Net Sales]],0)</f>
        <v>0</v>
      </c>
    </row>
    <row r="998" spans="1:23" x14ac:dyDescent="0.3">
      <c r="A998" t="s">
        <v>1647</v>
      </c>
      <c r="B998" s="7">
        <v>46161</v>
      </c>
      <c r="C998" t="s">
        <v>829</v>
      </c>
      <c r="D998" t="s">
        <v>339</v>
      </c>
      <c r="E998" t="s">
        <v>18</v>
      </c>
      <c r="F998" t="s">
        <v>121</v>
      </c>
      <c r="G998" t="s">
        <v>81</v>
      </c>
      <c r="H998" t="s">
        <v>30</v>
      </c>
      <c r="I998">
        <v>2</v>
      </c>
      <c r="J998" s="5">
        <v>899</v>
      </c>
      <c r="K998" s="2">
        <v>0.2</v>
      </c>
      <c r="L998" t="s">
        <v>22</v>
      </c>
      <c r="M998" t="s">
        <v>82</v>
      </c>
      <c r="N998" s="1">
        <v>46163</v>
      </c>
      <c r="O998" s="1">
        <v>46164</v>
      </c>
      <c r="P998" s="5">
        <f>Orders[[#This Row],[Quantity]]*Orders[[#This Row],[Unit Price]]</f>
        <v>1798</v>
      </c>
      <c r="Q998" s="5">
        <f>Orders[[#This Row],[Gross Sales]]*Orders[[#This Row],[Discount %]]</f>
        <v>359.6</v>
      </c>
      <c r="R998" s="5">
        <f>Orders[[#This Row],[Gross Sales]]-Orders[[#This Row],[Discount Amount]]</f>
        <v>1438.4</v>
      </c>
      <c r="S998">
        <f>IF(Orders[[#This Row],[Actual Delivery Date]]="","",Orders[[#This Row],[Actual Delivery Date]]-Orders[[#This Row],[Order Date]])</f>
        <v>3</v>
      </c>
      <c r="T998" t="str">
        <f>IF(Orders[[#This Row],[Actual Delivery Date]]="","Pending",IF(Orders[[#This Row],[Actual Delivery Date]]&lt;=Orders[[#This Row],[Expected Delivery Date]],"On Time","Late"))</f>
        <v>Late</v>
      </c>
      <c r="U998" t="str">
        <f>TEXT(Orders[[#This Row],[Order Date]],"mmm")</f>
        <v>May</v>
      </c>
      <c r="V998" s="8">
        <f>DATE(YEAR(Orders[[#This Row],[Order Date]]),MONTH(Orders[[#This Row],[Order Date]]),1)</f>
        <v>46143</v>
      </c>
      <c r="W998" s="5">
        <f>IF(Orders[[#This Row],[Order Status]]="Cancelled",Orders[[#This Row],[Net Sales]],0)</f>
        <v>0</v>
      </c>
    </row>
    <row r="999" spans="1:23" x14ac:dyDescent="0.3">
      <c r="A999" t="s">
        <v>1648</v>
      </c>
      <c r="B999" s="7">
        <v>46376</v>
      </c>
      <c r="C999" t="s">
        <v>270</v>
      </c>
      <c r="D999" t="s">
        <v>1083</v>
      </c>
      <c r="E999" t="s">
        <v>27</v>
      </c>
      <c r="F999" t="s">
        <v>56</v>
      </c>
      <c r="G999" t="s">
        <v>20</v>
      </c>
      <c r="H999" t="s">
        <v>21</v>
      </c>
      <c r="I999">
        <v>4</v>
      </c>
      <c r="J999" s="5">
        <v>1799</v>
      </c>
      <c r="K999" s="2">
        <v>0.05</v>
      </c>
      <c r="L999" t="s">
        <v>31</v>
      </c>
      <c r="M999" t="s">
        <v>59</v>
      </c>
      <c r="N999" s="1">
        <v>46383</v>
      </c>
      <c r="O999" s="1">
        <v>46377</v>
      </c>
      <c r="P999" s="5">
        <f>Orders[[#This Row],[Quantity]]*Orders[[#This Row],[Unit Price]]</f>
        <v>7196</v>
      </c>
      <c r="Q999" s="5">
        <f>Orders[[#This Row],[Gross Sales]]*Orders[[#This Row],[Discount %]]</f>
        <v>359.8</v>
      </c>
      <c r="R999" s="5">
        <f>Orders[[#This Row],[Gross Sales]]-Orders[[#This Row],[Discount Amount]]</f>
        <v>6836.2</v>
      </c>
      <c r="S999">
        <f>IF(Orders[[#This Row],[Actual Delivery Date]]="","",Orders[[#This Row],[Actual Delivery Date]]-Orders[[#This Row],[Order Date]])</f>
        <v>1</v>
      </c>
      <c r="T999" t="str">
        <f>IF(Orders[[#This Row],[Actual Delivery Date]]="","Pending",IF(Orders[[#This Row],[Actual Delivery Date]]&lt;=Orders[[#This Row],[Expected Delivery Date]],"On Time","Late"))</f>
        <v>On Time</v>
      </c>
      <c r="U999" t="str">
        <f>TEXT(Orders[[#This Row],[Order Date]],"mmm")</f>
        <v>Dec</v>
      </c>
      <c r="V999" s="8">
        <f>DATE(YEAR(Orders[[#This Row],[Order Date]]),MONTH(Orders[[#This Row],[Order Date]]),1)</f>
        <v>46357</v>
      </c>
      <c r="W999" s="5">
        <f>IF(Orders[[#This Row],[Order Status]]="Cancelled",Orders[[#This Row],[Net Sales]],0)</f>
        <v>6836.2</v>
      </c>
    </row>
    <row r="1000" spans="1:23" x14ac:dyDescent="0.3">
      <c r="A1000" t="s">
        <v>1649</v>
      </c>
      <c r="B1000" s="7">
        <v>46090</v>
      </c>
      <c r="C1000" t="s">
        <v>236</v>
      </c>
      <c r="D1000" t="s">
        <v>302</v>
      </c>
      <c r="E1000" t="s">
        <v>35</v>
      </c>
      <c r="F1000" t="s">
        <v>135</v>
      </c>
      <c r="G1000" t="s">
        <v>104</v>
      </c>
      <c r="H1000" t="s">
        <v>38</v>
      </c>
      <c r="I1000">
        <v>2</v>
      </c>
      <c r="J1000" s="5">
        <v>999</v>
      </c>
      <c r="K1000" s="2">
        <v>0</v>
      </c>
      <c r="L1000" t="s">
        <v>31</v>
      </c>
      <c r="M1000" t="s">
        <v>23</v>
      </c>
      <c r="N1000" s="1">
        <v>46093</v>
      </c>
      <c r="O1000" s="1">
        <v>46093</v>
      </c>
      <c r="P1000" s="5">
        <f>Orders[[#This Row],[Quantity]]*Orders[[#This Row],[Unit Price]]</f>
        <v>1998</v>
      </c>
      <c r="Q1000" s="5">
        <f>Orders[[#This Row],[Gross Sales]]*Orders[[#This Row],[Discount %]]</f>
        <v>0</v>
      </c>
      <c r="R1000" s="5">
        <f>Orders[[#This Row],[Gross Sales]]-Orders[[#This Row],[Discount Amount]]</f>
        <v>1998</v>
      </c>
      <c r="S1000">
        <f>IF(Orders[[#This Row],[Actual Delivery Date]]="","",Orders[[#This Row],[Actual Delivery Date]]-Orders[[#This Row],[Order Date]])</f>
        <v>3</v>
      </c>
      <c r="T1000" t="str">
        <f>IF(Orders[[#This Row],[Actual Delivery Date]]="","Pending",IF(Orders[[#This Row],[Actual Delivery Date]]&lt;=Orders[[#This Row],[Expected Delivery Date]],"On Time","Late"))</f>
        <v>On Time</v>
      </c>
      <c r="U1000" t="str">
        <f>TEXT(Orders[[#This Row],[Order Date]],"mmm")</f>
        <v>Mar</v>
      </c>
      <c r="V1000" s="8">
        <f>DATE(YEAR(Orders[[#This Row],[Order Date]]),MONTH(Orders[[#This Row],[Order Date]]),1)</f>
        <v>46082</v>
      </c>
      <c r="W1000" s="5">
        <f>IF(Orders[[#This Row],[Order Status]]="Cancelled",Orders[[#This Row],[Net Sales]],0)</f>
        <v>0</v>
      </c>
    </row>
    <row r="1001" spans="1:23" x14ac:dyDescent="0.3">
      <c r="A1001" t="s">
        <v>1650</v>
      </c>
      <c r="B1001" s="7">
        <v>46123</v>
      </c>
      <c r="C1001" t="s">
        <v>1347</v>
      </c>
      <c r="D1001" t="s">
        <v>191</v>
      </c>
      <c r="E1001" t="s">
        <v>18</v>
      </c>
      <c r="F1001" t="s">
        <v>19</v>
      </c>
      <c r="G1001" t="s">
        <v>64</v>
      </c>
      <c r="H1001" t="s">
        <v>21</v>
      </c>
      <c r="I1001">
        <v>2</v>
      </c>
      <c r="J1001" s="5">
        <v>699</v>
      </c>
      <c r="K1001" s="2">
        <v>0.15</v>
      </c>
      <c r="L1001" t="s">
        <v>39</v>
      </c>
      <c r="M1001" t="s">
        <v>23</v>
      </c>
      <c r="N1001" s="1">
        <v>46126</v>
      </c>
      <c r="O1001" s="1">
        <v>46126</v>
      </c>
      <c r="P1001" s="5">
        <f>Orders[[#This Row],[Quantity]]*Orders[[#This Row],[Unit Price]]</f>
        <v>1398</v>
      </c>
      <c r="Q1001" s="5">
        <f>Orders[[#This Row],[Gross Sales]]*Orders[[#This Row],[Discount %]]</f>
        <v>209.7</v>
      </c>
      <c r="R1001" s="5">
        <f>Orders[[#This Row],[Gross Sales]]-Orders[[#This Row],[Discount Amount]]</f>
        <v>1188.3</v>
      </c>
      <c r="S1001">
        <f>IF(Orders[[#This Row],[Actual Delivery Date]]="","",Orders[[#This Row],[Actual Delivery Date]]-Orders[[#This Row],[Order Date]])</f>
        <v>3</v>
      </c>
      <c r="T1001" t="str">
        <f>IF(Orders[[#This Row],[Actual Delivery Date]]="","Pending",IF(Orders[[#This Row],[Actual Delivery Date]]&lt;=Orders[[#This Row],[Expected Delivery Date]],"On Time","Late"))</f>
        <v>On Time</v>
      </c>
      <c r="U1001" t="str">
        <f>TEXT(Orders[[#This Row],[Order Date]],"mmm")</f>
        <v>Apr</v>
      </c>
      <c r="V1001" s="8">
        <f>DATE(YEAR(Orders[[#This Row],[Order Date]]),MONTH(Orders[[#This Row],[Order Date]]),1)</f>
        <v>46113</v>
      </c>
      <c r="W1001" s="5">
        <f>IF(Orders[[#This Row],[Order Status]]="Cancelled",Orders[[#This Row],[Net Sales]],0)</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12AD-8B5D-4F83-9C6A-747336DEBBC3}">
  <dimension ref="A2:O147"/>
  <sheetViews>
    <sheetView topLeftCell="A40" zoomScaleNormal="100" workbookViewId="0">
      <selection activeCell="E68" sqref="E68"/>
    </sheetView>
  </sheetViews>
  <sheetFormatPr defaultRowHeight="14.4" x14ac:dyDescent="0.3"/>
  <cols>
    <col min="1" max="1" width="12.5546875" bestFit="1" customWidth="1"/>
    <col min="2" max="2" width="15.88671875" bestFit="1" customWidth="1"/>
    <col min="3" max="3" width="14.88671875" bestFit="1" customWidth="1"/>
    <col min="4" max="4" width="13.6640625" bestFit="1" customWidth="1"/>
    <col min="5" max="5" width="15.88671875" bestFit="1" customWidth="1"/>
    <col min="6" max="6" width="14.88671875" bestFit="1" customWidth="1"/>
    <col min="7" max="7" width="12.5546875" bestFit="1" customWidth="1"/>
    <col min="8" max="8" width="22.109375" bestFit="1" customWidth="1"/>
    <col min="9" max="9" width="15.88671875" bestFit="1" customWidth="1"/>
    <col min="10" max="10" width="22.109375" bestFit="1" customWidth="1"/>
    <col min="11" max="11" width="15.88671875" bestFit="1" customWidth="1"/>
    <col min="12" max="12" width="22.109375" bestFit="1" customWidth="1"/>
    <col min="13" max="13" width="15.88671875" bestFit="1" customWidth="1"/>
    <col min="14" max="14" width="26.88671875" bestFit="1" customWidth="1"/>
    <col min="15" max="15" width="20.6640625" bestFit="1" customWidth="1"/>
  </cols>
  <sheetData>
    <row r="2" spans="1:11" x14ac:dyDescent="0.3">
      <c r="A2" s="10" t="s">
        <v>1658</v>
      </c>
      <c r="B2" t="s">
        <v>1660</v>
      </c>
      <c r="D2" s="10" t="s">
        <v>12</v>
      </c>
      <c r="E2" t="s">
        <v>1661</v>
      </c>
      <c r="G2" s="10" t="s">
        <v>1658</v>
      </c>
      <c r="H2" t="s">
        <v>1661</v>
      </c>
    </row>
    <row r="3" spans="1:11" x14ac:dyDescent="0.3">
      <c r="A3" s="11" t="s">
        <v>79</v>
      </c>
      <c r="B3" s="5">
        <v>614373.15000000014</v>
      </c>
      <c r="D3" s="11" t="s">
        <v>82</v>
      </c>
      <c r="E3" s="39">
        <v>133</v>
      </c>
      <c r="G3" s="11" t="s">
        <v>1662</v>
      </c>
      <c r="H3">
        <v>95</v>
      </c>
    </row>
    <row r="4" spans="1:11" x14ac:dyDescent="0.3">
      <c r="A4" s="11" t="s">
        <v>35</v>
      </c>
      <c r="B4" s="5">
        <v>630957.89999999991</v>
      </c>
      <c r="D4" s="11" t="s">
        <v>1659</v>
      </c>
      <c r="E4" s="39">
        <v>133</v>
      </c>
      <c r="G4" s="11" t="s">
        <v>1663</v>
      </c>
      <c r="H4">
        <v>752</v>
      </c>
      <c r="J4" t="s">
        <v>1689</v>
      </c>
      <c r="K4" s="14">
        <f>GETPIVOTDATA("Net Sales",$A$2,"Region","South")/GETPIVOTDATA("Net Sales",$A$2)</f>
        <v>0.26425384984189343</v>
      </c>
    </row>
    <row r="5" spans="1:11" x14ac:dyDescent="0.3">
      <c r="A5" s="11" t="s">
        <v>18</v>
      </c>
      <c r="B5" s="5">
        <v>642685.75000000023</v>
      </c>
      <c r="G5" s="11" t="s">
        <v>47</v>
      </c>
      <c r="H5">
        <v>153</v>
      </c>
      <c r="J5" t="s">
        <v>1690</v>
      </c>
      <c r="K5" s="40">
        <f>K34-K32</f>
        <v>1.5617715617715633E-2</v>
      </c>
    </row>
    <row r="6" spans="1:11" x14ac:dyDescent="0.3">
      <c r="A6" s="11" t="s">
        <v>27</v>
      </c>
      <c r="B6" s="5">
        <v>544060.35000000009</v>
      </c>
      <c r="G6" s="11" t="s">
        <v>1659</v>
      </c>
      <c r="H6">
        <v>1000</v>
      </c>
      <c r="J6" t="s">
        <v>218</v>
      </c>
      <c r="K6" s="14">
        <f>GETPIVOTDATA("Cancelled Sales",$A$121,"Product","Sneakers")/GETPIVOTDATA("Net Sales",$A$36,"Product","Sneakers")</f>
        <v>0.2022641509433962</v>
      </c>
    </row>
    <row r="7" spans="1:11" x14ac:dyDescent="0.3">
      <c r="A7" s="11" t="s">
        <v>1659</v>
      </c>
      <c r="B7" s="5">
        <v>2432077.1500000004</v>
      </c>
      <c r="J7" t="s">
        <v>1691</v>
      </c>
      <c r="K7" s="14">
        <f>GETPIVOTDATA("Net Sales",$A$36,"Product","Coffee Maker")/GETPIVOTDATA("Net Sales",$A$36)</f>
        <v>0.10876480624802549</v>
      </c>
    </row>
    <row r="8" spans="1:11" x14ac:dyDescent="0.3">
      <c r="G8" s="15" t="s">
        <v>1665</v>
      </c>
      <c r="H8" s="16">
        <f>GETPIVOTDATA("Order ID",$G$2,"Delivery Status","On Time")+GETPIVOTDATA("Order ID",$G$2,"Delivery Status","Late")</f>
        <v>847</v>
      </c>
      <c r="J8" t="s">
        <v>1692</v>
      </c>
      <c r="K8" s="14" t="e">
        <f>GETPIVOTDATA("Order ID",$D$2,"Order Status","Pending")/GETPIVOTDATA("Order ID",$D$2)</f>
        <v>#REF!</v>
      </c>
    </row>
    <row r="9" spans="1:11" x14ac:dyDescent="0.3">
      <c r="A9" s="10" t="s">
        <v>1658</v>
      </c>
      <c r="B9" t="s">
        <v>1661</v>
      </c>
      <c r="D9" s="10" t="s">
        <v>7</v>
      </c>
      <c r="E9" t="s">
        <v>1660</v>
      </c>
      <c r="G9" s="15" t="s">
        <v>1666</v>
      </c>
      <c r="H9" s="16">
        <f>GETPIVOTDATA("Order ID",$G$2,"Delivery Status","On Time")</f>
        <v>752</v>
      </c>
    </row>
    <row r="10" spans="1:11" x14ac:dyDescent="0.3">
      <c r="A10" s="11" t="s">
        <v>79</v>
      </c>
      <c r="B10" s="39">
        <v>257</v>
      </c>
      <c r="D10" s="11" t="s">
        <v>58</v>
      </c>
      <c r="E10" s="5">
        <v>239520.05</v>
      </c>
      <c r="G10" s="15" t="s">
        <v>1667</v>
      </c>
      <c r="H10" s="17">
        <f>GETPIVOTDATA("Order ID",$G$2,"Delivery Status","On Time")/(GETPIVOTDATA("Order ID",$G$2,"Delivery Status","On Time")+GETPIVOTDATA("Order ID",$G$2,"Delivery Status","Late"))</f>
        <v>0.88783943329397874</v>
      </c>
    </row>
    <row r="11" spans="1:11" x14ac:dyDescent="0.3">
      <c r="A11" s="11" t="s">
        <v>35</v>
      </c>
      <c r="B11" s="39">
        <v>260</v>
      </c>
      <c r="D11" s="11" t="s">
        <v>45</v>
      </c>
      <c r="E11" s="5">
        <v>505171.39999999991</v>
      </c>
      <c r="H11" s="13"/>
    </row>
    <row r="12" spans="1:11" x14ac:dyDescent="0.3">
      <c r="A12" s="11" t="s">
        <v>18</v>
      </c>
      <c r="B12" s="39">
        <v>256</v>
      </c>
      <c r="D12" s="11" t="s">
        <v>21</v>
      </c>
      <c r="E12" s="5">
        <v>583358.30000000016</v>
      </c>
      <c r="G12" s="10" t="s">
        <v>1658</v>
      </c>
      <c r="H12" t="s">
        <v>1668</v>
      </c>
    </row>
    <row r="13" spans="1:11" x14ac:dyDescent="0.3">
      <c r="A13" s="11" t="s">
        <v>27</v>
      </c>
      <c r="B13" s="39">
        <v>227</v>
      </c>
      <c r="D13" s="11" t="s">
        <v>38</v>
      </c>
      <c r="E13" s="5">
        <v>552275.50000000023</v>
      </c>
      <c r="G13" s="11" t="s">
        <v>1662</v>
      </c>
      <c r="H13">
        <v>688</v>
      </c>
    </row>
    <row r="14" spans="1:11" x14ac:dyDescent="0.3">
      <c r="A14" s="11" t="s">
        <v>1659</v>
      </c>
      <c r="B14" s="39">
        <v>1000</v>
      </c>
      <c r="D14" s="11" t="s">
        <v>30</v>
      </c>
      <c r="E14" s="5">
        <v>551751.90000000026</v>
      </c>
      <c r="G14" s="11" t="s">
        <v>1663</v>
      </c>
      <c r="H14">
        <v>2098</v>
      </c>
    </row>
    <row r="15" spans="1:11" x14ac:dyDescent="0.3">
      <c r="D15" s="11" t="s">
        <v>1659</v>
      </c>
      <c r="E15" s="5">
        <v>2432077.1500000004</v>
      </c>
      <c r="G15" s="11" t="s">
        <v>47</v>
      </c>
      <c r="H15">
        <v>0</v>
      </c>
    </row>
    <row r="16" spans="1:11" x14ac:dyDescent="0.3">
      <c r="A16" s="10" t="s">
        <v>1658</v>
      </c>
      <c r="B16" t="s">
        <v>1664</v>
      </c>
      <c r="G16" s="11" t="s">
        <v>1659</v>
      </c>
      <c r="H16">
        <v>2786</v>
      </c>
    </row>
    <row r="17" spans="1:15" x14ac:dyDescent="0.3">
      <c r="A17" s="11" t="s">
        <v>79</v>
      </c>
      <c r="B17" s="5">
        <v>2390.557003891051</v>
      </c>
      <c r="D17" s="10" t="s">
        <v>1658</v>
      </c>
      <c r="E17" t="s">
        <v>1660</v>
      </c>
    </row>
    <row r="18" spans="1:15" x14ac:dyDescent="0.3">
      <c r="A18" s="11" t="s">
        <v>35</v>
      </c>
      <c r="B18" s="5">
        <v>2426.7611538461533</v>
      </c>
      <c r="D18" s="12">
        <v>46023</v>
      </c>
      <c r="E18" s="5">
        <v>209922.65</v>
      </c>
      <c r="G18" s="15" t="s">
        <v>1670</v>
      </c>
      <c r="H18" s="16">
        <f>GETPIVOTDATA("Delivery Days",$G$12,"Delivery Status","On Time")+GETPIVOTDATA("Delivery Days",$G$12,"Delivery Status","Late")</f>
        <v>2786</v>
      </c>
    </row>
    <row r="19" spans="1:15" x14ac:dyDescent="0.3">
      <c r="A19" s="11" t="s">
        <v>18</v>
      </c>
      <c r="B19" s="5">
        <v>2510.4912109375009</v>
      </c>
      <c r="D19" s="12">
        <v>46054</v>
      </c>
      <c r="E19" s="5">
        <v>156080.85000000006</v>
      </c>
      <c r="G19" s="15" t="s">
        <v>1669</v>
      </c>
      <c r="H19" s="18">
        <f>H18/H8</f>
        <v>3.2892561983471076</v>
      </c>
    </row>
    <row r="20" spans="1:15" x14ac:dyDescent="0.3">
      <c r="A20" s="11" t="s">
        <v>27</v>
      </c>
      <c r="B20" s="5">
        <v>2396.7416299559477</v>
      </c>
      <c r="D20" s="12">
        <v>46082</v>
      </c>
      <c r="E20" s="5">
        <v>185487.95</v>
      </c>
    </row>
    <row r="21" spans="1:15" x14ac:dyDescent="0.3">
      <c r="A21" s="11" t="s">
        <v>1659</v>
      </c>
      <c r="B21" s="5">
        <v>2432.0771499999969</v>
      </c>
      <c r="D21" s="12">
        <v>46113</v>
      </c>
      <c r="E21" s="5">
        <v>240356.69999999998</v>
      </c>
      <c r="H21" s="10" t="s">
        <v>1672</v>
      </c>
    </row>
    <row r="22" spans="1:15" x14ac:dyDescent="0.3">
      <c r="D22" s="12">
        <v>46143</v>
      </c>
      <c r="E22" s="5">
        <v>181337.1999999999</v>
      </c>
      <c r="H22" t="s">
        <v>1662</v>
      </c>
      <c r="J22" t="s">
        <v>1663</v>
      </c>
      <c r="L22" t="s">
        <v>47</v>
      </c>
      <c r="N22" t="s">
        <v>1674</v>
      </c>
      <c r="O22" t="s">
        <v>1673</v>
      </c>
    </row>
    <row r="23" spans="1:15" x14ac:dyDescent="0.3">
      <c r="D23" s="12">
        <v>46174</v>
      </c>
      <c r="E23" s="5">
        <v>162697.19999999998</v>
      </c>
      <c r="G23" s="10" t="s">
        <v>1658</v>
      </c>
      <c r="H23" t="s">
        <v>1671</v>
      </c>
      <c r="I23" t="s">
        <v>1661</v>
      </c>
      <c r="J23" t="s">
        <v>1671</v>
      </c>
      <c r="K23" t="s">
        <v>1661</v>
      </c>
      <c r="L23" t="s">
        <v>1671</v>
      </c>
      <c r="M23" t="s">
        <v>1661</v>
      </c>
    </row>
    <row r="24" spans="1:15" x14ac:dyDescent="0.3">
      <c r="D24" s="12">
        <v>46204</v>
      </c>
      <c r="E24" s="5">
        <v>231115.5</v>
      </c>
      <c r="G24" s="11" t="s">
        <v>79</v>
      </c>
      <c r="H24" s="39">
        <v>7.041666666666667</v>
      </c>
      <c r="I24" s="39">
        <v>24</v>
      </c>
      <c r="J24" s="39">
        <v>2.7461139896373057</v>
      </c>
      <c r="K24" s="39">
        <v>193</v>
      </c>
      <c r="L24" s="39" t="e">
        <v>#DIV/0!</v>
      </c>
      <c r="M24" s="39">
        <v>40</v>
      </c>
      <c r="N24" s="39">
        <v>3.2211981566820276</v>
      </c>
      <c r="O24" s="39">
        <v>257</v>
      </c>
    </row>
    <row r="25" spans="1:15" x14ac:dyDescent="0.3">
      <c r="D25" s="12">
        <v>46235</v>
      </c>
      <c r="E25" s="5">
        <v>259695.65000000011</v>
      </c>
      <c r="G25" s="11" t="s">
        <v>35</v>
      </c>
      <c r="H25" s="39">
        <v>7.2692307692307692</v>
      </c>
      <c r="I25" s="39">
        <v>26</v>
      </c>
      <c r="J25" s="39">
        <v>2.7628865979381443</v>
      </c>
      <c r="K25" s="39">
        <v>194</v>
      </c>
      <c r="L25" s="39" t="e">
        <v>#DIV/0!</v>
      </c>
      <c r="M25" s="39">
        <v>40</v>
      </c>
      <c r="N25" s="39">
        <v>3.2954545454545454</v>
      </c>
      <c r="O25" s="39">
        <v>260</v>
      </c>
    </row>
    <row r="26" spans="1:15" x14ac:dyDescent="0.3">
      <c r="D26" s="12">
        <v>46266</v>
      </c>
      <c r="E26" s="5">
        <v>175760.1</v>
      </c>
      <c r="G26" s="11" t="s">
        <v>18</v>
      </c>
      <c r="H26" s="39">
        <v>6.96</v>
      </c>
      <c r="I26" s="39">
        <v>25</v>
      </c>
      <c r="J26" s="39">
        <v>2.7421052631578946</v>
      </c>
      <c r="K26" s="39">
        <v>190</v>
      </c>
      <c r="L26" s="39" t="e">
        <v>#DIV/0!</v>
      </c>
      <c r="M26" s="39">
        <v>41</v>
      </c>
      <c r="N26" s="39">
        <v>3.2325581395348837</v>
      </c>
      <c r="O26" s="39">
        <v>256</v>
      </c>
    </row>
    <row r="27" spans="1:15" x14ac:dyDescent="0.3">
      <c r="D27" s="12">
        <v>46296</v>
      </c>
      <c r="E27" s="5">
        <v>195569.44999999995</v>
      </c>
      <c r="G27" s="11" t="s">
        <v>27</v>
      </c>
      <c r="H27" s="39">
        <v>7.8</v>
      </c>
      <c r="I27" s="39">
        <v>20</v>
      </c>
      <c r="J27" s="39">
        <v>2.92</v>
      </c>
      <c r="K27" s="39">
        <v>175</v>
      </c>
      <c r="L27" s="39" t="e">
        <v>#DIV/0!</v>
      </c>
      <c r="M27" s="39">
        <v>32</v>
      </c>
      <c r="N27" s="39">
        <v>3.4205128205128204</v>
      </c>
      <c r="O27" s="39">
        <v>227</v>
      </c>
    </row>
    <row r="28" spans="1:15" x14ac:dyDescent="0.3">
      <c r="D28" s="12">
        <v>46327</v>
      </c>
      <c r="E28" s="5">
        <v>181070.40000000002</v>
      </c>
      <c r="G28" s="11" t="s">
        <v>1659</v>
      </c>
      <c r="H28" s="39">
        <v>7.242105263157895</v>
      </c>
      <c r="I28" s="39">
        <v>95</v>
      </c>
      <c r="J28" s="39">
        <v>2.7898936170212765</v>
      </c>
      <c r="K28" s="39">
        <v>752</v>
      </c>
      <c r="L28" s="39" t="e">
        <v>#DIV/0!</v>
      </c>
      <c r="M28" s="39">
        <v>153</v>
      </c>
      <c r="N28" s="39">
        <v>3.2892561983471076</v>
      </c>
      <c r="O28" s="39">
        <v>1000</v>
      </c>
    </row>
    <row r="29" spans="1:15" x14ac:dyDescent="0.3">
      <c r="D29" s="12">
        <v>46357</v>
      </c>
      <c r="E29" s="5">
        <v>252983.49999999991</v>
      </c>
    </row>
    <row r="30" spans="1:15" x14ac:dyDescent="0.3">
      <c r="D30" s="12" t="s">
        <v>1659</v>
      </c>
      <c r="E30" s="5">
        <v>2432077.15</v>
      </c>
      <c r="G30" s="11" t="s">
        <v>4</v>
      </c>
      <c r="H30" t="s">
        <v>1666</v>
      </c>
      <c r="I30" t="s">
        <v>1675</v>
      </c>
      <c r="J30" t="s">
        <v>1665</v>
      </c>
      <c r="K30" t="s">
        <v>1667</v>
      </c>
    </row>
    <row r="31" spans="1:15" x14ac:dyDescent="0.3">
      <c r="G31" s="11" t="s">
        <v>79</v>
      </c>
      <c r="H31">
        <f>GETPIVOTDATA("Count of Order ID",$G$21,"Region","East","Delivery Status","On Time")</f>
        <v>193</v>
      </c>
      <c r="I31">
        <f>GETPIVOTDATA("Count of Order ID",$G$21,"Region","East","Delivery Status","Late")</f>
        <v>24</v>
      </c>
      <c r="J31">
        <f>H31+I31</f>
        <v>217</v>
      </c>
      <c r="K31" s="14">
        <f>H31/J31</f>
        <v>0.88940092165898621</v>
      </c>
    </row>
    <row r="32" spans="1:15" x14ac:dyDescent="0.3">
      <c r="G32" s="11" t="s">
        <v>35</v>
      </c>
      <c r="H32">
        <f>GETPIVOTDATA("Count of Order ID",$G$21,"Region","North","Delivery Status","On Time")</f>
        <v>194</v>
      </c>
      <c r="I32">
        <f>GETPIVOTDATA("Count of Order ID",$G$21,"Region","North","Delivery Status","Late")</f>
        <v>26</v>
      </c>
      <c r="J32">
        <f t="shared" ref="J32:J34" si="0">H32+I32</f>
        <v>220</v>
      </c>
      <c r="K32" s="14">
        <f t="shared" ref="K32:K34" si="1">H32/J32</f>
        <v>0.88181818181818183</v>
      </c>
    </row>
    <row r="33" spans="1:11" x14ac:dyDescent="0.3">
      <c r="G33" s="11" t="s">
        <v>18</v>
      </c>
      <c r="H33">
        <f>GETPIVOTDATA("Count of Order ID",$G$21,"Region","South","Delivery Status","On Time")</f>
        <v>190</v>
      </c>
      <c r="I33">
        <f>GETPIVOTDATA("Count of Order ID",$G$21,"Region","South","Delivery Status","Late")</f>
        <v>25</v>
      </c>
      <c r="J33">
        <f t="shared" si="0"/>
        <v>215</v>
      </c>
      <c r="K33" s="14">
        <f t="shared" si="1"/>
        <v>0.88372093023255816</v>
      </c>
    </row>
    <row r="34" spans="1:11" x14ac:dyDescent="0.3">
      <c r="G34" s="11" t="s">
        <v>27</v>
      </c>
      <c r="H34">
        <f>GETPIVOTDATA("Count of Order ID",$G$21,"Region","West","Delivery Status","On Time")</f>
        <v>175</v>
      </c>
      <c r="I34">
        <f>GETPIVOTDATA("Count of Order ID",$G$21,"Region","West","Delivery Status","Late")</f>
        <v>20</v>
      </c>
      <c r="J34">
        <f t="shared" si="0"/>
        <v>195</v>
      </c>
      <c r="K34" s="14">
        <f t="shared" si="1"/>
        <v>0.89743589743589747</v>
      </c>
    </row>
    <row r="35" spans="1:11" x14ac:dyDescent="0.3">
      <c r="G35" s="11" t="s">
        <v>1676</v>
      </c>
      <c r="H35" s="14">
        <f>(SUM(H31:H34))/(SUM(J31:J34))</f>
        <v>0.88783943329397874</v>
      </c>
    </row>
    <row r="36" spans="1:11" x14ac:dyDescent="0.3">
      <c r="A36" s="10" t="s">
        <v>6</v>
      </c>
      <c r="B36" t="s">
        <v>1660</v>
      </c>
      <c r="D36" s="10" t="s">
        <v>1661</v>
      </c>
      <c r="E36" s="10" t="s">
        <v>1672</v>
      </c>
    </row>
    <row r="37" spans="1:11" x14ac:dyDescent="0.3">
      <c r="A37" s="11" t="s">
        <v>69</v>
      </c>
      <c r="B37" s="5">
        <v>264524.40000000002</v>
      </c>
      <c r="D37" s="10" t="s">
        <v>1658</v>
      </c>
      <c r="E37" t="s">
        <v>59</v>
      </c>
      <c r="F37" t="s">
        <v>23</v>
      </c>
      <c r="G37" t="s">
        <v>47</v>
      </c>
      <c r="H37" t="s">
        <v>82</v>
      </c>
      <c r="I37" t="s">
        <v>1659</v>
      </c>
      <c r="J37" s="17" t="s">
        <v>1678</v>
      </c>
    </row>
    <row r="38" spans="1:11" x14ac:dyDescent="0.3">
      <c r="A38" s="11" t="s">
        <v>91</v>
      </c>
      <c r="B38" s="5">
        <v>221692.80000000002</v>
      </c>
      <c r="D38" s="11" t="s">
        <v>87</v>
      </c>
      <c r="E38">
        <v>3</v>
      </c>
      <c r="F38">
        <v>19</v>
      </c>
      <c r="G38">
        <v>6</v>
      </c>
      <c r="H38">
        <v>7</v>
      </c>
      <c r="I38">
        <v>35</v>
      </c>
      <c r="J38" s="14">
        <f>E38/I38</f>
        <v>8.5714285714285715E-2</v>
      </c>
    </row>
    <row r="39" spans="1:11" x14ac:dyDescent="0.3">
      <c r="A39" s="11" t="s">
        <v>218</v>
      </c>
      <c r="B39" s="5">
        <v>198683.75000000006</v>
      </c>
      <c r="D39" s="11" t="s">
        <v>96</v>
      </c>
      <c r="E39">
        <v>4</v>
      </c>
      <c r="F39">
        <v>21</v>
      </c>
      <c r="G39">
        <v>6</v>
      </c>
      <c r="H39">
        <v>4</v>
      </c>
      <c r="I39">
        <v>35</v>
      </c>
      <c r="J39" s="14">
        <f t="shared" ref="J39:J62" si="2">E39/I39</f>
        <v>0.11428571428571428</v>
      </c>
    </row>
    <row r="40" spans="1:11" x14ac:dyDescent="0.3">
      <c r="A40" s="11" t="s">
        <v>100</v>
      </c>
      <c r="B40" s="5">
        <v>174305.24999999997</v>
      </c>
      <c r="D40" s="11" t="s">
        <v>153</v>
      </c>
      <c r="E40">
        <v>8</v>
      </c>
      <c r="F40">
        <v>27</v>
      </c>
      <c r="G40">
        <v>9</v>
      </c>
      <c r="H40">
        <v>6</v>
      </c>
      <c r="I40">
        <v>50</v>
      </c>
      <c r="J40" s="14">
        <f t="shared" si="2"/>
        <v>0.16</v>
      </c>
    </row>
    <row r="41" spans="1:11" x14ac:dyDescent="0.3">
      <c r="A41" s="11" t="s">
        <v>153</v>
      </c>
      <c r="B41" s="5">
        <v>160019.94999999995</v>
      </c>
      <c r="D41" s="11" t="s">
        <v>69</v>
      </c>
      <c r="E41">
        <v>2</v>
      </c>
      <c r="F41">
        <v>29</v>
      </c>
      <c r="G41">
        <v>9</v>
      </c>
      <c r="H41">
        <v>4</v>
      </c>
      <c r="I41">
        <v>44</v>
      </c>
      <c r="J41" s="14">
        <f t="shared" si="2"/>
        <v>4.5454545454545456E-2</v>
      </c>
    </row>
    <row r="42" spans="1:11" x14ac:dyDescent="0.3">
      <c r="A42" s="11" t="s">
        <v>186</v>
      </c>
      <c r="B42" s="5">
        <v>125037.45000000001</v>
      </c>
      <c r="D42" s="11" t="s">
        <v>100</v>
      </c>
      <c r="E42">
        <v>8</v>
      </c>
      <c r="F42">
        <v>25</v>
      </c>
      <c r="G42">
        <v>1</v>
      </c>
      <c r="H42">
        <v>8</v>
      </c>
      <c r="I42">
        <v>42</v>
      </c>
      <c r="J42" s="14">
        <f t="shared" si="2"/>
        <v>0.19047619047619047</v>
      </c>
    </row>
    <row r="43" spans="1:11" x14ac:dyDescent="0.3">
      <c r="A43" s="11" t="s">
        <v>44</v>
      </c>
      <c r="B43" s="5">
        <v>119633.5</v>
      </c>
      <c r="D43" s="11" t="s">
        <v>104</v>
      </c>
      <c r="E43">
        <v>5</v>
      </c>
      <c r="F43">
        <v>23</v>
      </c>
      <c r="G43">
        <v>7</v>
      </c>
      <c r="H43">
        <v>5</v>
      </c>
      <c r="I43">
        <v>40</v>
      </c>
      <c r="J43" s="14">
        <f t="shared" si="2"/>
        <v>0.125</v>
      </c>
    </row>
    <row r="44" spans="1:11" x14ac:dyDescent="0.3">
      <c r="A44" s="11" t="s">
        <v>52</v>
      </c>
      <c r="B44" s="5">
        <v>106582.95000000001</v>
      </c>
      <c r="D44" s="11" t="s">
        <v>147</v>
      </c>
      <c r="E44">
        <v>8</v>
      </c>
      <c r="F44">
        <v>25</v>
      </c>
      <c r="G44">
        <v>5</v>
      </c>
      <c r="H44">
        <v>3</v>
      </c>
      <c r="I44">
        <v>41</v>
      </c>
      <c r="J44" s="14">
        <f t="shared" si="2"/>
        <v>0.1951219512195122</v>
      </c>
    </row>
    <row r="45" spans="1:11" x14ac:dyDescent="0.3">
      <c r="A45" s="11" t="s">
        <v>20</v>
      </c>
      <c r="B45" s="5">
        <v>101733.44999999998</v>
      </c>
      <c r="D45" s="11" t="s">
        <v>206</v>
      </c>
      <c r="E45">
        <v>4</v>
      </c>
      <c r="F45">
        <v>17</v>
      </c>
      <c r="G45">
        <v>4</v>
      </c>
      <c r="H45">
        <v>7</v>
      </c>
      <c r="I45">
        <v>32</v>
      </c>
      <c r="J45" s="14">
        <f t="shared" si="2"/>
        <v>0.125</v>
      </c>
    </row>
    <row r="46" spans="1:11" x14ac:dyDescent="0.3">
      <c r="A46" s="11" t="s">
        <v>87</v>
      </c>
      <c r="B46" s="5">
        <v>93525.749999999985</v>
      </c>
      <c r="D46" s="11" t="s">
        <v>186</v>
      </c>
      <c r="E46">
        <v>7</v>
      </c>
      <c r="F46">
        <v>19</v>
      </c>
      <c r="G46">
        <v>9</v>
      </c>
      <c r="H46">
        <v>2</v>
      </c>
      <c r="I46">
        <v>37</v>
      </c>
      <c r="J46" s="14">
        <f t="shared" si="2"/>
        <v>0.1891891891891892</v>
      </c>
    </row>
    <row r="47" spans="1:11" x14ac:dyDescent="0.3">
      <c r="A47" s="11" t="s">
        <v>96</v>
      </c>
      <c r="B47" s="5">
        <v>88744.499999999985</v>
      </c>
      <c r="D47" s="11" t="s">
        <v>20</v>
      </c>
      <c r="E47">
        <v>6</v>
      </c>
      <c r="F47">
        <v>19</v>
      </c>
      <c r="G47">
        <v>2</v>
      </c>
      <c r="H47">
        <v>8</v>
      </c>
      <c r="I47">
        <v>35</v>
      </c>
      <c r="J47" s="14">
        <f t="shared" si="2"/>
        <v>0.17142857142857143</v>
      </c>
    </row>
    <row r="48" spans="1:11" x14ac:dyDescent="0.3">
      <c r="A48" s="11" t="s">
        <v>228</v>
      </c>
      <c r="B48" s="5">
        <v>76748.800000000003</v>
      </c>
      <c r="D48" s="11" t="s">
        <v>52</v>
      </c>
      <c r="E48">
        <v>5</v>
      </c>
      <c r="F48">
        <v>29</v>
      </c>
      <c r="G48">
        <v>3</v>
      </c>
      <c r="H48">
        <v>7</v>
      </c>
      <c r="I48">
        <v>44</v>
      </c>
      <c r="J48" s="14">
        <f t="shared" si="2"/>
        <v>0.11363636363636363</v>
      </c>
    </row>
    <row r="49" spans="1:10" x14ac:dyDescent="0.3">
      <c r="A49" s="11" t="s">
        <v>104</v>
      </c>
      <c r="B49" s="5">
        <v>76673.250000000015</v>
      </c>
      <c r="D49" s="11" t="s">
        <v>180</v>
      </c>
      <c r="E49">
        <v>4</v>
      </c>
      <c r="F49">
        <v>25</v>
      </c>
      <c r="G49">
        <v>4</v>
      </c>
      <c r="H49">
        <v>7</v>
      </c>
      <c r="I49">
        <v>40</v>
      </c>
      <c r="J49" s="14">
        <f t="shared" si="2"/>
        <v>0.1</v>
      </c>
    </row>
    <row r="50" spans="1:10" x14ac:dyDescent="0.3">
      <c r="A50" s="11" t="s">
        <v>131</v>
      </c>
      <c r="B50" s="5">
        <v>73403.350000000006</v>
      </c>
      <c r="D50" s="11" t="s">
        <v>228</v>
      </c>
      <c r="E50">
        <v>4</v>
      </c>
      <c r="F50">
        <v>20</v>
      </c>
      <c r="G50">
        <v>5</v>
      </c>
      <c r="H50">
        <v>5</v>
      </c>
      <c r="I50">
        <v>34</v>
      </c>
      <c r="J50" s="14">
        <f t="shared" si="2"/>
        <v>0.11764705882352941</v>
      </c>
    </row>
    <row r="51" spans="1:10" x14ac:dyDescent="0.3">
      <c r="A51" s="11" t="s">
        <v>160</v>
      </c>
      <c r="B51" s="5">
        <v>66480.650000000009</v>
      </c>
      <c r="D51" s="11" t="s">
        <v>160</v>
      </c>
      <c r="E51">
        <v>5</v>
      </c>
      <c r="F51">
        <v>18</v>
      </c>
      <c r="G51">
        <v>5</v>
      </c>
      <c r="H51">
        <v>5</v>
      </c>
      <c r="I51">
        <v>33</v>
      </c>
      <c r="J51" s="14">
        <f t="shared" si="2"/>
        <v>0.15151515151515152</v>
      </c>
    </row>
    <row r="52" spans="1:10" x14ac:dyDescent="0.3">
      <c r="A52" s="11" t="s">
        <v>81</v>
      </c>
      <c r="B52" s="5">
        <v>65312.350000000006</v>
      </c>
      <c r="D52" s="11" t="s">
        <v>29</v>
      </c>
      <c r="E52">
        <v>7</v>
      </c>
      <c r="F52">
        <v>19</v>
      </c>
      <c r="G52">
        <v>6</v>
      </c>
      <c r="H52">
        <v>1</v>
      </c>
      <c r="I52">
        <v>33</v>
      </c>
      <c r="J52" s="14">
        <f t="shared" si="2"/>
        <v>0.21212121212121213</v>
      </c>
    </row>
    <row r="53" spans="1:10" x14ac:dyDescent="0.3">
      <c r="A53" s="11" t="s">
        <v>64</v>
      </c>
      <c r="B53" s="5">
        <v>64377.9</v>
      </c>
      <c r="D53" s="11" t="s">
        <v>91</v>
      </c>
      <c r="E53">
        <v>3</v>
      </c>
      <c r="F53">
        <v>20</v>
      </c>
      <c r="G53">
        <v>9</v>
      </c>
      <c r="H53">
        <v>5</v>
      </c>
      <c r="I53">
        <v>37</v>
      </c>
      <c r="J53" s="14">
        <f t="shared" si="2"/>
        <v>8.1081081081081086E-2</v>
      </c>
    </row>
    <row r="54" spans="1:10" x14ac:dyDescent="0.3">
      <c r="A54" s="11" t="s">
        <v>206</v>
      </c>
      <c r="B54" s="5">
        <v>62827.599999999991</v>
      </c>
      <c r="D54" s="11" t="s">
        <v>57</v>
      </c>
      <c r="E54">
        <v>6</v>
      </c>
      <c r="F54">
        <v>31</v>
      </c>
      <c r="G54">
        <v>7</v>
      </c>
      <c r="H54">
        <v>4</v>
      </c>
      <c r="I54">
        <v>48</v>
      </c>
      <c r="J54" s="14">
        <f t="shared" si="2"/>
        <v>0.125</v>
      </c>
    </row>
    <row r="55" spans="1:10" x14ac:dyDescent="0.3">
      <c r="A55" s="11" t="s">
        <v>118</v>
      </c>
      <c r="B55" s="5">
        <v>59433.150000000016</v>
      </c>
      <c r="D55" s="11" t="s">
        <v>218</v>
      </c>
      <c r="E55">
        <v>7</v>
      </c>
      <c r="F55">
        <v>24</v>
      </c>
      <c r="G55">
        <v>9</v>
      </c>
      <c r="H55">
        <v>4</v>
      </c>
      <c r="I55">
        <v>44</v>
      </c>
      <c r="J55" s="14">
        <f t="shared" si="2"/>
        <v>0.15909090909090909</v>
      </c>
    </row>
    <row r="56" spans="1:10" x14ac:dyDescent="0.3">
      <c r="A56" s="11" t="s">
        <v>75</v>
      </c>
      <c r="B56" s="5">
        <v>52454.349999999991</v>
      </c>
      <c r="D56" s="11" t="s">
        <v>131</v>
      </c>
      <c r="E56">
        <v>3</v>
      </c>
      <c r="F56">
        <v>25</v>
      </c>
      <c r="G56">
        <v>9</v>
      </c>
      <c r="H56">
        <v>5</v>
      </c>
      <c r="I56">
        <v>42</v>
      </c>
      <c r="J56" s="14">
        <f t="shared" si="2"/>
        <v>7.1428571428571425E-2</v>
      </c>
    </row>
    <row r="57" spans="1:10" x14ac:dyDescent="0.3">
      <c r="A57" s="11" t="s">
        <v>37</v>
      </c>
      <c r="B57" s="5">
        <v>48930.000000000007</v>
      </c>
      <c r="D57" s="11" t="s">
        <v>118</v>
      </c>
      <c r="E57">
        <v>4</v>
      </c>
      <c r="F57">
        <v>37</v>
      </c>
      <c r="G57">
        <v>6</v>
      </c>
      <c r="H57">
        <v>3</v>
      </c>
      <c r="I57">
        <v>50</v>
      </c>
      <c r="J57" s="14">
        <f t="shared" si="2"/>
        <v>0.08</v>
      </c>
    </row>
    <row r="58" spans="1:10" x14ac:dyDescent="0.3">
      <c r="A58" s="11" t="s">
        <v>57</v>
      </c>
      <c r="B58" s="5">
        <v>44635.55</v>
      </c>
      <c r="D58" s="11" t="s">
        <v>64</v>
      </c>
      <c r="E58">
        <v>8</v>
      </c>
      <c r="F58">
        <v>25</v>
      </c>
      <c r="G58">
        <v>7</v>
      </c>
      <c r="H58">
        <v>7</v>
      </c>
      <c r="I58">
        <v>47</v>
      </c>
      <c r="J58" s="14">
        <f t="shared" si="2"/>
        <v>0.1702127659574468</v>
      </c>
    </row>
    <row r="59" spans="1:10" x14ac:dyDescent="0.3">
      <c r="A59" s="11" t="s">
        <v>180</v>
      </c>
      <c r="B59" s="5">
        <v>35460.800000000003</v>
      </c>
      <c r="D59" s="11" t="s">
        <v>44</v>
      </c>
      <c r="E59">
        <v>5</v>
      </c>
      <c r="F59">
        <v>19</v>
      </c>
      <c r="G59">
        <v>8</v>
      </c>
      <c r="I59">
        <v>32</v>
      </c>
      <c r="J59" s="14">
        <f t="shared" si="2"/>
        <v>0.15625</v>
      </c>
    </row>
    <row r="60" spans="1:10" x14ac:dyDescent="0.3">
      <c r="A60" s="11" t="s">
        <v>29</v>
      </c>
      <c r="B60" s="5">
        <v>27613.900000000005</v>
      </c>
      <c r="D60" s="11" t="s">
        <v>37</v>
      </c>
      <c r="E60">
        <v>5</v>
      </c>
      <c r="F60">
        <v>23</v>
      </c>
      <c r="G60">
        <v>4</v>
      </c>
      <c r="H60">
        <v>10</v>
      </c>
      <c r="I60">
        <v>42</v>
      </c>
      <c r="J60" s="14">
        <f t="shared" si="2"/>
        <v>0.11904761904761904</v>
      </c>
    </row>
    <row r="61" spans="1:10" x14ac:dyDescent="0.3">
      <c r="A61" s="11" t="s">
        <v>147</v>
      </c>
      <c r="B61" s="5">
        <v>23241.75</v>
      </c>
      <c r="D61" s="11" t="s">
        <v>75</v>
      </c>
      <c r="E61">
        <v>6</v>
      </c>
      <c r="F61">
        <v>23</v>
      </c>
      <c r="G61">
        <v>6</v>
      </c>
      <c r="H61">
        <v>8</v>
      </c>
      <c r="I61">
        <v>43</v>
      </c>
      <c r="J61" s="14">
        <f t="shared" si="2"/>
        <v>0.13953488372093023</v>
      </c>
    </row>
    <row r="62" spans="1:10" x14ac:dyDescent="0.3">
      <c r="A62" s="11" t="s">
        <v>1659</v>
      </c>
      <c r="B62" s="5">
        <v>2432077.15</v>
      </c>
      <c r="D62" s="11" t="s">
        <v>81</v>
      </c>
      <c r="E62">
        <v>4</v>
      </c>
      <c r="F62">
        <v>21</v>
      </c>
      <c r="G62">
        <v>7</v>
      </c>
      <c r="H62">
        <v>8</v>
      </c>
      <c r="I62">
        <v>40</v>
      </c>
      <c r="J62" s="14">
        <f t="shared" si="2"/>
        <v>0.1</v>
      </c>
    </row>
    <row r="63" spans="1:10" x14ac:dyDescent="0.3">
      <c r="D63" s="11" t="s">
        <v>1659</v>
      </c>
      <c r="E63">
        <v>131</v>
      </c>
      <c r="F63">
        <v>583</v>
      </c>
      <c r="G63">
        <v>153</v>
      </c>
      <c r="H63">
        <v>133</v>
      </c>
      <c r="I63">
        <v>1000</v>
      </c>
    </row>
    <row r="64" spans="1:10" x14ac:dyDescent="0.3">
      <c r="A64" s="10" t="s">
        <v>1658</v>
      </c>
      <c r="B64" t="s">
        <v>1677</v>
      </c>
    </row>
    <row r="65" spans="1:7" x14ac:dyDescent="0.3">
      <c r="A65" s="11" t="s">
        <v>57</v>
      </c>
      <c r="B65">
        <v>101</v>
      </c>
      <c r="D65" s="11" t="s">
        <v>1678</v>
      </c>
      <c r="E65" s="14">
        <f>GETPIVOTDATA("Order ID",$D$36,"Order Status","Cancelled")/GETPIVOTDATA("Order ID",$D$36)</f>
        <v>0.13100000000000001</v>
      </c>
    </row>
    <row r="66" spans="1:7" x14ac:dyDescent="0.3">
      <c r="A66" s="11" t="s">
        <v>64</v>
      </c>
      <c r="B66">
        <v>100</v>
      </c>
    </row>
    <row r="67" spans="1:7" x14ac:dyDescent="0.3">
      <c r="A67" s="11" t="s">
        <v>52</v>
      </c>
      <c r="B67">
        <v>94</v>
      </c>
      <c r="D67" s="19" t="s">
        <v>6</v>
      </c>
      <c r="E67" s="21" t="s">
        <v>1678</v>
      </c>
      <c r="F67" s="21" t="s">
        <v>1679</v>
      </c>
      <c r="G67" s="21" t="s">
        <v>1653</v>
      </c>
    </row>
    <row r="68" spans="1:7" ht="28.8" x14ac:dyDescent="0.3">
      <c r="A68" s="11" t="s">
        <v>118</v>
      </c>
      <c r="B68">
        <v>90</v>
      </c>
      <c r="D68" s="22" t="s">
        <v>29</v>
      </c>
      <c r="E68" s="23">
        <v>0.21210000000000001</v>
      </c>
      <c r="F68" s="20">
        <v>33</v>
      </c>
      <c r="G68" s="24">
        <f>GETPIVOTDATA("Net Sales",$A$36,"Product","Resistance Bands")</f>
        <v>27613.900000000005</v>
      </c>
    </row>
    <row r="69" spans="1:7" x14ac:dyDescent="0.3">
      <c r="A69" s="11" t="s">
        <v>131</v>
      </c>
      <c r="B69">
        <v>90</v>
      </c>
      <c r="D69" s="22" t="s">
        <v>147</v>
      </c>
      <c r="E69" s="23">
        <v>0.1951</v>
      </c>
      <c r="F69" s="20">
        <v>41</v>
      </c>
      <c r="G69" s="24">
        <f>GETPIVOTDATA("Net Sales",$A$36,"Product","Face Wash")</f>
        <v>23241.75</v>
      </c>
    </row>
    <row r="70" spans="1:7" x14ac:dyDescent="0.3">
      <c r="A70" s="11" t="s">
        <v>153</v>
      </c>
      <c r="B70">
        <v>89</v>
      </c>
      <c r="D70" s="22" t="s">
        <v>100</v>
      </c>
      <c r="E70" s="23">
        <v>0.1905</v>
      </c>
      <c r="F70" s="20">
        <v>42</v>
      </c>
      <c r="G70" s="24">
        <f>GETPIVOTDATA("Net Sales",$A$36,"Product","Cricket Bat")</f>
        <v>174305.24999999997</v>
      </c>
    </row>
    <row r="71" spans="1:7" x14ac:dyDescent="0.3">
      <c r="A71" s="11" t="s">
        <v>104</v>
      </c>
      <c r="B71">
        <v>84</v>
      </c>
      <c r="D71" s="22" t="s">
        <v>186</v>
      </c>
      <c r="E71" s="23">
        <v>0.18920000000000001</v>
      </c>
      <c r="F71" s="20">
        <v>37</v>
      </c>
      <c r="G71" s="24">
        <f>GETPIVOTDATA("Net Sales",$A$36,"Product","Hoodie")</f>
        <v>125037.45000000001</v>
      </c>
    </row>
    <row r="72" spans="1:7" x14ac:dyDescent="0.3">
      <c r="A72" s="11" t="s">
        <v>69</v>
      </c>
      <c r="B72">
        <v>84</v>
      </c>
      <c r="D72" s="22" t="s">
        <v>64</v>
      </c>
      <c r="E72" s="23">
        <v>0.17019999999999999</v>
      </c>
      <c r="F72" s="20">
        <v>47</v>
      </c>
      <c r="G72" s="24">
        <f>GETPIVOTDATA("Net Sales",$A$36,"Product","T-Shirt")</f>
        <v>64377.9</v>
      </c>
    </row>
    <row r="73" spans="1:7" x14ac:dyDescent="0.3">
      <c r="A73" s="11" t="s">
        <v>81</v>
      </c>
      <c r="B73">
        <v>79</v>
      </c>
    </row>
    <row r="74" spans="1:7" x14ac:dyDescent="0.3">
      <c r="A74" s="11" t="s">
        <v>37</v>
      </c>
      <c r="B74">
        <v>77</v>
      </c>
    </row>
    <row r="75" spans="1:7" x14ac:dyDescent="0.3">
      <c r="A75" s="11" t="s">
        <v>75</v>
      </c>
      <c r="B75">
        <v>76</v>
      </c>
    </row>
    <row r="76" spans="1:7" x14ac:dyDescent="0.3">
      <c r="A76" s="11" t="s">
        <v>218</v>
      </c>
      <c r="B76">
        <v>76</v>
      </c>
    </row>
    <row r="77" spans="1:7" x14ac:dyDescent="0.3">
      <c r="A77" s="11" t="s">
        <v>100</v>
      </c>
      <c r="B77">
        <v>76</v>
      </c>
    </row>
    <row r="78" spans="1:7" x14ac:dyDescent="0.3">
      <c r="A78" s="11" t="s">
        <v>91</v>
      </c>
      <c r="B78">
        <v>74</v>
      </c>
    </row>
    <row r="79" spans="1:7" x14ac:dyDescent="0.3">
      <c r="A79" s="11" t="s">
        <v>44</v>
      </c>
      <c r="B79">
        <v>72</v>
      </c>
    </row>
    <row r="80" spans="1:7" x14ac:dyDescent="0.3">
      <c r="A80" s="11" t="s">
        <v>186</v>
      </c>
      <c r="B80">
        <v>70</v>
      </c>
    </row>
    <row r="81" spans="1:4" x14ac:dyDescent="0.3">
      <c r="A81" s="11" t="s">
        <v>180</v>
      </c>
      <c r="B81">
        <v>67</v>
      </c>
    </row>
    <row r="82" spans="1:4" x14ac:dyDescent="0.3">
      <c r="A82" s="11" t="s">
        <v>147</v>
      </c>
      <c r="B82">
        <v>66</v>
      </c>
    </row>
    <row r="83" spans="1:4" x14ac:dyDescent="0.3">
      <c r="A83" s="11" t="s">
        <v>20</v>
      </c>
      <c r="B83">
        <v>64</v>
      </c>
    </row>
    <row r="84" spans="1:4" x14ac:dyDescent="0.3">
      <c r="A84" s="11" t="s">
        <v>96</v>
      </c>
      <c r="B84">
        <v>62</v>
      </c>
    </row>
    <row r="85" spans="1:4" x14ac:dyDescent="0.3">
      <c r="A85" s="11" t="s">
        <v>206</v>
      </c>
      <c r="B85">
        <v>58</v>
      </c>
    </row>
    <row r="86" spans="1:4" x14ac:dyDescent="0.3">
      <c r="A86" s="11" t="s">
        <v>228</v>
      </c>
      <c r="B86">
        <v>56</v>
      </c>
    </row>
    <row r="87" spans="1:4" x14ac:dyDescent="0.3">
      <c r="A87" s="11" t="s">
        <v>87</v>
      </c>
      <c r="B87">
        <v>53</v>
      </c>
    </row>
    <row r="88" spans="1:4" x14ac:dyDescent="0.3">
      <c r="A88" s="11" t="s">
        <v>29</v>
      </c>
      <c r="B88">
        <v>52</v>
      </c>
    </row>
    <row r="89" spans="1:4" x14ac:dyDescent="0.3">
      <c r="A89" s="11" t="s">
        <v>160</v>
      </c>
      <c r="B89">
        <v>51</v>
      </c>
    </row>
    <row r="90" spans="1:4" x14ac:dyDescent="0.3">
      <c r="A90" s="11" t="s">
        <v>1659</v>
      </c>
      <c r="B90">
        <v>1861</v>
      </c>
    </row>
    <row r="92" spans="1:4" x14ac:dyDescent="0.3">
      <c r="A92" s="10" t="s">
        <v>1658</v>
      </c>
      <c r="B92" t="s">
        <v>1660</v>
      </c>
      <c r="C92" t="s">
        <v>1677</v>
      </c>
      <c r="D92" t="s">
        <v>1664</v>
      </c>
    </row>
    <row r="93" spans="1:4" x14ac:dyDescent="0.3">
      <c r="A93" s="11" t="s">
        <v>69</v>
      </c>
      <c r="B93" s="5">
        <v>264524.40000000002</v>
      </c>
      <c r="C93">
        <v>84</v>
      </c>
      <c r="D93" s="5">
        <v>6011.9181818181823</v>
      </c>
    </row>
    <row r="94" spans="1:4" x14ac:dyDescent="0.3">
      <c r="A94" s="11" t="s">
        <v>91</v>
      </c>
      <c r="B94" s="5">
        <v>221692.80000000002</v>
      </c>
      <c r="C94">
        <v>74</v>
      </c>
      <c r="D94" s="5">
        <v>5991.6972972972981</v>
      </c>
    </row>
    <row r="95" spans="1:4" x14ac:dyDescent="0.3">
      <c r="A95" s="11" t="s">
        <v>218</v>
      </c>
      <c r="B95" s="5">
        <v>198683.75000000006</v>
      </c>
      <c r="C95">
        <v>76</v>
      </c>
      <c r="D95" s="5">
        <v>4515.5397727272739</v>
      </c>
    </row>
    <row r="96" spans="1:4" x14ac:dyDescent="0.3">
      <c r="A96" s="11" t="s">
        <v>100</v>
      </c>
      <c r="B96" s="5">
        <v>174305.24999999997</v>
      </c>
      <c r="C96">
        <v>76</v>
      </c>
      <c r="D96" s="5">
        <v>4150.1249999999991</v>
      </c>
    </row>
    <row r="97" spans="1:4" x14ac:dyDescent="0.3">
      <c r="A97" s="11" t="s">
        <v>153</v>
      </c>
      <c r="B97" s="5">
        <v>160019.94999999995</v>
      </c>
      <c r="C97">
        <v>89</v>
      </c>
      <c r="D97" s="5">
        <v>3200.398999999999</v>
      </c>
    </row>
    <row r="98" spans="1:4" x14ac:dyDescent="0.3">
      <c r="A98" s="11" t="s">
        <v>186</v>
      </c>
      <c r="B98" s="5">
        <v>125037.45000000001</v>
      </c>
      <c r="C98">
        <v>70</v>
      </c>
      <c r="D98" s="5">
        <v>3379.3905405405408</v>
      </c>
    </row>
    <row r="99" spans="1:4" x14ac:dyDescent="0.3">
      <c r="A99" s="11" t="s">
        <v>44</v>
      </c>
      <c r="B99" s="5">
        <v>119633.5</v>
      </c>
      <c r="C99">
        <v>72</v>
      </c>
      <c r="D99" s="5">
        <v>3738.546875</v>
      </c>
    </row>
    <row r="100" spans="1:4" x14ac:dyDescent="0.3">
      <c r="A100" s="11" t="s">
        <v>52</v>
      </c>
      <c r="B100" s="5">
        <v>106582.95000000001</v>
      </c>
      <c r="C100">
        <v>94</v>
      </c>
      <c r="D100" s="5">
        <v>2422.3397727272732</v>
      </c>
    </row>
    <row r="101" spans="1:4" x14ac:dyDescent="0.3">
      <c r="A101" s="11" t="s">
        <v>20</v>
      </c>
      <c r="B101" s="5">
        <v>101733.44999999998</v>
      </c>
      <c r="C101">
        <v>64</v>
      </c>
      <c r="D101" s="5">
        <v>2906.6699999999996</v>
      </c>
    </row>
    <row r="102" spans="1:4" x14ac:dyDescent="0.3">
      <c r="A102" s="11" t="s">
        <v>87</v>
      </c>
      <c r="B102" s="5">
        <v>93525.749999999985</v>
      </c>
      <c r="C102">
        <v>53</v>
      </c>
      <c r="D102" s="5">
        <v>2672.1642857142851</v>
      </c>
    </row>
    <row r="103" spans="1:4" x14ac:dyDescent="0.3">
      <c r="A103" s="11" t="s">
        <v>96</v>
      </c>
      <c r="B103" s="5">
        <v>88744.499999999985</v>
      </c>
      <c r="C103">
        <v>62</v>
      </c>
      <c r="D103" s="5">
        <v>2535.5571428571425</v>
      </c>
    </row>
    <row r="104" spans="1:4" x14ac:dyDescent="0.3">
      <c r="A104" s="11" t="s">
        <v>228</v>
      </c>
      <c r="B104" s="5">
        <v>76748.800000000003</v>
      </c>
      <c r="C104">
        <v>56</v>
      </c>
      <c r="D104" s="5">
        <v>2257.3176470588237</v>
      </c>
    </row>
    <row r="105" spans="1:4" x14ac:dyDescent="0.3">
      <c r="A105" s="11" t="s">
        <v>104</v>
      </c>
      <c r="B105" s="5">
        <v>76673.250000000015</v>
      </c>
      <c r="C105">
        <v>84</v>
      </c>
      <c r="D105" s="5">
        <v>1916.8312500000004</v>
      </c>
    </row>
    <row r="106" spans="1:4" x14ac:dyDescent="0.3">
      <c r="A106" s="11" t="s">
        <v>131</v>
      </c>
      <c r="B106" s="5">
        <v>73403.350000000006</v>
      </c>
      <c r="C106">
        <v>90</v>
      </c>
      <c r="D106" s="5">
        <v>1747.6988095238096</v>
      </c>
    </row>
    <row r="107" spans="1:4" x14ac:dyDescent="0.3">
      <c r="A107" s="11" t="s">
        <v>160</v>
      </c>
      <c r="B107" s="5">
        <v>66480.650000000009</v>
      </c>
      <c r="C107">
        <v>51</v>
      </c>
      <c r="D107" s="5">
        <v>2014.5651515151517</v>
      </c>
    </row>
    <row r="108" spans="1:4" x14ac:dyDescent="0.3">
      <c r="A108" s="11" t="s">
        <v>81</v>
      </c>
      <c r="B108" s="5">
        <v>65312.350000000006</v>
      </c>
      <c r="C108">
        <v>79</v>
      </c>
      <c r="D108" s="5">
        <v>1632.8087500000001</v>
      </c>
    </row>
    <row r="109" spans="1:4" x14ac:dyDescent="0.3">
      <c r="A109" s="11" t="s">
        <v>64</v>
      </c>
      <c r="B109" s="5">
        <v>64377.9</v>
      </c>
      <c r="C109">
        <v>100</v>
      </c>
      <c r="D109" s="5">
        <v>1369.7425531914894</v>
      </c>
    </row>
    <row r="110" spans="1:4" x14ac:dyDescent="0.3">
      <c r="A110" s="11" t="s">
        <v>206</v>
      </c>
      <c r="B110" s="5">
        <v>62827.599999999991</v>
      </c>
      <c r="C110">
        <v>58</v>
      </c>
      <c r="D110" s="5">
        <v>1963.3624999999997</v>
      </c>
    </row>
    <row r="111" spans="1:4" x14ac:dyDescent="0.3">
      <c r="A111" s="11" t="s">
        <v>118</v>
      </c>
      <c r="B111" s="5">
        <v>59433.150000000016</v>
      </c>
      <c r="C111">
        <v>90</v>
      </c>
      <c r="D111" s="5">
        <v>1188.6630000000002</v>
      </c>
    </row>
    <row r="112" spans="1:4" x14ac:dyDescent="0.3">
      <c r="A112" s="11" t="s">
        <v>75</v>
      </c>
      <c r="B112" s="5">
        <v>52454.349999999991</v>
      </c>
      <c r="C112">
        <v>76</v>
      </c>
      <c r="D112" s="5">
        <v>1219.8686046511625</v>
      </c>
    </row>
    <row r="113" spans="1:8" x14ac:dyDescent="0.3">
      <c r="A113" s="11" t="s">
        <v>37</v>
      </c>
      <c r="B113" s="5">
        <v>48930.000000000007</v>
      </c>
      <c r="C113">
        <v>77</v>
      </c>
      <c r="D113" s="5">
        <v>1165.0000000000002</v>
      </c>
    </row>
    <row r="114" spans="1:8" x14ac:dyDescent="0.3">
      <c r="A114" s="11" t="s">
        <v>57</v>
      </c>
      <c r="B114" s="5">
        <v>44635.55</v>
      </c>
      <c r="C114">
        <v>101</v>
      </c>
      <c r="D114" s="5">
        <v>929.90729166666677</v>
      </c>
    </row>
    <row r="115" spans="1:8" x14ac:dyDescent="0.3">
      <c r="A115" s="11" t="s">
        <v>180</v>
      </c>
      <c r="B115" s="5">
        <v>35460.800000000003</v>
      </c>
      <c r="C115">
        <v>67</v>
      </c>
      <c r="D115" s="5">
        <v>886.5200000000001</v>
      </c>
    </row>
    <row r="116" spans="1:8" x14ac:dyDescent="0.3">
      <c r="A116" s="11" t="s">
        <v>29</v>
      </c>
      <c r="B116" s="5">
        <v>27613.900000000005</v>
      </c>
      <c r="C116">
        <v>52</v>
      </c>
      <c r="D116" s="5">
        <v>836.78484848484868</v>
      </c>
    </row>
    <row r="117" spans="1:8" x14ac:dyDescent="0.3">
      <c r="A117" s="11" t="s">
        <v>147</v>
      </c>
      <c r="B117" s="5">
        <v>23241.75</v>
      </c>
      <c r="C117">
        <v>66</v>
      </c>
      <c r="D117" s="5">
        <v>566.8719512195122</v>
      </c>
    </row>
    <row r="118" spans="1:8" x14ac:dyDescent="0.3">
      <c r="A118" s="11" t="s">
        <v>1659</v>
      </c>
      <c r="B118" s="5">
        <v>2432077.1499999948</v>
      </c>
      <c r="C118">
        <v>1861</v>
      </c>
      <c r="D118" s="5">
        <v>2432.0771499999946</v>
      </c>
    </row>
    <row r="121" spans="1:8" x14ac:dyDescent="0.3">
      <c r="A121" s="10" t="s">
        <v>1658</v>
      </c>
      <c r="B121" t="s">
        <v>1681</v>
      </c>
      <c r="D121" s="10" t="s">
        <v>1658</v>
      </c>
      <c r="E121" t="s">
        <v>1660</v>
      </c>
      <c r="F121" t="s">
        <v>1677</v>
      </c>
      <c r="G121" t="s">
        <v>1661</v>
      </c>
      <c r="H121" t="s">
        <v>1681</v>
      </c>
    </row>
    <row r="122" spans="1:8" x14ac:dyDescent="0.3">
      <c r="A122" s="11" t="s">
        <v>218</v>
      </c>
      <c r="B122" s="5">
        <v>40186.600000000006</v>
      </c>
      <c r="D122" s="11" t="s">
        <v>69</v>
      </c>
      <c r="E122" s="5">
        <v>264524.40000000002</v>
      </c>
      <c r="F122">
        <v>84</v>
      </c>
      <c r="G122">
        <v>44</v>
      </c>
      <c r="H122" s="5">
        <v>10147.1</v>
      </c>
    </row>
    <row r="123" spans="1:8" x14ac:dyDescent="0.3">
      <c r="A123" s="11" t="s">
        <v>153</v>
      </c>
      <c r="B123" s="5">
        <v>30084.95</v>
      </c>
      <c r="D123" s="11" t="s">
        <v>91</v>
      </c>
      <c r="E123" s="5">
        <v>221692.80000000002</v>
      </c>
      <c r="F123">
        <v>74</v>
      </c>
      <c r="G123">
        <v>37</v>
      </c>
      <c r="H123" s="5">
        <v>11876.4</v>
      </c>
    </row>
    <row r="124" spans="1:8" x14ac:dyDescent="0.3">
      <c r="A124" s="11" t="s">
        <v>100</v>
      </c>
      <c r="B124" s="5">
        <v>27489</v>
      </c>
      <c r="D124" s="11" t="s">
        <v>218</v>
      </c>
      <c r="E124" s="5">
        <v>198683.75000000006</v>
      </c>
      <c r="F124">
        <v>76</v>
      </c>
      <c r="G124">
        <v>44</v>
      </c>
      <c r="H124" s="5">
        <v>40186.600000000006</v>
      </c>
    </row>
    <row r="125" spans="1:8" x14ac:dyDescent="0.3">
      <c r="A125" s="11" t="s">
        <v>186</v>
      </c>
      <c r="B125" s="5">
        <v>25787.1</v>
      </c>
      <c r="D125" s="11" t="s">
        <v>100</v>
      </c>
      <c r="E125" s="5">
        <v>174305.24999999997</v>
      </c>
      <c r="F125">
        <v>76</v>
      </c>
      <c r="G125">
        <v>42</v>
      </c>
      <c r="H125" s="5">
        <v>27489</v>
      </c>
    </row>
    <row r="126" spans="1:8" x14ac:dyDescent="0.3">
      <c r="A126" s="11" t="s">
        <v>20</v>
      </c>
      <c r="B126" s="5">
        <v>24196.550000000003</v>
      </c>
      <c r="D126" s="11" t="s">
        <v>153</v>
      </c>
      <c r="E126" s="5">
        <v>160019.94999999995</v>
      </c>
      <c r="F126">
        <v>89</v>
      </c>
      <c r="G126">
        <v>50</v>
      </c>
      <c r="H126" s="5">
        <v>30084.95</v>
      </c>
    </row>
    <row r="127" spans="1:8" x14ac:dyDescent="0.3">
      <c r="A127" s="11" t="s">
        <v>44</v>
      </c>
      <c r="B127" s="5">
        <v>18619.650000000001</v>
      </c>
      <c r="D127" s="11" t="s">
        <v>186</v>
      </c>
      <c r="E127" s="5">
        <v>125037.45000000001</v>
      </c>
      <c r="F127">
        <v>70</v>
      </c>
      <c r="G127">
        <v>37</v>
      </c>
      <c r="H127" s="5">
        <v>25787.1</v>
      </c>
    </row>
    <row r="128" spans="1:8" x14ac:dyDescent="0.3">
      <c r="A128" s="11" t="s">
        <v>52</v>
      </c>
      <c r="B128" s="5">
        <v>16562.25</v>
      </c>
      <c r="D128" s="11" t="s">
        <v>44</v>
      </c>
      <c r="E128" s="5">
        <v>119633.5</v>
      </c>
      <c r="F128">
        <v>72</v>
      </c>
      <c r="G128">
        <v>32</v>
      </c>
      <c r="H128" s="5">
        <v>18619.650000000001</v>
      </c>
    </row>
    <row r="129" spans="1:8" x14ac:dyDescent="0.3">
      <c r="A129" s="11" t="s">
        <v>228</v>
      </c>
      <c r="B129" s="5">
        <v>13865.75</v>
      </c>
      <c r="D129" s="11" t="s">
        <v>52</v>
      </c>
      <c r="E129" s="5">
        <v>106582.95000000001</v>
      </c>
      <c r="F129">
        <v>94</v>
      </c>
      <c r="G129">
        <v>44</v>
      </c>
      <c r="H129" s="5">
        <v>16562.25</v>
      </c>
    </row>
    <row r="130" spans="1:8" x14ac:dyDescent="0.3">
      <c r="A130" s="11" t="s">
        <v>87</v>
      </c>
      <c r="B130" s="5">
        <v>13293</v>
      </c>
      <c r="D130" s="11" t="s">
        <v>20</v>
      </c>
      <c r="E130" s="5">
        <v>101733.44999999998</v>
      </c>
      <c r="F130">
        <v>64</v>
      </c>
      <c r="G130">
        <v>35</v>
      </c>
      <c r="H130" s="5">
        <v>24196.550000000003</v>
      </c>
    </row>
    <row r="131" spans="1:8" x14ac:dyDescent="0.3">
      <c r="A131" s="11" t="s">
        <v>91</v>
      </c>
      <c r="B131" s="5">
        <v>11876.4</v>
      </c>
      <c r="D131" s="11" t="s">
        <v>87</v>
      </c>
      <c r="E131" s="5">
        <v>93525.749999999985</v>
      </c>
      <c r="F131">
        <v>53</v>
      </c>
      <c r="G131">
        <v>35</v>
      </c>
      <c r="H131" s="5">
        <v>13293</v>
      </c>
    </row>
    <row r="132" spans="1:8" x14ac:dyDescent="0.3">
      <c r="A132" s="11" t="s">
        <v>64</v>
      </c>
      <c r="B132" s="5">
        <v>11149.05</v>
      </c>
      <c r="D132" s="11" t="s">
        <v>96</v>
      </c>
      <c r="E132" s="5">
        <v>88744.499999999985</v>
      </c>
      <c r="F132">
        <v>62</v>
      </c>
      <c r="G132">
        <v>35</v>
      </c>
      <c r="H132" s="5">
        <v>9753.9</v>
      </c>
    </row>
    <row r="133" spans="1:8" x14ac:dyDescent="0.3">
      <c r="A133" s="11" t="s">
        <v>104</v>
      </c>
      <c r="B133" s="5">
        <v>10639.349999999999</v>
      </c>
      <c r="D133" s="11" t="s">
        <v>228</v>
      </c>
      <c r="E133" s="5">
        <v>76748.800000000003</v>
      </c>
      <c r="F133">
        <v>56</v>
      </c>
      <c r="G133">
        <v>34</v>
      </c>
      <c r="H133" s="5">
        <v>13865.75</v>
      </c>
    </row>
    <row r="134" spans="1:8" x14ac:dyDescent="0.3">
      <c r="A134" s="11" t="s">
        <v>206</v>
      </c>
      <c r="B134" s="5">
        <v>10251.450000000001</v>
      </c>
      <c r="D134" s="11" t="s">
        <v>104</v>
      </c>
      <c r="E134" s="5">
        <v>76673.250000000015</v>
      </c>
      <c r="F134">
        <v>84</v>
      </c>
      <c r="G134">
        <v>40</v>
      </c>
      <c r="H134" s="5">
        <v>10639.349999999999</v>
      </c>
    </row>
    <row r="135" spans="1:8" x14ac:dyDescent="0.3">
      <c r="A135" s="11" t="s">
        <v>69</v>
      </c>
      <c r="B135" s="5">
        <v>10147.1</v>
      </c>
      <c r="D135" s="11" t="s">
        <v>131</v>
      </c>
      <c r="E135" s="5">
        <v>73403.350000000006</v>
      </c>
      <c r="F135">
        <v>90</v>
      </c>
      <c r="G135">
        <v>42</v>
      </c>
      <c r="H135" s="5">
        <v>4989.45</v>
      </c>
    </row>
    <row r="136" spans="1:8" x14ac:dyDescent="0.3">
      <c r="A136" s="11" t="s">
        <v>160</v>
      </c>
      <c r="B136" s="5">
        <v>10118.25</v>
      </c>
      <c r="D136" s="11" t="s">
        <v>160</v>
      </c>
      <c r="E136" s="5">
        <v>66480.650000000009</v>
      </c>
      <c r="F136">
        <v>51</v>
      </c>
      <c r="G136">
        <v>33</v>
      </c>
      <c r="H136" s="5">
        <v>10118.25</v>
      </c>
    </row>
    <row r="137" spans="1:8" x14ac:dyDescent="0.3">
      <c r="A137" s="11" t="s">
        <v>96</v>
      </c>
      <c r="B137" s="5">
        <v>9753.9</v>
      </c>
      <c r="D137" s="11" t="s">
        <v>81</v>
      </c>
      <c r="E137" s="5">
        <v>65312.350000000006</v>
      </c>
      <c r="F137">
        <v>79</v>
      </c>
      <c r="G137">
        <v>40</v>
      </c>
      <c r="H137" s="5">
        <v>6158.1500000000005</v>
      </c>
    </row>
    <row r="138" spans="1:8" x14ac:dyDescent="0.3">
      <c r="A138" s="11" t="s">
        <v>75</v>
      </c>
      <c r="B138" s="5">
        <v>7950.0500000000011</v>
      </c>
      <c r="D138" s="11" t="s">
        <v>64</v>
      </c>
      <c r="E138" s="5">
        <v>64377.9</v>
      </c>
      <c r="F138">
        <v>100</v>
      </c>
      <c r="G138">
        <v>47</v>
      </c>
      <c r="H138" s="5">
        <v>11149.05</v>
      </c>
    </row>
    <row r="139" spans="1:8" x14ac:dyDescent="0.3">
      <c r="A139" s="11" t="s">
        <v>57</v>
      </c>
      <c r="B139" s="5">
        <v>7185.6</v>
      </c>
      <c r="D139" s="11" t="s">
        <v>206</v>
      </c>
      <c r="E139" s="5">
        <v>62827.599999999991</v>
      </c>
      <c r="F139">
        <v>58</v>
      </c>
      <c r="G139">
        <v>32</v>
      </c>
      <c r="H139" s="5">
        <v>10251.450000000001</v>
      </c>
    </row>
    <row r="140" spans="1:8" x14ac:dyDescent="0.3">
      <c r="A140" s="11" t="s">
        <v>29</v>
      </c>
      <c r="B140" s="5">
        <v>6169.7</v>
      </c>
      <c r="D140" s="11" t="s">
        <v>118</v>
      </c>
      <c r="E140" s="5">
        <v>59433.150000000016</v>
      </c>
      <c r="F140">
        <v>90</v>
      </c>
      <c r="G140">
        <v>50</v>
      </c>
      <c r="H140" s="5">
        <v>3370.5</v>
      </c>
    </row>
    <row r="141" spans="1:8" x14ac:dyDescent="0.3">
      <c r="A141" s="11" t="s">
        <v>81</v>
      </c>
      <c r="B141" s="5">
        <v>6158.1500000000005</v>
      </c>
      <c r="D141" s="11" t="s">
        <v>75</v>
      </c>
      <c r="E141" s="5">
        <v>52454.349999999991</v>
      </c>
      <c r="F141">
        <v>76</v>
      </c>
      <c r="G141">
        <v>43</v>
      </c>
      <c r="H141" s="5">
        <v>7950.0500000000011</v>
      </c>
    </row>
    <row r="142" spans="1:8" x14ac:dyDescent="0.3">
      <c r="A142" s="11" t="s">
        <v>37</v>
      </c>
      <c r="B142" s="5">
        <v>6081.2999999999993</v>
      </c>
      <c r="D142" s="11" t="s">
        <v>37</v>
      </c>
      <c r="E142" s="5">
        <v>48930.000000000007</v>
      </c>
      <c r="F142">
        <v>77</v>
      </c>
      <c r="G142">
        <v>42</v>
      </c>
      <c r="H142" s="5">
        <v>6081.2999999999993</v>
      </c>
    </row>
    <row r="143" spans="1:8" x14ac:dyDescent="0.3">
      <c r="A143" s="11" t="s">
        <v>131</v>
      </c>
      <c r="B143" s="5">
        <v>4989.45</v>
      </c>
      <c r="D143" s="11" t="s">
        <v>57</v>
      </c>
      <c r="E143" s="5">
        <v>44635.55</v>
      </c>
      <c r="F143">
        <v>101</v>
      </c>
      <c r="G143">
        <v>48</v>
      </c>
      <c r="H143" s="5">
        <v>7185.6</v>
      </c>
    </row>
    <row r="144" spans="1:8" x14ac:dyDescent="0.3">
      <c r="A144" s="11" t="s">
        <v>147</v>
      </c>
      <c r="B144" s="5">
        <v>4149.6000000000004</v>
      </c>
      <c r="D144" s="11" t="s">
        <v>180</v>
      </c>
      <c r="E144" s="5">
        <v>35460.800000000003</v>
      </c>
      <c r="F144">
        <v>67</v>
      </c>
      <c r="G144">
        <v>40</v>
      </c>
      <c r="H144" s="5">
        <v>3204.6499999999996</v>
      </c>
    </row>
    <row r="145" spans="1:8" x14ac:dyDescent="0.3">
      <c r="A145" s="11" t="s">
        <v>118</v>
      </c>
      <c r="B145" s="5">
        <v>3370.5</v>
      </c>
      <c r="D145" s="11" t="s">
        <v>29</v>
      </c>
      <c r="E145" s="5">
        <v>27613.900000000005</v>
      </c>
      <c r="F145">
        <v>52</v>
      </c>
      <c r="G145">
        <v>33</v>
      </c>
      <c r="H145" s="5">
        <v>6169.7</v>
      </c>
    </row>
    <row r="146" spans="1:8" x14ac:dyDescent="0.3">
      <c r="A146" s="11" t="s">
        <v>180</v>
      </c>
      <c r="B146" s="5">
        <v>3204.6499999999996</v>
      </c>
      <c r="D146" s="11" t="s">
        <v>147</v>
      </c>
      <c r="E146" s="5">
        <v>23241.75</v>
      </c>
      <c r="F146">
        <v>66</v>
      </c>
      <c r="G146">
        <v>41</v>
      </c>
      <c r="H146" s="5">
        <v>4149.6000000000004</v>
      </c>
    </row>
    <row r="147" spans="1:8" x14ac:dyDescent="0.3">
      <c r="A147" s="11" t="s">
        <v>1659</v>
      </c>
      <c r="B147" s="5">
        <v>333279.35000000003</v>
      </c>
      <c r="D147" s="11" t="s">
        <v>1659</v>
      </c>
      <c r="E147" s="5">
        <v>2432077.1499999948</v>
      </c>
      <c r="F147">
        <v>1861</v>
      </c>
      <c r="G147">
        <v>1000</v>
      </c>
      <c r="H147" s="5">
        <v>333279.34999999992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D6AC-A39E-4A15-8852-3993056CD482}">
  <dimension ref="A1:S96"/>
  <sheetViews>
    <sheetView tabSelected="1" topLeftCell="A70" workbookViewId="0">
      <selection activeCell="I3" sqref="I3:J4"/>
    </sheetView>
  </sheetViews>
  <sheetFormatPr defaultRowHeight="14.4" x14ac:dyDescent="0.3"/>
  <cols>
    <col min="1" max="1" width="18.6640625" customWidth="1"/>
    <col min="2" max="2" width="19.88671875" customWidth="1"/>
    <col min="4" max="4" width="15.5546875" customWidth="1"/>
    <col min="6" max="6" width="16.77734375" customWidth="1"/>
    <col min="8" max="8" width="12.77734375" customWidth="1"/>
    <col min="10" max="10" width="12.77734375" customWidth="1"/>
    <col min="11" max="11" width="9" customWidth="1"/>
    <col min="12" max="12" width="17" customWidth="1"/>
  </cols>
  <sheetData>
    <row r="1" spans="1:19" ht="21" x14ac:dyDescent="0.4">
      <c r="A1" s="42" t="s">
        <v>1688</v>
      </c>
      <c r="B1" s="42"/>
      <c r="C1" s="42"/>
      <c r="D1" s="42"/>
      <c r="E1" s="42"/>
      <c r="F1" s="42"/>
      <c r="G1" s="42"/>
      <c r="H1" s="42"/>
      <c r="I1" s="42"/>
      <c r="J1" s="42"/>
      <c r="K1" s="42"/>
      <c r="L1" s="42"/>
      <c r="M1" s="42"/>
      <c r="N1" s="42"/>
      <c r="O1" s="42"/>
      <c r="P1" s="42"/>
      <c r="Q1" s="42"/>
      <c r="R1" s="42"/>
      <c r="S1" s="42"/>
    </row>
    <row r="2" spans="1:19" ht="15.6" x14ac:dyDescent="0.3">
      <c r="A2" s="25" t="s">
        <v>1682</v>
      </c>
      <c r="B2" s="26"/>
      <c r="C2" s="25" t="s">
        <v>1683</v>
      </c>
      <c r="D2" s="26"/>
      <c r="E2" s="25" t="s">
        <v>1684</v>
      </c>
      <c r="F2" s="26"/>
      <c r="G2" s="25" t="s">
        <v>1685</v>
      </c>
      <c r="H2" s="26"/>
      <c r="I2" s="25" t="s">
        <v>1686</v>
      </c>
      <c r="J2" s="26"/>
      <c r="K2" s="25" t="s">
        <v>1687</v>
      </c>
      <c r="L2" s="26"/>
    </row>
    <row r="3" spans="1:19" ht="14.4" customHeight="1" x14ac:dyDescent="0.3">
      <c r="A3" s="35">
        <f>GETPIVOTDATA("Net Sales",Analysis!$A$2)</f>
        <v>2432077.1500000004</v>
      </c>
      <c r="B3" s="36"/>
      <c r="C3" s="31">
        <f>GETPIVOTDATA("Order ID",Analysis!$A$9)</f>
        <v>1000</v>
      </c>
      <c r="D3" s="32"/>
      <c r="E3" s="35">
        <f>GETPIVOTDATA("Net Sales",Analysis!$A$16)</f>
        <v>2432.0771499999969</v>
      </c>
      <c r="F3" s="36"/>
      <c r="G3" s="27">
        <f>Analysis!H10</f>
        <v>0.88783943329397874</v>
      </c>
      <c r="H3" s="28"/>
      <c r="I3" s="27">
        <f>Analysis!E65</f>
        <v>0.13100000000000001</v>
      </c>
      <c r="J3" s="28"/>
      <c r="K3" s="31">
        <f>Analysis!H19</f>
        <v>3.2892561983471076</v>
      </c>
      <c r="L3" s="32"/>
    </row>
    <row r="4" spans="1:19" ht="14.4" customHeight="1" x14ac:dyDescent="0.3">
      <c r="A4" s="37"/>
      <c r="B4" s="38"/>
      <c r="C4" s="33"/>
      <c r="D4" s="34"/>
      <c r="E4" s="37"/>
      <c r="F4" s="38"/>
      <c r="G4" s="29"/>
      <c r="H4" s="30"/>
      <c r="I4" s="29"/>
      <c r="J4" s="30"/>
      <c r="K4" s="33"/>
      <c r="L4" s="34"/>
    </row>
    <row r="82" spans="1:12" x14ac:dyDescent="0.3">
      <c r="A82" s="16" t="s">
        <v>1693</v>
      </c>
      <c r="B82" s="16"/>
    </row>
    <row r="83" spans="1:12" x14ac:dyDescent="0.3">
      <c r="H83" s="16"/>
      <c r="I83" s="16"/>
      <c r="J83" s="16"/>
      <c r="K83" s="16"/>
      <c r="L83" s="16"/>
    </row>
    <row r="84" spans="1:12" x14ac:dyDescent="0.3">
      <c r="A84" s="16" t="s">
        <v>1694</v>
      </c>
      <c r="B84" s="16"/>
      <c r="C84" s="16"/>
      <c r="D84" s="16"/>
      <c r="H84" s="41"/>
      <c r="I84" s="41"/>
      <c r="J84" s="16"/>
      <c r="K84" s="16"/>
      <c r="L84" s="16"/>
    </row>
    <row r="85" spans="1:12" x14ac:dyDescent="0.3">
      <c r="A85" s="16"/>
      <c r="B85" s="16"/>
      <c r="C85" s="16"/>
      <c r="D85" s="16"/>
      <c r="H85" s="41"/>
      <c r="I85" s="41"/>
      <c r="J85" s="41"/>
      <c r="K85" s="41"/>
      <c r="L85" s="41"/>
    </row>
    <row r="86" spans="1:12" x14ac:dyDescent="0.3">
      <c r="A86" s="16" t="s">
        <v>1695</v>
      </c>
      <c r="B86" s="16"/>
      <c r="C86" s="16"/>
      <c r="D86" s="16"/>
    </row>
    <row r="87" spans="1:12" x14ac:dyDescent="0.3">
      <c r="A87" s="16" t="s">
        <v>1696</v>
      </c>
      <c r="B87" s="16"/>
      <c r="C87" s="16"/>
      <c r="D87" s="16"/>
    </row>
    <row r="88" spans="1:12" x14ac:dyDescent="0.3">
      <c r="A88" s="16"/>
      <c r="B88" s="16"/>
      <c r="C88" s="16"/>
      <c r="D88" s="16"/>
    </row>
    <row r="89" spans="1:12" x14ac:dyDescent="0.3">
      <c r="A89" s="16" t="s">
        <v>1697</v>
      </c>
      <c r="B89" s="16"/>
      <c r="C89" s="16"/>
      <c r="D89" s="16"/>
    </row>
    <row r="90" spans="1:12" x14ac:dyDescent="0.3">
      <c r="A90" s="16" t="s">
        <v>1698</v>
      </c>
      <c r="B90" s="16"/>
      <c r="C90" s="16"/>
      <c r="D90" s="16"/>
    </row>
    <row r="91" spans="1:12" x14ac:dyDescent="0.3">
      <c r="A91" s="16"/>
      <c r="B91" s="16"/>
      <c r="C91" s="16"/>
      <c r="D91" s="16"/>
    </row>
    <row r="92" spans="1:12" x14ac:dyDescent="0.3">
      <c r="A92" s="16" t="s">
        <v>1699</v>
      </c>
      <c r="B92" s="16"/>
      <c r="C92" s="16"/>
      <c r="D92" s="16"/>
    </row>
    <row r="93" spans="1:12" x14ac:dyDescent="0.3">
      <c r="A93" s="16" t="s">
        <v>1700</v>
      </c>
      <c r="B93" s="16"/>
      <c r="C93" s="16"/>
      <c r="D93" s="16"/>
    </row>
    <row r="94" spans="1:12" x14ac:dyDescent="0.3">
      <c r="A94" s="16"/>
      <c r="B94" s="16"/>
      <c r="C94" s="16"/>
      <c r="D94" s="16"/>
    </row>
    <row r="95" spans="1:12" x14ac:dyDescent="0.3">
      <c r="A95" s="16" t="s">
        <v>1701</v>
      </c>
      <c r="B95" s="16"/>
      <c r="C95" s="16"/>
      <c r="D95" s="16"/>
    </row>
    <row r="96" spans="1:12" x14ac:dyDescent="0.3">
      <c r="A96" s="16" t="s">
        <v>1702</v>
      </c>
      <c r="B96" s="16"/>
      <c r="C96" s="16"/>
      <c r="D96" s="16"/>
    </row>
  </sheetData>
  <mergeCells count="13">
    <mergeCell ref="A1:S1"/>
    <mergeCell ref="G2:H2"/>
    <mergeCell ref="G3:H4"/>
    <mergeCell ref="I2:J2"/>
    <mergeCell ref="I3:J4"/>
    <mergeCell ref="K2:L2"/>
    <mergeCell ref="K3:L4"/>
    <mergeCell ref="A2:B2"/>
    <mergeCell ref="A3:B4"/>
    <mergeCell ref="C2:D2"/>
    <mergeCell ref="C3:D4"/>
    <mergeCell ref="E2:F2"/>
    <mergeCell ref="E3: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Nitish Viraktamath</cp:lastModifiedBy>
  <dcterms:created xsi:type="dcterms:W3CDTF">2026-08-25T04:38:14Z</dcterms:created>
  <dcterms:modified xsi:type="dcterms:W3CDTF">2026-08-25T10:31:32Z</dcterms:modified>
</cp:coreProperties>
</file>